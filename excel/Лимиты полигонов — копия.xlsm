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ЭтаКнига"/>
  <mc:AlternateContent xmlns:mc="http://schemas.openxmlformats.org/markup-compatibility/2006">
    <mc:Choice Requires="x15">
      <x15ac:absPath xmlns:x15ac="http://schemas.microsoft.com/office/spreadsheetml/2010/11/ac" url="\\srv-fs1.hq.spb-neo.ru\common\Отдел аналитической работы\Сверка\2024\"/>
    </mc:Choice>
  </mc:AlternateContent>
  <xr:revisionPtr revIDLastSave="0" documentId="13_ncr:1_{1A302370-D1DC-4E9F-8895-866BF015B1F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Лимиты полигонов" sheetId="6" r:id="rId1"/>
    <sheet name="Объекты" sheetId="4" r:id="rId2"/>
    <sheet name="Распределение 1 полугодие" sheetId="8" r:id="rId3"/>
    <sheet name="Графики" sheetId="9" r:id="rId4"/>
    <sheet name="Справочник" sheetId="7" r:id="rId5"/>
  </sheets>
  <functionGroups builtInGroupCount="19"/>
  <definedNames>
    <definedName name="_xlnm._FilterDatabase" localSheetId="3" hidden="1">Графики!#REF!</definedName>
    <definedName name="_xlnm._FilterDatabase" localSheetId="0" hidden="1">'Лимиты полигонов'!$A$9:$G$387</definedName>
    <definedName name="_xlnm._FilterDatabase" localSheetId="1" hidden="1">Объекты!$A$2:$ACH$115</definedName>
    <definedName name="_xlnm._FilterDatabase" localSheetId="2" hidden="1">'Распределение 1 полугодие'!$A$2:$S$87</definedName>
  </definedNames>
  <calcPr calcId="191029" concurrentManualCount="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24" i="9" l="1"/>
  <c r="GI101" i="4" l="1"/>
  <c r="GI118" i="4" a="1"/>
  <c r="GI118" i="4" s="1"/>
  <c r="GI121" i="4"/>
  <c r="GJ115" i="4"/>
  <c r="GJ115" i="4" a="1"/>
  <c r="GI115" i="4" a="1"/>
  <c r="GI115" i="4" s="1"/>
  <c r="GJ112" i="4" a="1"/>
  <c r="GJ112" i="4" s="1"/>
  <c r="GI112" i="4" a="1"/>
  <c r="GI112" i="4" s="1"/>
  <c r="GI113" i="4" s="1"/>
  <c r="GJ111" i="4"/>
  <c r="GJ111" i="4" a="1"/>
  <c r="GI111" i="4" a="1"/>
  <c r="GI111" i="4" s="1"/>
  <c r="GJ110" i="4" a="1"/>
  <c r="GJ110" i="4" s="1"/>
  <c r="GI110" i="4"/>
  <c r="GI110" i="4" a="1"/>
  <c r="GJ109" i="4" a="1"/>
  <c r="GJ109" i="4" s="1"/>
  <c r="GJ113" i="4" s="1"/>
  <c r="GI109" i="4" a="1"/>
  <c r="GI109" i="4" s="1"/>
  <c r="GJ108" i="4"/>
  <c r="GJ108" i="4" a="1"/>
  <c r="GI108" i="4" a="1"/>
  <c r="GI108" i="4" s="1"/>
  <c r="GJ106" i="4" a="1"/>
  <c r="GJ106" i="4" s="1"/>
  <c r="GI106" i="4"/>
  <c r="GI106" i="4" a="1"/>
  <c r="GJ105" i="4" a="1"/>
  <c r="GJ105" i="4" s="1"/>
  <c r="GI105" i="4" a="1"/>
  <c r="GI105" i="4" s="1"/>
  <c r="GJ104" i="4"/>
  <c r="GJ104" i="4" a="1"/>
  <c r="GI104" i="4" a="1"/>
  <c r="GI104" i="4" s="1"/>
  <c r="GJ103" i="4" a="1"/>
  <c r="GJ103" i="4" s="1"/>
  <c r="GI103" i="4"/>
  <c r="GI103" i="4" a="1"/>
  <c r="GJ102" i="4" a="1"/>
  <c r="GJ102" i="4" s="1"/>
  <c r="GI102" i="4" a="1"/>
  <c r="GI102" i="4" s="1"/>
  <c r="GJ100" i="4"/>
  <c r="GJ100" i="4" a="1"/>
  <c r="GI100" i="4" a="1"/>
  <c r="GI100" i="4" s="1"/>
  <c r="GJ99" i="4" a="1"/>
  <c r="GJ99" i="4" s="1"/>
  <c r="GI99" i="4"/>
  <c r="GI99" i="4" a="1"/>
  <c r="GJ98" i="4" a="1"/>
  <c r="GJ98" i="4" s="1"/>
  <c r="GI98" i="4" a="1"/>
  <c r="GI98" i="4" s="1"/>
  <c r="GJ97" i="4"/>
  <c r="GJ97" i="4" a="1"/>
  <c r="GI97" i="4" a="1"/>
  <c r="GI97" i="4" s="1"/>
  <c r="GJ96" i="4" a="1"/>
  <c r="GJ96" i="4" s="1"/>
  <c r="GI96" i="4"/>
  <c r="GI96" i="4" a="1"/>
  <c r="GJ95" i="4" a="1"/>
  <c r="GJ95" i="4" s="1"/>
  <c r="GI95" i="4" a="1"/>
  <c r="GI95" i="4" s="1"/>
  <c r="GJ94" i="4"/>
  <c r="GJ94" i="4" a="1"/>
  <c r="GI94" i="4" a="1"/>
  <c r="GI94" i="4" s="1"/>
  <c r="GJ93" i="4" a="1"/>
  <c r="GJ93" i="4" s="1"/>
  <c r="GI93" i="4"/>
  <c r="GI93" i="4" a="1"/>
  <c r="GJ92" i="4" a="1"/>
  <c r="GJ92" i="4" s="1"/>
  <c r="GI92" i="4" a="1"/>
  <c r="GI92" i="4" s="1"/>
  <c r="GJ91" i="4"/>
  <c r="GJ101" i="4" s="1"/>
  <c r="GJ91" i="4" a="1"/>
  <c r="GI91" i="4" a="1"/>
  <c r="GI91" i="4" s="1"/>
  <c r="GJ89" i="4" a="1"/>
  <c r="GJ89" i="4" s="1"/>
  <c r="GI89" i="4"/>
  <c r="GI89" i="4" a="1"/>
  <c r="GJ88" i="4" a="1"/>
  <c r="GJ88" i="4" s="1"/>
  <c r="GI88" i="4" a="1"/>
  <c r="GI88" i="4" s="1"/>
  <c r="GJ87" i="4"/>
  <c r="GJ87" i="4" a="1"/>
  <c r="GI87" i="4" a="1"/>
  <c r="GI87" i="4" s="1"/>
  <c r="GJ86" i="4" a="1"/>
  <c r="GJ86" i="4" s="1"/>
  <c r="GI86" i="4"/>
  <c r="GI86" i="4" a="1"/>
  <c r="GJ85" i="4" a="1"/>
  <c r="GJ85" i="4" s="1"/>
  <c r="GI85" i="4" a="1"/>
  <c r="GI85" i="4" s="1"/>
  <c r="GJ84" i="4"/>
  <c r="GJ84" i="4" a="1"/>
  <c r="GI84" i="4" a="1"/>
  <c r="GI84" i="4" s="1"/>
  <c r="GJ83" i="4" a="1"/>
  <c r="GJ83" i="4" s="1"/>
  <c r="GI83" i="4"/>
  <c r="GI83" i="4" a="1"/>
  <c r="GJ82" i="4" a="1"/>
  <c r="GJ82" i="4" s="1"/>
  <c r="GI82" i="4" a="1"/>
  <c r="GI82" i="4" s="1"/>
  <c r="GI90" i="4" s="1"/>
  <c r="GJ81" i="4"/>
  <c r="GJ81" i="4" a="1"/>
  <c r="GI81" i="4" a="1"/>
  <c r="GI81" i="4" s="1"/>
  <c r="GJ80" i="4" a="1"/>
  <c r="GJ80" i="4" s="1"/>
  <c r="GI80" i="4"/>
  <c r="GI80" i="4" a="1"/>
  <c r="GJ78" i="4" a="1"/>
  <c r="GJ78" i="4" s="1"/>
  <c r="GI78" i="4" a="1"/>
  <c r="GI78" i="4" s="1"/>
  <c r="GJ77" i="4"/>
  <c r="GJ77" i="4" a="1"/>
  <c r="GI77" i="4" a="1"/>
  <c r="GI77" i="4" s="1"/>
  <c r="GJ76" i="4" a="1"/>
  <c r="GJ76" i="4" s="1"/>
  <c r="GI76" i="4"/>
  <c r="GI76" i="4" a="1"/>
  <c r="GJ75" i="4" a="1"/>
  <c r="GJ75" i="4" s="1"/>
  <c r="GI75" i="4" a="1"/>
  <c r="GI75" i="4" s="1"/>
  <c r="GJ74" i="4"/>
  <c r="GJ74" i="4" a="1"/>
  <c r="GI74" i="4" a="1"/>
  <c r="GI74" i="4" s="1"/>
  <c r="GJ73" i="4" a="1"/>
  <c r="GJ73" i="4" s="1"/>
  <c r="GI73" i="4"/>
  <c r="GI73" i="4" a="1"/>
  <c r="GJ72" i="4" a="1"/>
  <c r="GJ72" i="4" s="1"/>
  <c r="GI72" i="4" a="1"/>
  <c r="GI72" i="4" s="1"/>
  <c r="GJ71" i="4"/>
  <c r="GJ71" i="4" a="1"/>
  <c r="GI71" i="4" a="1"/>
  <c r="GI71" i="4" s="1"/>
  <c r="GJ70" i="4" a="1"/>
  <c r="GJ70" i="4" s="1"/>
  <c r="GI70" i="4"/>
  <c r="GI70" i="4" a="1"/>
  <c r="GJ69" i="4" a="1"/>
  <c r="GJ69" i="4" s="1"/>
  <c r="GJ79" i="4" s="1"/>
  <c r="GI69" i="4" a="1"/>
  <c r="GI69" i="4" s="1"/>
  <c r="GJ67" i="4"/>
  <c r="GJ67" i="4" a="1"/>
  <c r="GI67" i="4" a="1"/>
  <c r="GI67" i="4" s="1"/>
  <c r="GJ66" i="4" a="1"/>
  <c r="GJ66" i="4" s="1"/>
  <c r="GI66" i="4"/>
  <c r="GI66" i="4" a="1"/>
  <c r="GJ65" i="4" a="1"/>
  <c r="GJ65" i="4" s="1"/>
  <c r="GI65" i="4" a="1"/>
  <c r="GI65" i="4" s="1"/>
  <c r="GJ64" i="4"/>
  <c r="GJ64" i="4" a="1"/>
  <c r="GI64" i="4" a="1"/>
  <c r="GI64" i="4" s="1"/>
  <c r="GJ63" i="4" a="1"/>
  <c r="GJ63" i="4" s="1"/>
  <c r="GI63" i="4"/>
  <c r="GI63" i="4" a="1"/>
  <c r="GJ62" i="4" a="1"/>
  <c r="GJ62" i="4" s="1"/>
  <c r="GI62" i="4" a="1"/>
  <c r="GI62" i="4" s="1"/>
  <c r="GJ61" i="4"/>
  <c r="GJ61" i="4" a="1"/>
  <c r="GI61" i="4" a="1"/>
  <c r="GI61" i="4" s="1"/>
  <c r="GJ60" i="4" a="1"/>
  <c r="GJ60" i="4" s="1"/>
  <c r="GI60" i="4"/>
  <c r="GI60" i="4" a="1"/>
  <c r="GJ59" i="4" a="1"/>
  <c r="GJ59" i="4" s="1"/>
  <c r="GI59" i="4" a="1"/>
  <c r="GI59" i="4" s="1"/>
  <c r="GJ56" i="4" a="1"/>
  <c r="GJ56" i="4" s="1"/>
  <c r="GI56" i="4"/>
  <c r="GI56" i="4" a="1"/>
  <c r="GJ55" i="4" a="1"/>
  <c r="GJ55" i="4" s="1"/>
  <c r="GI55" i="4" a="1"/>
  <c r="GI55" i="4" s="1"/>
  <c r="GJ54" i="4"/>
  <c r="GJ54" i="4" a="1"/>
  <c r="GI54" i="4" a="1"/>
  <c r="GI54" i="4" s="1"/>
  <c r="GJ53" i="4" a="1"/>
  <c r="GJ53" i="4" s="1"/>
  <c r="GI53" i="4"/>
  <c r="GI53" i="4" a="1"/>
  <c r="GJ52" i="4" a="1"/>
  <c r="GJ52" i="4" s="1"/>
  <c r="GI52" i="4" a="1"/>
  <c r="GI52" i="4" s="1"/>
  <c r="GJ51" i="4"/>
  <c r="GJ51" i="4" a="1"/>
  <c r="GI51" i="4" a="1"/>
  <c r="GI51" i="4" s="1"/>
  <c r="GJ50" i="4" a="1"/>
  <c r="GJ50" i="4" s="1"/>
  <c r="GJ57" i="4" s="1"/>
  <c r="GI50" i="4"/>
  <c r="GI50" i="4" a="1"/>
  <c r="GJ49" i="4" a="1"/>
  <c r="GJ49" i="4" s="1"/>
  <c r="GI49" i="4" a="1"/>
  <c r="GI49" i="4" s="1"/>
  <c r="GJ48" i="4"/>
  <c r="GJ48" i="4" a="1"/>
  <c r="GI48" i="4" a="1"/>
  <c r="GI48" i="4" s="1"/>
  <c r="GJ47" i="4" a="1"/>
  <c r="GJ47" i="4" s="1"/>
  <c r="GI47" i="4"/>
  <c r="GI47" i="4" a="1"/>
  <c r="GJ45" i="4" a="1"/>
  <c r="GJ45" i="4" s="1"/>
  <c r="GI45" i="4" a="1"/>
  <c r="GI45" i="4" s="1"/>
  <c r="GJ44" i="4"/>
  <c r="GJ44" i="4" a="1"/>
  <c r="GI44" i="4" a="1"/>
  <c r="GI44" i="4" s="1"/>
  <c r="GJ43" i="4" a="1"/>
  <c r="GJ43" i="4" s="1"/>
  <c r="GI43" i="4"/>
  <c r="GI43" i="4" a="1"/>
  <c r="GJ42" i="4" a="1"/>
  <c r="GJ42" i="4" s="1"/>
  <c r="GI42" i="4" a="1"/>
  <c r="GI42" i="4" s="1"/>
  <c r="GJ41" i="4"/>
  <c r="GJ41" i="4" a="1"/>
  <c r="GI41" i="4" a="1"/>
  <c r="GI41" i="4" s="1"/>
  <c r="GJ40" i="4" a="1"/>
  <c r="GJ40" i="4" s="1"/>
  <c r="GI40" i="4"/>
  <c r="GI40" i="4" a="1"/>
  <c r="GJ39" i="4" a="1"/>
  <c r="GJ39" i="4" s="1"/>
  <c r="GI39" i="4" a="1"/>
  <c r="GI39" i="4" s="1"/>
  <c r="GJ38" i="4"/>
  <c r="GJ38" i="4" a="1"/>
  <c r="GI38" i="4" a="1"/>
  <c r="GI38" i="4" s="1"/>
  <c r="GJ37" i="4" a="1"/>
  <c r="GJ37" i="4" s="1"/>
  <c r="GI37" i="4"/>
  <c r="GI37" i="4" a="1"/>
  <c r="GJ36" i="4" a="1"/>
  <c r="GJ36" i="4" s="1"/>
  <c r="GI36" i="4" a="1"/>
  <c r="GI36" i="4" s="1"/>
  <c r="GI46" i="4" s="1"/>
  <c r="GJ34" i="4"/>
  <c r="GJ34" i="4" a="1"/>
  <c r="GI34" i="4" a="1"/>
  <c r="GI34" i="4" s="1"/>
  <c r="GJ33" i="4" a="1"/>
  <c r="GJ33" i="4" s="1"/>
  <c r="GI33" i="4"/>
  <c r="GI33" i="4" a="1"/>
  <c r="GJ32" i="4" a="1"/>
  <c r="GJ32" i="4" s="1"/>
  <c r="GI32" i="4" a="1"/>
  <c r="GI32" i="4" s="1"/>
  <c r="GJ31" i="4"/>
  <c r="GJ31" i="4" a="1"/>
  <c r="GI31" i="4" a="1"/>
  <c r="GI31" i="4" s="1"/>
  <c r="GJ30" i="4" a="1"/>
  <c r="GJ30" i="4" s="1"/>
  <c r="GI30" i="4"/>
  <c r="GI30" i="4" a="1"/>
  <c r="GJ29" i="4" a="1"/>
  <c r="GJ29" i="4" s="1"/>
  <c r="GI29" i="4" a="1"/>
  <c r="GI29" i="4" s="1"/>
  <c r="GJ28" i="4"/>
  <c r="GJ28" i="4" a="1"/>
  <c r="GI28" i="4" a="1"/>
  <c r="GI28" i="4" s="1"/>
  <c r="GJ27" i="4" a="1"/>
  <c r="GJ27" i="4" s="1"/>
  <c r="GI27" i="4"/>
  <c r="GI27" i="4" a="1"/>
  <c r="GJ26" i="4" a="1"/>
  <c r="GJ26" i="4" s="1"/>
  <c r="GI26" i="4" a="1"/>
  <c r="GI26" i="4" s="1"/>
  <c r="GJ25" i="4"/>
  <c r="GJ25" i="4" a="1"/>
  <c r="GI25" i="4" a="1"/>
  <c r="GI25" i="4" s="1"/>
  <c r="GJ23" i="4" a="1"/>
  <c r="GJ23" i="4" s="1"/>
  <c r="GI23" i="4"/>
  <c r="GI23" i="4" a="1"/>
  <c r="GJ22" i="4" a="1"/>
  <c r="GJ22" i="4" s="1"/>
  <c r="GI22" i="4" a="1"/>
  <c r="GI22" i="4" s="1"/>
  <c r="GJ21" i="4" a="1"/>
  <c r="GJ21" i="4" s="1"/>
  <c r="GI21" i="4" a="1"/>
  <c r="GI21" i="4" s="1"/>
  <c r="GJ20" i="4" a="1"/>
  <c r="GJ20" i="4" s="1"/>
  <c r="GI20" i="4" a="1"/>
  <c r="GI20" i="4" s="1"/>
  <c r="GJ19" i="4" a="1"/>
  <c r="GJ19" i="4" s="1"/>
  <c r="GI19" i="4" a="1"/>
  <c r="GI19" i="4" s="1"/>
  <c r="GJ18" i="4" a="1"/>
  <c r="GJ18" i="4" s="1"/>
  <c r="GI18" i="4" a="1"/>
  <c r="GI18" i="4" s="1"/>
  <c r="GJ17" i="4" a="1"/>
  <c r="GJ17" i="4" s="1"/>
  <c r="GI17" i="4" a="1"/>
  <c r="GI17" i="4" s="1"/>
  <c r="GJ16" i="4" a="1"/>
  <c r="GJ16" i="4" s="1"/>
  <c r="GI16" i="4" a="1"/>
  <c r="GI16" i="4" s="1"/>
  <c r="GJ15" i="4" a="1"/>
  <c r="GJ15" i="4" s="1"/>
  <c r="GI15" i="4" a="1"/>
  <c r="GI15" i="4" s="1"/>
  <c r="GJ14" i="4" a="1"/>
  <c r="GJ14" i="4" s="1"/>
  <c r="GI14" i="4" a="1"/>
  <c r="GI14" i="4" s="1"/>
  <c r="GI24" i="4" s="1"/>
  <c r="GJ12" i="4" a="1"/>
  <c r="GJ12" i="4" s="1"/>
  <c r="GI12" i="4" a="1"/>
  <c r="GI12" i="4" s="1"/>
  <c r="GJ11" i="4" a="1"/>
  <c r="GJ11" i="4" s="1"/>
  <c r="GI11" i="4" a="1"/>
  <c r="GI11" i="4" s="1"/>
  <c r="GJ10" i="4" a="1"/>
  <c r="GJ10" i="4" s="1"/>
  <c r="GI10" i="4" a="1"/>
  <c r="GI10" i="4" s="1"/>
  <c r="GJ9" i="4" a="1"/>
  <c r="GJ9" i="4" s="1"/>
  <c r="GI9" i="4" a="1"/>
  <c r="GI9" i="4" s="1"/>
  <c r="GJ8" i="4" a="1"/>
  <c r="GJ8" i="4" s="1"/>
  <c r="GI8" i="4" a="1"/>
  <c r="GI8" i="4" s="1"/>
  <c r="GJ7" i="4" a="1"/>
  <c r="GJ7" i="4" s="1"/>
  <c r="GI7" i="4"/>
  <c r="GI7" i="4" a="1"/>
  <c r="GJ6" i="4" a="1"/>
  <c r="GJ6" i="4" s="1"/>
  <c r="GI6" i="4" a="1"/>
  <c r="GI6" i="4" s="1"/>
  <c r="GJ5" i="4" a="1"/>
  <c r="GJ5" i="4" s="1"/>
  <c r="GI5" i="4" a="1"/>
  <c r="GI5" i="4" s="1"/>
  <c r="GJ4" i="4" a="1"/>
  <c r="GJ4" i="4" s="1"/>
  <c r="GI4" i="4" a="1"/>
  <c r="GI4" i="4" s="1"/>
  <c r="GJ3" i="4" a="1"/>
  <c r="GJ3" i="4" s="1"/>
  <c r="GI3" i="4" a="1"/>
  <c r="GI3" i="4"/>
  <c r="GJ90" i="4"/>
  <c r="GI57" i="4"/>
  <c r="GJ24" i="4"/>
  <c r="DX113" i="4"/>
  <c r="DW113" i="4"/>
  <c r="DX112" i="4" a="1"/>
  <c r="DX112" i="4" s="1"/>
  <c r="DW112" i="4"/>
  <c r="DW112" i="4" a="1"/>
  <c r="DX111" i="4" a="1"/>
  <c r="DX111" i="4" s="1"/>
  <c r="DW111" i="4" a="1"/>
  <c r="DW111" i="4" s="1"/>
  <c r="DX110" i="4"/>
  <c r="DX110" i="4" a="1"/>
  <c r="DW110" i="4" a="1"/>
  <c r="DW110" i="4" s="1"/>
  <c r="DX109" i="4" a="1"/>
  <c r="DX109" i="4" s="1"/>
  <c r="DW109" i="4"/>
  <c r="DW109" i="4" a="1"/>
  <c r="DX108" i="4" a="1"/>
  <c r="DX108" i="4" s="1"/>
  <c r="DW108" i="4" a="1"/>
  <c r="DW108" i="4" s="1"/>
  <c r="DX106" i="4"/>
  <c r="DX106" i="4" a="1"/>
  <c r="DW106" i="4" a="1"/>
  <c r="DW106" i="4" s="1"/>
  <c r="DX105" i="4" a="1"/>
  <c r="DX105" i="4" s="1"/>
  <c r="DW105" i="4"/>
  <c r="DW105" i="4" a="1"/>
  <c r="DX104" i="4" a="1"/>
  <c r="DX104" i="4" s="1"/>
  <c r="DW104" i="4" a="1"/>
  <c r="DW104" i="4" s="1"/>
  <c r="DX103" i="4"/>
  <c r="DX103" i="4" a="1"/>
  <c r="DW103" i="4" a="1"/>
  <c r="DW103" i="4" s="1"/>
  <c r="DX102" i="4" a="1"/>
  <c r="DX102" i="4" s="1"/>
  <c r="DW102" i="4" a="1"/>
  <c r="DW102" i="4" s="1"/>
  <c r="DX100" i="4" a="1"/>
  <c r="DX100" i="4" s="1"/>
  <c r="DW100" i="4" a="1"/>
  <c r="DW100" i="4" s="1"/>
  <c r="DX99" i="4" a="1"/>
  <c r="DX99" i="4" s="1"/>
  <c r="DW99" i="4" a="1"/>
  <c r="DW99" i="4" s="1"/>
  <c r="DX98" i="4" a="1"/>
  <c r="DX98" i="4" s="1"/>
  <c r="DW98" i="4" a="1"/>
  <c r="DW98" i="4" s="1"/>
  <c r="DX97" i="4" a="1"/>
  <c r="DX97" i="4" s="1"/>
  <c r="DW97" i="4" a="1"/>
  <c r="DW97" i="4" s="1"/>
  <c r="DX96" i="4" a="1"/>
  <c r="DX96" i="4" s="1"/>
  <c r="DW96" i="4" a="1"/>
  <c r="DW96" i="4" s="1"/>
  <c r="DX95" i="4" a="1"/>
  <c r="DX95" i="4" s="1"/>
  <c r="DW95" i="4" a="1"/>
  <c r="DW95" i="4" s="1"/>
  <c r="DX94" i="4" a="1"/>
  <c r="DX94" i="4" s="1"/>
  <c r="DW94" i="4" a="1"/>
  <c r="DW94" i="4" s="1"/>
  <c r="DX93" i="4" a="1"/>
  <c r="DX93" i="4" s="1"/>
  <c r="DW93" i="4" a="1"/>
  <c r="DW93" i="4" s="1"/>
  <c r="DX92" i="4" a="1"/>
  <c r="DX92" i="4" s="1"/>
  <c r="DW92" i="4" a="1"/>
  <c r="DW92" i="4" s="1"/>
  <c r="DX91" i="4" a="1"/>
  <c r="DX91" i="4" s="1"/>
  <c r="DW91" i="4" a="1"/>
  <c r="DW91" i="4" s="1"/>
  <c r="DX89" i="4" a="1"/>
  <c r="DX89" i="4" s="1"/>
  <c r="DW89" i="4" a="1"/>
  <c r="DW89" i="4" s="1"/>
  <c r="DX88" i="4" a="1"/>
  <c r="DX88" i="4" s="1"/>
  <c r="DW88" i="4" a="1"/>
  <c r="DW88" i="4" s="1"/>
  <c r="DX87" i="4" a="1"/>
  <c r="DX87" i="4" s="1"/>
  <c r="DW87" i="4" a="1"/>
  <c r="DW87" i="4" s="1"/>
  <c r="DX86" i="4" a="1"/>
  <c r="DX86" i="4" s="1"/>
  <c r="DW86" i="4" a="1"/>
  <c r="DW86" i="4" s="1"/>
  <c r="DX85" i="4" a="1"/>
  <c r="DX85" i="4" s="1"/>
  <c r="DW85" i="4" a="1"/>
  <c r="DW85" i="4" s="1"/>
  <c r="DX84" i="4" a="1"/>
  <c r="DX84" i="4" s="1"/>
  <c r="DW84" i="4" a="1"/>
  <c r="DW84" i="4" s="1"/>
  <c r="DX83" i="4" a="1"/>
  <c r="DX83" i="4" s="1"/>
  <c r="DW83" i="4" a="1"/>
  <c r="DW83" i="4" s="1"/>
  <c r="DX82" i="4" a="1"/>
  <c r="DX82" i="4" s="1"/>
  <c r="DW82" i="4" a="1"/>
  <c r="DW82" i="4" s="1"/>
  <c r="DX81" i="4" a="1"/>
  <c r="DX81" i="4" s="1"/>
  <c r="DW81" i="4" a="1"/>
  <c r="DW81" i="4" s="1"/>
  <c r="DX80" i="4" a="1"/>
  <c r="DX80" i="4" s="1"/>
  <c r="DW80" i="4" a="1"/>
  <c r="DW80" i="4" s="1"/>
  <c r="DX78" i="4" a="1"/>
  <c r="DX78" i="4" s="1"/>
  <c r="DW78" i="4" a="1"/>
  <c r="DW78" i="4" s="1"/>
  <c r="DX77" i="4" a="1"/>
  <c r="DX77" i="4" s="1"/>
  <c r="DW77" i="4" a="1"/>
  <c r="DW77" i="4" s="1"/>
  <c r="DX76" i="4"/>
  <c r="DX76" i="4" a="1"/>
  <c r="DW76" i="4" a="1"/>
  <c r="DW76" i="4" s="1"/>
  <c r="DX75" i="4" a="1"/>
  <c r="DX75" i="4" s="1"/>
  <c r="DW75" i="4" a="1"/>
  <c r="DW75" i="4" s="1"/>
  <c r="DX74" i="4" a="1"/>
  <c r="DX74" i="4" s="1"/>
  <c r="DW74" i="4" a="1"/>
  <c r="DW74" i="4" s="1"/>
  <c r="DX73" i="4" a="1"/>
  <c r="DX73" i="4" s="1"/>
  <c r="DW73" i="4" a="1"/>
  <c r="DW73" i="4" s="1"/>
  <c r="DX72" i="4" a="1"/>
  <c r="DX72" i="4" s="1"/>
  <c r="DW72" i="4" a="1"/>
  <c r="DW72" i="4" s="1"/>
  <c r="DX71" i="4" a="1"/>
  <c r="DX71" i="4" s="1"/>
  <c r="DW71" i="4" a="1"/>
  <c r="DW71" i="4" s="1"/>
  <c r="DX70" i="4" a="1"/>
  <c r="DX70" i="4" s="1"/>
  <c r="DW70" i="4" a="1"/>
  <c r="DW70" i="4" s="1"/>
  <c r="DX69" i="4" a="1"/>
  <c r="DX69" i="4" s="1"/>
  <c r="DW69" i="4" a="1"/>
  <c r="DW69" i="4" s="1"/>
  <c r="DW79" i="4" s="1"/>
  <c r="DX67" i="4" a="1"/>
  <c r="DX67" i="4" s="1"/>
  <c r="DW67" i="4" a="1"/>
  <c r="DW67" i="4" s="1"/>
  <c r="DX66" i="4" a="1"/>
  <c r="DX66" i="4" s="1"/>
  <c r="DW66" i="4" a="1"/>
  <c r="DW66" i="4" s="1"/>
  <c r="DX65" i="4" a="1"/>
  <c r="DX65" i="4" s="1"/>
  <c r="DW65" i="4"/>
  <c r="DW65" i="4" a="1"/>
  <c r="DX64" i="4" a="1"/>
  <c r="DX64" i="4" s="1"/>
  <c r="DW64" i="4" a="1"/>
  <c r="DW64" i="4" s="1"/>
  <c r="DX63" i="4" a="1"/>
  <c r="DX63" i="4" s="1"/>
  <c r="DW63" i="4" a="1"/>
  <c r="DW63" i="4" s="1"/>
  <c r="DX62" i="4" a="1"/>
  <c r="DX62" i="4" s="1"/>
  <c r="DW62" i="4"/>
  <c r="DW62" i="4" a="1"/>
  <c r="DX61" i="4" a="1"/>
  <c r="DX61" i="4" s="1"/>
  <c r="DW61" i="4" a="1"/>
  <c r="DW61" i="4" s="1"/>
  <c r="DX60" i="4"/>
  <c r="DX60" i="4" a="1"/>
  <c r="DW60" i="4" a="1"/>
  <c r="DW60" i="4" s="1"/>
  <c r="DX59" i="4" a="1"/>
  <c r="DX59" i="4" s="1"/>
  <c r="DW59" i="4" a="1"/>
  <c r="DW59" i="4" s="1"/>
  <c r="DX58" i="4" a="1"/>
  <c r="DX58" i="4" s="1"/>
  <c r="DW58" i="4" a="1"/>
  <c r="DW58" i="4" s="1"/>
  <c r="DX56" i="4" a="1"/>
  <c r="DX56" i="4" s="1"/>
  <c r="DW56" i="4" a="1"/>
  <c r="DW56" i="4" s="1"/>
  <c r="DX55" i="4" a="1"/>
  <c r="DX55" i="4" s="1"/>
  <c r="DW55" i="4"/>
  <c r="DW55" i="4" a="1"/>
  <c r="DX54" i="4" a="1"/>
  <c r="DX54" i="4" s="1"/>
  <c r="DW54" i="4" a="1"/>
  <c r="DW54" i="4" s="1"/>
  <c r="DX53" i="4" a="1"/>
  <c r="DX53" i="4" s="1"/>
  <c r="DW53" i="4" a="1"/>
  <c r="DW53" i="4" s="1"/>
  <c r="DX52" i="4" a="1"/>
  <c r="DX52" i="4" s="1"/>
  <c r="DW52" i="4" a="1"/>
  <c r="DW52" i="4" s="1"/>
  <c r="DX51" i="4" a="1"/>
  <c r="DX51" i="4" s="1"/>
  <c r="DW51" i="4" a="1"/>
  <c r="DW51" i="4" s="1"/>
  <c r="DX50" i="4"/>
  <c r="DX50" i="4" a="1"/>
  <c r="DW50" i="4" a="1"/>
  <c r="DW50" i="4" s="1"/>
  <c r="DX49" i="4" a="1"/>
  <c r="DX49" i="4" s="1"/>
  <c r="DW49" i="4" a="1"/>
  <c r="DW49" i="4" s="1"/>
  <c r="DX48" i="4" a="1"/>
  <c r="DX48" i="4" s="1"/>
  <c r="DW48" i="4" a="1"/>
  <c r="DW48" i="4" s="1"/>
  <c r="DX47" i="4" a="1"/>
  <c r="DX47" i="4" s="1"/>
  <c r="DW47" i="4" a="1"/>
  <c r="DW47" i="4" s="1"/>
  <c r="DX45" i="4" a="1"/>
  <c r="DX45" i="4" s="1"/>
  <c r="DW45" i="4"/>
  <c r="DW45" i="4" a="1"/>
  <c r="DX44" i="4" a="1"/>
  <c r="DX44" i="4" s="1"/>
  <c r="DW44" i="4" a="1"/>
  <c r="DW44" i="4" s="1"/>
  <c r="DX43" i="4" a="1"/>
  <c r="DX43" i="4" s="1"/>
  <c r="DW43" i="4" a="1"/>
  <c r="DW43" i="4" s="1"/>
  <c r="DX42" i="4" a="1"/>
  <c r="DX42" i="4" s="1"/>
  <c r="DW42" i="4" a="1"/>
  <c r="DW42" i="4" s="1"/>
  <c r="DX41" i="4" a="1"/>
  <c r="DX41" i="4" s="1"/>
  <c r="DW41" i="4" a="1"/>
  <c r="DW41" i="4" s="1"/>
  <c r="DX40" i="4"/>
  <c r="DX40" i="4" a="1"/>
  <c r="DW40" i="4" a="1"/>
  <c r="DW40" i="4" s="1"/>
  <c r="DX39" i="4" a="1"/>
  <c r="DX39" i="4" s="1"/>
  <c r="DW39" i="4" a="1"/>
  <c r="DW39" i="4" s="1"/>
  <c r="DX38" i="4" a="1"/>
  <c r="DX38" i="4" s="1"/>
  <c r="DW38" i="4" a="1"/>
  <c r="DW38" i="4" s="1"/>
  <c r="DX37" i="4" a="1"/>
  <c r="DX37" i="4" s="1"/>
  <c r="DW37" i="4" a="1"/>
  <c r="DW37" i="4" s="1"/>
  <c r="DX36" i="4" a="1"/>
  <c r="DX36" i="4" s="1"/>
  <c r="DW36" i="4"/>
  <c r="DW36" i="4" a="1"/>
  <c r="DX34" i="4" a="1"/>
  <c r="DX34" i="4" s="1"/>
  <c r="DW34" i="4" a="1"/>
  <c r="DW34" i="4" s="1"/>
  <c r="DX33" i="4" a="1"/>
  <c r="DX33" i="4" s="1"/>
  <c r="DW33" i="4" a="1"/>
  <c r="DW33" i="4" s="1"/>
  <c r="DX32" i="4" a="1"/>
  <c r="DX32" i="4" s="1"/>
  <c r="DW32" i="4" a="1"/>
  <c r="DW32" i="4" s="1"/>
  <c r="DX31" i="4" a="1"/>
  <c r="DX31" i="4" s="1"/>
  <c r="DW31" i="4" a="1"/>
  <c r="DW31" i="4" s="1"/>
  <c r="DX30" i="4"/>
  <c r="DX30" i="4" a="1"/>
  <c r="DW30" i="4" a="1"/>
  <c r="DW30" i="4" s="1"/>
  <c r="DX29" i="4" a="1"/>
  <c r="DX29" i="4" s="1"/>
  <c r="DW29" i="4" a="1"/>
  <c r="DW29" i="4" s="1"/>
  <c r="DX28" i="4" a="1"/>
  <c r="DX28" i="4" s="1"/>
  <c r="DW28" i="4" a="1"/>
  <c r="DW28" i="4" s="1"/>
  <c r="DX27" i="4" a="1"/>
  <c r="DX27" i="4" s="1"/>
  <c r="DW27" i="4" a="1"/>
  <c r="DW27" i="4" s="1"/>
  <c r="DX26" i="4" a="1"/>
  <c r="DX26" i="4" s="1"/>
  <c r="DW26" i="4"/>
  <c r="DW26" i="4" a="1"/>
  <c r="DX25" i="4" a="1"/>
  <c r="DX25" i="4" s="1"/>
  <c r="DW25" i="4" a="1"/>
  <c r="DW25" i="4" s="1"/>
  <c r="DX23" i="4" a="1"/>
  <c r="DX23" i="4" s="1"/>
  <c r="DW23" i="4" a="1"/>
  <c r="DW23" i="4" s="1"/>
  <c r="DX22" i="4" a="1"/>
  <c r="DX22" i="4" s="1"/>
  <c r="DW22" i="4" a="1"/>
  <c r="DW22" i="4" s="1"/>
  <c r="DX21" i="4" a="1"/>
  <c r="DX21" i="4" s="1"/>
  <c r="DW21" i="4" a="1"/>
  <c r="DW21" i="4" s="1"/>
  <c r="DX20" i="4"/>
  <c r="DX20" i="4" a="1"/>
  <c r="DW20" i="4" a="1"/>
  <c r="DW20" i="4" s="1"/>
  <c r="DX19" i="4" a="1"/>
  <c r="DX19" i="4" s="1"/>
  <c r="DW19" i="4" a="1"/>
  <c r="DW19" i="4" s="1"/>
  <c r="DX18" i="4" a="1"/>
  <c r="DX18" i="4" s="1"/>
  <c r="DW18" i="4" a="1"/>
  <c r="DW18" i="4" s="1"/>
  <c r="DX17" i="4" a="1"/>
  <c r="DX17" i="4" s="1"/>
  <c r="DW17" i="4" a="1"/>
  <c r="DW17" i="4" s="1"/>
  <c r="DX16" i="4" a="1"/>
  <c r="DX16" i="4" s="1"/>
  <c r="DW16" i="4"/>
  <c r="DW16" i="4" a="1"/>
  <c r="DX15" i="4" a="1"/>
  <c r="DX15" i="4" s="1"/>
  <c r="DW15" i="4" a="1"/>
  <c r="DW15" i="4" s="1"/>
  <c r="DX14" i="4" a="1"/>
  <c r="DX14" i="4" s="1"/>
  <c r="DW14" i="4" a="1"/>
  <c r="DW14" i="4" s="1"/>
  <c r="DX12" i="4" a="1"/>
  <c r="DX12" i="4" s="1"/>
  <c r="DW12" i="4" a="1"/>
  <c r="DW12" i="4" s="1"/>
  <c r="DX11" i="4" a="1"/>
  <c r="DX11" i="4" s="1"/>
  <c r="DW11" i="4" a="1"/>
  <c r="DW11" i="4" s="1"/>
  <c r="DX10" i="4"/>
  <c r="DX10" i="4" a="1"/>
  <c r="DW10" i="4" a="1"/>
  <c r="DW10" i="4" s="1"/>
  <c r="DX9" i="4" a="1"/>
  <c r="DX9" i="4" s="1"/>
  <c r="DW9" i="4" a="1"/>
  <c r="DW9" i="4" s="1"/>
  <c r="DX8" i="4" a="1"/>
  <c r="DX8" i="4" s="1"/>
  <c r="DW8" i="4" a="1"/>
  <c r="DW8" i="4" s="1"/>
  <c r="DX7" i="4" a="1"/>
  <c r="DX7" i="4" s="1"/>
  <c r="DW7" i="4" a="1"/>
  <c r="DW7" i="4" s="1"/>
  <c r="DX6" i="4" a="1"/>
  <c r="DX6" i="4" s="1"/>
  <c r="DW6" i="4"/>
  <c r="DW6" i="4" a="1"/>
  <c r="DX5" i="4" a="1"/>
  <c r="DX5" i="4" s="1"/>
  <c r="DW5" i="4" a="1"/>
  <c r="DW5" i="4" s="1"/>
  <c r="DX4" i="4" a="1"/>
  <c r="DX4" i="4" s="1"/>
  <c r="DW4" i="4" a="1"/>
  <c r="DW4" i="4" s="1"/>
  <c r="DX3" i="4" a="1"/>
  <c r="DX3" i="4" s="1"/>
  <c r="DW3" i="4" a="1"/>
  <c r="DW3" i="4"/>
  <c r="DX115" i="4" a="1"/>
  <c r="DX115" i="4" s="1"/>
  <c r="DW115" i="4" a="1"/>
  <c r="DW115" i="4" s="1"/>
  <c r="DW90" i="4"/>
  <c r="BP113" i="4"/>
  <c r="BO113" i="4"/>
  <c r="BP107" i="4"/>
  <c r="BO107" i="4"/>
  <c r="BP101" i="4"/>
  <c r="BO101" i="4"/>
  <c r="BP90" i="4"/>
  <c r="BO90" i="4"/>
  <c r="BP79" i="4"/>
  <c r="BO79" i="4"/>
  <c r="BP68" i="4"/>
  <c r="BO68" i="4"/>
  <c r="BP57" i="4"/>
  <c r="BO57" i="4"/>
  <c r="BP46" i="4"/>
  <c r="BO46" i="4"/>
  <c r="BP35" i="4"/>
  <c r="BO35" i="4"/>
  <c r="BP24" i="4"/>
  <c r="BO24" i="4"/>
  <c r="BP13" i="4"/>
  <c r="BO13" i="4"/>
  <c r="BP115" i="4" a="1"/>
  <c r="BP115" i="4" s="1"/>
  <c r="BO115" i="4" a="1"/>
  <c r="BO115" i="4" s="1"/>
  <c r="BP114" i="4" a="1"/>
  <c r="BP114" i="4" s="1"/>
  <c r="BO114" i="4" a="1"/>
  <c r="BO114" i="4" s="1"/>
  <c r="BP112" i="4" a="1"/>
  <c r="BP112" i="4" s="1"/>
  <c r="BO112" i="4" a="1"/>
  <c r="BO112" i="4" s="1"/>
  <c r="BP111" i="4" a="1"/>
  <c r="BP111" i="4" s="1"/>
  <c r="BO111" i="4" a="1"/>
  <c r="BO111" i="4" s="1"/>
  <c r="BP110" i="4" a="1"/>
  <c r="BP110" i="4" s="1"/>
  <c r="BO110" i="4" a="1"/>
  <c r="BO110" i="4" s="1"/>
  <c r="BP109" i="4" a="1"/>
  <c r="BP109" i="4" s="1"/>
  <c r="BO109" i="4" a="1"/>
  <c r="BO109" i="4" s="1"/>
  <c r="BP108" i="4" a="1"/>
  <c r="BP108" i="4" s="1"/>
  <c r="BO108" i="4" a="1"/>
  <c r="BO108" i="4" s="1"/>
  <c r="BP106" i="4" a="1"/>
  <c r="BP106" i="4" s="1"/>
  <c r="BO106" i="4" a="1"/>
  <c r="BO106" i="4" s="1"/>
  <c r="BP105" i="4" a="1"/>
  <c r="BP105" i="4" s="1"/>
  <c r="BO105" i="4" a="1"/>
  <c r="BO105" i="4" s="1"/>
  <c r="BP104" i="4" a="1"/>
  <c r="BP104" i="4" s="1"/>
  <c r="BO104" i="4" a="1"/>
  <c r="BO104" i="4" s="1"/>
  <c r="BP103" i="4" a="1"/>
  <c r="BP103" i="4" s="1"/>
  <c r="BO103" i="4" a="1"/>
  <c r="BO103" i="4" s="1"/>
  <c r="BP102" i="4" a="1"/>
  <c r="BP102" i="4" s="1"/>
  <c r="BO102" i="4" a="1"/>
  <c r="BO102" i="4" s="1"/>
  <c r="BP100" i="4" a="1"/>
  <c r="BP100" i="4" s="1"/>
  <c r="BO100" i="4" a="1"/>
  <c r="BO100" i="4" s="1"/>
  <c r="BP99" i="4" a="1"/>
  <c r="BP99" i="4" s="1"/>
  <c r="BO99" i="4" a="1"/>
  <c r="BO99" i="4" s="1"/>
  <c r="BP98" i="4" a="1"/>
  <c r="BP98" i="4" s="1"/>
  <c r="BO98" i="4" a="1"/>
  <c r="BO98" i="4" s="1"/>
  <c r="BP97" i="4" a="1"/>
  <c r="BP97" i="4" s="1"/>
  <c r="BO97" i="4" a="1"/>
  <c r="BO97" i="4" s="1"/>
  <c r="BP96" i="4" a="1"/>
  <c r="BP96" i="4" s="1"/>
  <c r="BO96" i="4" a="1"/>
  <c r="BO96" i="4" s="1"/>
  <c r="BP95" i="4" a="1"/>
  <c r="BP95" i="4" s="1"/>
  <c r="BO95" i="4" a="1"/>
  <c r="BO95" i="4" s="1"/>
  <c r="BP94" i="4" a="1"/>
  <c r="BP94" i="4" s="1"/>
  <c r="BO94" i="4" a="1"/>
  <c r="BO94" i="4" s="1"/>
  <c r="BP93" i="4"/>
  <c r="BP93" i="4" a="1"/>
  <c r="BO93" i="4" a="1"/>
  <c r="BO93" i="4" s="1"/>
  <c r="BP92" i="4" a="1"/>
  <c r="BP92" i="4" s="1"/>
  <c r="BO92" i="4" a="1"/>
  <c r="BO92" i="4" s="1"/>
  <c r="BP91" i="4" a="1"/>
  <c r="BP91" i="4" s="1"/>
  <c r="BO91" i="4" a="1"/>
  <c r="BO91" i="4" s="1"/>
  <c r="BP89" i="4" a="1"/>
  <c r="BP89" i="4" s="1"/>
  <c r="BO89" i="4"/>
  <c r="BO89" i="4" a="1"/>
  <c r="BP88" i="4" a="1"/>
  <c r="BP88" i="4" s="1"/>
  <c r="BO88" i="4" a="1"/>
  <c r="BO88" i="4" s="1"/>
  <c r="BP87" i="4" a="1"/>
  <c r="BP87" i="4" s="1"/>
  <c r="BO87" i="4" a="1"/>
  <c r="BO87" i="4" s="1"/>
  <c r="BP86" i="4" a="1"/>
  <c r="BP86" i="4" s="1"/>
  <c r="BO86" i="4"/>
  <c r="BO86" i="4" a="1"/>
  <c r="BP85" i="4" a="1"/>
  <c r="BP85" i="4" s="1"/>
  <c r="BO85" i="4" a="1"/>
  <c r="BO85" i="4" s="1"/>
  <c r="BP84" i="4"/>
  <c r="BP84" i="4" a="1"/>
  <c r="BO84" i="4" a="1"/>
  <c r="BO84" i="4" s="1"/>
  <c r="BP83" i="4" a="1"/>
  <c r="BP83" i="4" s="1"/>
  <c r="BO83" i="4" a="1"/>
  <c r="BO83" i="4" s="1"/>
  <c r="BP82" i="4" a="1"/>
  <c r="BP82" i="4" s="1"/>
  <c r="BO82" i="4" a="1"/>
  <c r="BO82" i="4" s="1"/>
  <c r="BP81" i="4"/>
  <c r="BP81" i="4" a="1"/>
  <c r="BO81" i="4" a="1"/>
  <c r="BO81" i="4" s="1"/>
  <c r="BP80" i="4" a="1"/>
  <c r="BP80" i="4" s="1"/>
  <c r="BO80" i="4"/>
  <c r="BO80" i="4" a="1"/>
  <c r="BP78" i="4" a="1"/>
  <c r="BP78" i="4" s="1"/>
  <c r="BO78" i="4" a="1"/>
  <c r="BO78" i="4" s="1"/>
  <c r="BP77" i="4" a="1"/>
  <c r="BP77" i="4" s="1"/>
  <c r="BO77" i="4"/>
  <c r="BO77" i="4" a="1"/>
  <c r="BP76" i="4" a="1"/>
  <c r="BP76" i="4" s="1"/>
  <c r="BO76" i="4" a="1"/>
  <c r="BO76" i="4" s="1"/>
  <c r="BP75" i="4"/>
  <c r="BP75" i="4" a="1"/>
  <c r="BO75" i="4" a="1"/>
  <c r="BO75" i="4" s="1"/>
  <c r="BP74" i="4" a="1"/>
  <c r="BP74" i="4" s="1"/>
  <c r="BO74" i="4" a="1"/>
  <c r="BO74" i="4" s="1"/>
  <c r="BP73" i="4" a="1"/>
  <c r="BP73" i="4" s="1"/>
  <c r="BO73" i="4" a="1"/>
  <c r="BO73" i="4" s="1"/>
  <c r="BP72" i="4"/>
  <c r="BP72" i="4" a="1"/>
  <c r="BO72" i="4" a="1"/>
  <c r="BO72" i="4" s="1"/>
  <c r="BP71" i="4" a="1"/>
  <c r="BP71" i="4" s="1"/>
  <c r="BO71" i="4"/>
  <c r="BO71" i="4" a="1"/>
  <c r="BP70" i="4" a="1"/>
  <c r="BP70" i="4" s="1"/>
  <c r="BO70" i="4" a="1"/>
  <c r="BO70" i="4" s="1"/>
  <c r="BP69" i="4" a="1"/>
  <c r="BP69" i="4" s="1"/>
  <c r="BO69" i="4" a="1"/>
  <c r="BO69" i="4" s="1"/>
  <c r="BP67" i="4" a="1"/>
  <c r="BP67" i="4" s="1"/>
  <c r="BO67" i="4" a="1"/>
  <c r="BO67" i="4" s="1"/>
  <c r="BP66" i="4"/>
  <c r="BP66" i="4" a="1"/>
  <c r="BO66" i="4" a="1"/>
  <c r="BO66" i="4" s="1"/>
  <c r="BP65" i="4" a="1"/>
  <c r="BP65" i="4" s="1"/>
  <c r="BO65" i="4" a="1"/>
  <c r="BO65" i="4" s="1"/>
  <c r="BP64" i="4" a="1"/>
  <c r="BP64" i="4" s="1"/>
  <c r="BO64" i="4" a="1"/>
  <c r="BO64" i="4" s="1"/>
  <c r="BP63" i="4"/>
  <c r="BP63" i="4" a="1"/>
  <c r="BO63" i="4" a="1"/>
  <c r="BO63" i="4" s="1"/>
  <c r="BP62" i="4" a="1"/>
  <c r="BP62" i="4" s="1"/>
  <c r="BO62" i="4"/>
  <c r="BO62" i="4" a="1"/>
  <c r="BP61" i="4" a="1"/>
  <c r="BP61" i="4" s="1"/>
  <c r="BO61" i="4" a="1"/>
  <c r="BO61" i="4" s="1"/>
  <c r="BP60" i="4" a="1"/>
  <c r="BP60" i="4" s="1"/>
  <c r="BO60" i="4" a="1"/>
  <c r="BO60" i="4" s="1"/>
  <c r="BP59" i="4" a="1"/>
  <c r="BP59" i="4" s="1"/>
  <c r="BO59" i="4"/>
  <c r="BO59" i="4" a="1"/>
  <c r="BP58" i="4" a="1"/>
  <c r="BP58" i="4" s="1"/>
  <c r="BO58" i="4" a="1"/>
  <c r="BO58" i="4" s="1"/>
  <c r="BP56" i="4" a="1"/>
  <c r="BP56" i="4" s="1"/>
  <c r="BO56" i="4" a="1"/>
  <c r="BO56" i="4" s="1"/>
  <c r="BP55" i="4" a="1"/>
  <c r="BP55" i="4" s="1"/>
  <c r="BO55" i="4" a="1"/>
  <c r="BO55" i="4" s="1"/>
  <c r="BP54" i="4"/>
  <c r="BP54" i="4" a="1"/>
  <c r="BO54" i="4" a="1"/>
  <c r="BO54" i="4" s="1"/>
  <c r="BP53" i="4" a="1"/>
  <c r="BP53" i="4" s="1"/>
  <c r="BO53" i="4" a="1"/>
  <c r="BO53" i="4" s="1"/>
  <c r="BP52" i="4" a="1"/>
  <c r="BP52" i="4" s="1"/>
  <c r="BO52" i="4" a="1"/>
  <c r="BO52" i="4" s="1"/>
  <c r="BP51" i="4" a="1"/>
  <c r="BP51" i="4" s="1"/>
  <c r="BO51" i="4" a="1"/>
  <c r="BO51" i="4" s="1"/>
  <c r="BP50" i="4" a="1"/>
  <c r="BP50" i="4" s="1"/>
  <c r="BO50" i="4"/>
  <c r="BO50" i="4" a="1"/>
  <c r="BP49" i="4" a="1"/>
  <c r="BP49" i="4" s="1"/>
  <c r="BO49" i="4" a="1"/>
  <c r="BO49" i="4" s="1"/>
  <c r="BP48" i="4" a="1"/>
  <c r="BP48" i="4" s="1"/>
  <c r="BO48" i="4" a="1"/>
  <c r="BO48" i="4" s="1"/>
  <c r="BP47" i="4" a="1"/>
  <c r="BP47" i="4" s="1"/>
  <c r="BO47" i="4" a="1"/>
  <c r="BO47" i="4" s="1"/>
  <c r="BP45" i="4"/>
  <c r="BP45" i="4" a="1"/>
  <c r="BO45" i="4" a="1"/>
  <c r="BO45" i="4" s="1"/>
  <c r="BP44" i="4" a="1"/>
  <c r="BP44" i="4" s="1"/>
  <c r="BO44" i="4" a="1"/>
  <c r="BO44" i="4" s="1"/>
  <c r="BP43" i="4" a="1"/>
  <c r="BP43" i="4" s="1"/>
  <c r="BO43" i="4" a="1"/>
  <c r="BO43" i="4" s="1"/>
  <c r="BP42" i="4" a="1"/>
  <c r="BP42" i="4" s="1"/>
  <c r="BO42" i="4" a="1"/>
  <c r="BO42" i="4" s="1"/>
  <c r="BP41" i="4" a="1"/>
  <c r="BP41" i="4" s="1"/>
  <c r="BO41" i="4"/>
  <c r="BO41" i="4" a="1"/>
  <c r="BP40" i="4" a="1"/>
  <c r="BP40" i="4" s="1"/>
  <c r="BO40" i="4" a="1"/>
  <c r="BO40" i="4" s="1"/>
  <c r="BP39" i="4" a="1"/>
  <c r="BP39" i="4" s="1"/>
  <c r="BO39" i="4" a="1"/>
  <c r="BO39" i="4" s="1"/>
  <c r="BP38" i="4" a="1"/>
  <c r="BP38" i="4" s="1"/>
  <c r="BO38" i="4" a="1"/>
  <c r="BO38" i="4" s="1"/>
  <c r="BP37" i="4" a="1"/>
  <c r="BP37" i="4" s="1"/>
  <c r="BO37" i="4" a="1"/>
  <c r="BO37" i="4" s="1"/>
  <c r="BP36" i="4"/>
  <c r="BP36" i="4" a="1"/>
  <c r="BO36" i="4" a="1"/>
  <c r="BO36" i="4" s="1"/>
  <c r="BP34" i="4" a="1"/>
  <c r="BP34" i="4" s="1"/>
  <c r="BO34" i="4" a="1"/>
  <c r="BO34" i="4" s="1"/>
  <c r="BP33" i="4" a="1"/>
  <c r="BP33" i="4" s="1"/>
  <c r="BO33" i="4" a="1"/>
  <c r="BO33" i="4" s="1"/>
  <c r="BP32" i="4" a="1"/>
  <c r="BP32" i="4" s="1"/>
  <c r="BO32" i="4"/>
  <c r="BO32" i="4" a="1"/>
  <c r="BP31" i="4" a="1"/>
  <c r="BP31" i="4" s="1"/>
  <c r="BO31" i="4" a="1"/>
  <c r="BO31" i="4" s="1"/>
  <c r="BP30" i="4" a="1"/>
  <c r="BP30" i="4" s="1"/>
  <c r="BO30" i="4" a="1"/>
  <c r="BO30" i="4" s="1"/>
  <c r="BP29" i="4" a="1"/>
  <c r="BP29" i="4" s="1"/>
  <c r="BO29" i="4" a="1"/>
  <c r="BO29" i="4" s="1"/>
  <c r="BP28" i="4" a="1"/>
  <c r="BP28" i="4" s="1"/>
  <c r="BO28" i="4" a="1"/>
  <c r="BO28" i="4" s="1"/>
  <c r="BP27" i="4"/>
  <c r="BP27" i="4" a="1"/>
  <c r="BO27" i="4" a="1"/>
  <c r="BO27" i="4" s="1"/>
  <c r="BP26" i="4" a="1"/>
  <c r="BP26" i="4" s="1"/>
  <c r="BO26" i="4" a="1"/>
  <c r="BO26" i="4" s="1"/>
  <c r="BP25" i="4" a="1"/>
  <c r="BP25" i="4" s="1"/>
  <c r="BO25" i="4" a="1"/>
  <c r="BO25" i="4" s="1"/>
  <c r="BP23" i="4" a="1"/>
  <c r="BP23" i="4" s="1"/>
  <c r="BO23" i="4"/>
  <c r="BO23" i="4" a="1"/>
  <c r="BP22" i="4" a="1"/>
  <c r="BP22" i="4" s="1"/>
  <c r="BO22" i="4" a="1"/>
  <c r="BO22" i="4" s="1"/>
  <c r="BP21" i="4" a="1"/>
  <c r="BP21" i="4" s="1"/>
  <c r="BO21" i="4" a="1"/>
  <c r="BO21" i="4" s="1"/>
  <c r="BP20" i="4" a="1"/>
  <c r="BP20" i="4" s="1"/>
  <c r="BO20" i="4" a="1"/>
  <c r="BO20" i="4" s="1"/>
  <c r="BP19" i="4" a="1"/>
  <c r="BP19" i="4" s="1"/>
  <c r="BO19" i="4" a="1"/>
  <c r="BO19" i="4" s="1"/>
  <c r="BP18" i="4"/>
  <c r="BP18" i="4" a="1"/>
  <c r="BO18" i="4" a="1"/>
  <c r="BO18" i="4" s="1"/>
  <c r="BP17" i="4" a="1"/>
  <c r="BP17" i="4" s="1"/>
  <c r="BO17" i="4" a="1"/>
  <c r="BO17" i="4" s="1"/>
  <c r="BP16" i="4" a="1"/>
  <c r="BP16" i="4" s="1"/>
  <c r="BO16" i="4" a="1"/>
  <c r="BO16" i="4" s="1"/>
  <c r="BP15" i="4" a="1"/>
  <c r="BP15" i="4" s="1"/>
  <c r="BO15" i="4" a="1"/>
  <c r="BO15" i="4" s="1"/>
  <c r="BP14" i="4" a="1"/>
  <c r="BP14" i="4" s="1"/>
  <c r="BO14" i="4"/>
  <c r="BO14" i="4" a="1"/>
  <c r="BP12" i="4" a="1"/>
  <c r="BP12" i="4" s="1"/>
  <c r="BO12" i="4" a="1"/>
  <c r="BO12" i="4" s="1"/>
  <c r="BP11" i="4" a="1"/>
  <c r="BP11" i="4" s="1"/>
  <c r="BO11" i="4" a="1"/>
  <c r="BO11" i="4" s="1"/>
  <c r="BP10" i="4" a="1"/>
  <c r="BP10" i="4" s="1"/>
  <c r="BO10" i="4" a="1"/>
  <c r="BO10" i="4" s="1"/>
  <c r="BP9" i="4"/>
  <c r="BP9" i="4" a="1"/>
  <c r="BO9" i="4" a="1"/>
  <c r="BO9" i="4" s="1"/>
  <c r="BP8" i="4" a="1"/>
  <c r="BP8" i="4" s="1"/>
  <c r="BO8" i="4" a="1"/>
  <c r="BO8" i="4" s="1"/>
  <c r="BP7" i="4" a="1"/>
  <c r="BP7" i="4" s="1"/>
  <c r="BO7" i="4" a="1"/>
  <c r="BO7" i="4" s="1"/>
  <c r="BP6" i="4" a="1"/>
  <c r="BP6" i="4" s="1"/>
  <c r="BO6" i="4" a="1"/>
  <c r="BO6" i="4" s="1"/>
  <c r="BP5" i="4" a="1"/>
  <c r="BP5" i="4" s="1"/>
  <c r="BO5" i="4" a="1"/>
  <c r="BO5" i="4" s="1"/>
  <c r="BP4" i="4" a="1"/>
  <c r="BP4" i="4" s="1"/>
  <c r="BO4" i="4" a="1"/>
  <c r="BO4" i="4" s="1"/>
  <c r="BP3" i="4" a="1"/>
  <c r="BP3" i="4" s="1"/>
  <c r="BO3" i="4" a="1"/>
  <c r="BO3" i="4" s="1"/>
  <c r="N223" i="9"/>
  <c r="GI13" i="4" l="1"/>
  <c r="GJ46" i="4"/>
  <c r="GI107" i="4"/>
  <c r="GJ13" i="4"/>
  <c r="GJ107" i="4"/>
  <c r="GI35" i="4"/>
  <c r="GJ35" i="4"/>
  <c r="GI79" i="4"/>
  <c r="DW24" i="4"/>
  <c r="DW107" i="4"/>
  <c r="DW57" i="4"/>
  <c r="DW46" i="4"/>
  <c r="DW35" i="4"/>
  <c r="DW68" i="4"/>
  <c r="DW101" i="4"/>
  <c r="DW13" i="4"/>
  <c r="DX13" i="4"/>
  <c r="DX46" i="4"/>
  <c r="DX68" i="4"/>
  <c r="DX90" i="4"/>
  <c r="DX107" i="4"/>
  <c r="DX24" i="4"/>
  <c r="DX35" i="4"/>
  <c r="DX57" i="4"/>
  <c r="DX79" i="4"/>
  <c r="DX101" i="4"/>
  <c r="N222" i="9"/>
  <c r="N221" i="9"/>
  <c r="N220" i="9"/>
  <c r="N219" i="9"/>
  <c r="N218" i="9"/>
  <c r="N217" i="9"/>
  <c r="N216" i="9"/>
  <c r="N215" i="9"/>
  <c r="N214" i="9"/>
  <c r="N213" i="9"/>
  <c r="N212" i="9"/>
  <c r="IT73" i="4" l="1"/>
  <c r="IS73" i="4"/>
  <c r="IT72" i="4"/>
  <c r="IS72" i="4"/>
  <c r="IT71" i="4"/>
  <c r="IS71" i="4"/>
  <c r="IT70" i="4"/>
  <c r="IS70" i="4"/>
  <c r="IT69" i="4"/>
  <c r="IS69" i="4"/>
  <c r="GH114" i="4"/>
  <c r="GG114" i="4"/>
  <c r="GF114" i="4"/>
  <c r="GE114" i="4"/>
  <c r="GD114" i="4"/>
  <c r="GC114" i="4"/>
  <c r="GB114" i="4"/>
  <c r="GA114" i="4"/>
  <c r="FZ114" i="4"/>
  <c r="FY114" i="4"/>
  <c r="FX114" i="4"/>
  <c r="FW114" i="4"/>
  <c r="FV114" i="4"/>
  <c r="FU114" i="4"/>
  <c r="FT114" i="4"/>
  <c r="FS114" i="4"/>
  <c r="FR114" i="4"/>
  <c r="FQ114" i="4"/>
  <c r="FP114" i="4"/>
  <c r="FO114" i="4"/>
  <c r="FN114" i="4"/>
  <c r="FM114" i="4"/>
  <c r="FL114" i="4"/>
  <c r="FK114" i="4"/>
  <c r="FJ114" i="4"/>
  <c r="FI114" i="4"/>
  <c r="FH114" i="4"/>
  <c r="FG114" i="4"/>
  <c r="FF114" i="4"/>
  <c r="FE114" i="4"/>
  <c r="FD114" i="4"/>
  <c r="FC114" i="4"/>
  <c r="FB114" i="4"/>
  <c r="FA114" i="4"/>
  <c r="EZ114" i="4"/>
  <c r="EY114" i="4"/>
  <c r="EX114" i="4"/>
  <c r="EW114" i="4"/>
  <c r="EV114" i="4"/>
  <c r="EU114" i="4"/>
  <c r="ET114" i="4"/>
  <c r="ES114" i="4"/>
  <c r="ER114" i="4"/>
  <c r="EQ114" i="4"/>
  <c r="EP114" i="4"/>
  <c r="EO114" i="4"/>
  <c r="EN114" i="4"/>
  <c r="EM114" i="4"/>
  <c r="EL114" i="4"/>
  <c r="EK114" i="4"/>
  <c r="EJ114" i="4"/>
  <c r="EI114" i="4"/>
  <c r="EH114" i="4"/>
  <c r="EG114" i="4"/>
  <c r="EF114" i="4"/>
  <c r="EE114" i="4"/>
  <c r="ED114" i="4"/>
  <c r="EC114" i="4"/>
  <c r="EB114" i="4"/>
  <c r="EA114" i="4"/>
  <c r="DZ114" i="4"/>
  <c r="DY114" i="4"/>
  <c r="DV114" i="4"/>
  <c r="DU114" i="4"/>
  <c r="DT114" i="4"/>
  <c r="DS114" i="4"/>
  <c r="DR114" i="4"/>
  <c r="DQ114" i="4"/>
  <c r="DP114" i="4"/>
  <c r="DO114" i="4"/>
  <c r="DN114" i="4"/>
  <c r="DM114" i="4"/>
  <c r="DL114" i="4"/>
  <c r="DK114" i="4"/>
  <c r="DJ114" i="4"/>
  <c r="DI114" i="4"/>
  <c r="DH114" i="4"/>
  <c r="DG114" i="4"/>
  <c r="DF114" i="4"/>
  <c r="DE114" i="4"/>
  <c r="DD114" i="4"/>
  <c r="DC114" i="4"/>
  <c r="DB114" i="4"/>
  <c r="DA114" i="4"/>
  <c r="CZ114" i="4"/>
  <c r="CY114" i="4"/>
  <c r="CX114" i="4"/>
  <c r="CW114" i="4"/>
  <c r="CV114" i="4"/>
  <c r="CU114" i="4"/>
  <c r="CT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CF114" i="4"/>
  <c r="CE114" i="4"/>
  <c r="CD114" i="4"/>
  <c r="CC114" i="4"/>
  <c r="CB114" i="4"/>
  <c r="CA114" i="4"/>
  <c r="BZ114" i="4"/>
  <c r="BY114" i="4"/>
  <c r="BX114" i="4"/>
  <c r="BW114" i="4"/>
  <c r="BV114" i="4"/>
  <c r="BU114" i="4"/>
  <c r="BT114" i="4"/>
  <c r="BS114" i="4"/>
  <c r="BR114" i="4"/>
  <c r="BQ114" i="4"/>
  <c r="SL114" i="4"/>
  <c r="SK114" i="4"/>
  <c r="SJ114" i="4"/>
  <c r="SI114" i="4"/>
  <c r="SH114" i="4"/>
  <c r="SG114" i="4"/>
  <c r="SF114" i="4"/>
  <c r="SE114" i="4"/>
  <c r="SD114" i="4"/>
  <c r="SC114" i="4"/>
  <c r="SB114" i="4"/>
  <c r="SA114" i="4"/>
  <c r="RZ114" i="4"/>
  <c r="RY114" i="4"/>
  <c r="RX114" i="4"/>
  <c r="RW114" i="4"/>
  <c r="RV114" i="4"/>
  <c r="RU114" i="4"/>
  <c r="RT114" i="4"/>
  <c r="RS114" i="4"/>
  <c r="RR114" i="4"/>
  <c r="RQ114" i="4"/>
  <c r="RP114" i="4"/>
  <c r="RO114" i="4"/>
  <c r="RN114" i="4"/>
  <c r="RM114" i="4"/>
  <c r="RL114" i="4"/>
  <c r="RK114" i="4"/>
  <c r="RJ114" i="4"/>
  <c r="RI114" i="4"/>
  <c r="RH114" i="4"/>
  <c r="RG114" i="4"/>
  <c r="RF114" i="4"/>
  <c r="RE114" i="4"/>
  <c r="RD114" i="4"/>
  <c r="RC114" i="4"/>
  <c r="RB114" i="4"/>
  <c r="RA114" i="4"/>
  <c r="QZ114" i="4"/>
  <c r="QY114" i="4"/>
  <c r="QX114" i="4"/>
  <c r="QW114" i="4"/>
  <c r="QV114" i="4"/>
  <c r="QU114" i="4"/>
  <c r="QT114" i="4"/>
  <c r="QS114" i="4"/>
  <c r="QR114" i="4"/>
  <c r="QQ114" i="4"/>
  <c r="QP114" i="4"/>
  <c r="QO114" i="4"/>
  <c r="QN114" i="4"/>
  <c r="QM114" i="4"/>
  <c r="QL114" i="4"/>
  <c r="QK114" i="4"/>
  <c r="QJ114" i="4"/>
  <c r="QI114" i="4"/>
  <c r="QH114" i="4"/>
  <c r="QG114" i="4"/>
  <c r="QF114" i="4"/>
  <c r="QE114" i="4"/>
  <c r="QD114" i="4"/>
  <c r="QC114" i="4"/>
  <c r="PZ114" i="4"/>
  <c r="PY114" i="4"/>
  <c r="PX114" i="4"/>
  <c r="PW114" i="4"/>
  <c r="PV114" i="4"/>
  <c r="PU114" i="4"/>
  <c r="PT114" i="4"/>
  <c r="PS114" i="4"/>
  <c r="PR114" i="4"/>
  <c r="PQ114" i="4"/>
  <c r="PP114" i="4"/>
  <c r="PO114" i="4"/>
  <c r="PN114" i="4"/>
  <c r="PM114" i="4"/>
  <c r="PL114" i="4"/>
  <c r="PK114" i="4"/>
  <c r="PJ114" i="4"/>
  <c r="PI114" i="4"/>
  <c r="PH114" i="4"/>
  <c r="PG114" i="4"/>
  <c r="PF114" i="4"/>
  <c r="PE114" i="4"/>
  <c r="PD114" i="4"/>
  <c r="PC114" i="4"/>
  <c r="PB114" i="4"/>
  <c r="PA114" i="4"/>
  <c r="OZ114" i="4"/>
  <c r="OY114" i="4"/>
  <c r="OX114" i="4"/>
  <c r="OW114" i="4"/>
  <c r="OV114" i="4"/>
  <c r="OU114" i="4"/>
  <c r="OT114" i="4"/>
  <c r="OS114" i="4"/>
  <c r="OR114" i="4"/>
  <c r="OQ114" i="4"/>
  <c r="OP114" i="4"/>
  <c r="OO114" i="4"/>
  <c r="ON114" i="4"/>
  <c r="OM114" i="4"/>
  <c r="OL114" i="4"/>
  <c r="OK114" i="4"/>
  <c r="OJ114" i="4"/>
  <c r="OI114" i="4"/>
  <c r="OH114" i="4"/>
  <c r="OG114" i="4"/>
  <c r="OF114" i="4"/>
  <c r="OE114" i="4"/>
  <c r="OD114" i="4"/>
  <c r="OC114" i="4"/>
  <c r="OB114" i="4"/>
  <c r="OA114" i="4"/>
  <c r="NZ114" i="4"/>
  <c r="NY114" i="4"/>
  <c r="NX114" i="4"/>
  <c r="NW114" i="4"/>
  <c r="NV114" i="4"/>
  <c r="NU114" i="4"/>
  <c r="NT114" i="4"/>
  <c r="NS114" i="4"/>
  <c r="NR114" i="4"/>
  <c r="NQ114" i="4"/>
  <c r="NN114" i="4"/>
  <c r="NM114" i="4"/>
  <c r="NL114" i="4"/>
  <c r="NK114" i="4"/>
  <c r="NJ114" i="4"/>
  <c r="NI114" i="4"/>
  <c r="NH114" i="4"/>
  <c r="NG114" i="4"/>
  <c r="NF114" i="4"/>
  <c r="NE114" i="4"/>
  <c r="ND114" i="4"/>
  <c r="NC114" i="4"/>
  <c r="NB114" i="4"/>
  <c r="NA114" i="4"/>
  <c r="MZ114" i="4"/>
  <c r="MY114" i="4"/>
  <c r="MX114" i="4"/>
  <c r="MW114" i="4"/>
  <c r="MV114" i="4"/>
  <c r="MU114" i="4"/>
  <c r="MT114" i="4"/>
  <c r="MS114" i="4"/>
  <c r="MR114" i="4"/>
  <c r="MQ114" i="4"/>
  <c r="MP114" i="4"/>
  <c r="MO114" i="4"/>
  <c r="MN114" i="4"/>
  <c r="MM114" i="4"/>
  <c r="ML114" i="4"/>
  <c r="MK114" i="4"/>
  <c r="MJ114" i="4"/>
  <c r="MI114" i="4"/>
  <c r="MH114" i="4"/>
  <c r="MG114" i="4"/>
  <c r="MF114" i="4"/>
  <c r="ME114" i="4"/>
  <c r="MD114" i="4"/>
  <c r="MC114" i="4"/>
  <c r="MB114" i="4"/>
  <c r="MA114" i="4"/>
  <c r="LZ114" i="4"/>
  <c r="LY114" i="4"/>
  <c r="LX114" i="4"/>
  <c r="LW114" i="4"/>
  <c r="LV114" i="4"/>
  <c r="LU114" i="4"/>
  <c r="LT114" i="4"/>
  <c r="LS114" i="4"/>
  <c r="LR114" i="4"/>
  <c r="LQ114" i="4"/>
  <c r="LP114" i="4"/>
  <c r="LO114" i="4"/>
  <c r="LN114" i="4"/>
  <c r="LM114" i="4"/>
  <c r="LL114" i="4"/>
  <c r="LK114" i="4"/>
  <c r="LJ114" i="4"/>
  <c r="LI114" i="4"/>
  <c r="LH114" i="4"/>
  <c r="LG114" i="4"/>
  <c r="LD114" i="4"/>
  <c r="LC114" i="4"/>
  <c r="LB114" i="4"/>
  <c r="LA114" i="4"/>
  <c r="KZ114" i="4"/>
  <c r="KY114" i="4"/>
  <c r="KX114" i="4"/>
  <c r="KW114" i="4"/>
  <c r="KV114" i="4"/>
  <c r="KU114" i="4"/>
  <c r="KT114" i="4"/>
  <c r="KS114" i="4"/>
  <c r="KR114" i="4"/>
  <c r="KQ114" i="4"/>
  <c r="KP114" i="4"/>
  <c r="KO114" i="4"/>
  <c r="KN114" i="4"/>
  <c r="KM114" i="4"/>
  <c r="KL114" i="4"/>
  <c r="KK114" i="4"/>
  <c r="KJ114" i="4"/>
  <c r="KI114" i="4"/>
  <c r="KH114" i="4"/>
  <c r="KG114" i="4"/>
  <c r="KF114" i="4"/>
  <c r="KE114" i="4"/>
  <c r="KD114" i="4"/>
  <c r="KC114" i="4"/>
  <c r="KB114" i="4"/>
  <c r="KA114" i="4"/>
  <c r="JZ114" i="4"/>
  <c r="JY114" i="4"/>
  <c r="JX114" i="4"/>
  <c r="JW114" i="4"/>
  <c r="JV114" i="4"/>
  <c r="JU114" i="4"/>
  <c r="JT114" i="4"/>
  <c r="JS114" i="4"/>
  <c r="JR114" i="4"/>
  <c r="JQ114" i="4"/>
  <c r="JP114" i="4"/>
  <c r="JO114" i="4"/>
  <c r="JN114" i="4"/>
  <c r="JM114" i="4"/>
  <c r="JL114" i="4"/>
  <c r="JK114" i="4"/>
  <c r="JJ114" i="4"/>
  <c r="JI114" i="4"/>
  <c r="JH114" i="4"/>
  <c r="JG114" i="4"/>
  <c r="JF114" i="4"/>
  <c r="JE114" i="4"/>
  <c r="JD114" i="4"/>
  <c r="JC114" i="4"/>
  <c r="JB114" i="4"/>
  <c r="JA114" i="4"/>
  <c r="IZ114" i="4"/>
  <c r="IY114" i="4"/>
  <c r="IX114" i="4"/>
  <c r="IW114" i="4"/>
  <c r="IV114" i="4"/>
  <c r="IU114" i="4"/>
  <c r="GI114" i="4" l="1" a="1"/>
  <c r="GI114" i="4" s="1"/>
  <c r="GJ114" i="4" a="1"/>
  <c r="GJ114" i="4" s="1"/>
  <c r="DW114" i="4" a="1"/>
  <c r="DW114" i="4" s="1"/>
  <c r="DX114" i="4" a="1"/>
  <c r="DX114" i="4" s="1"/>
  <c r="N211" i="9"/>
  <c r="HC127" i="4" l="1"/>
  <c r="E3" i="6" l="1"/>
  <c r="IR114" i="4" l="1"/>
  <c r="IQ114" i="4"/>
  <c r="IP114" i="4"/>
  <c r="IO114" i="4"/>
  <c r="IN114" i="4"/>
  <c r="IM114" i="4"/>
  <c r="IL114" i="4"/>
  <c r="IK114" i="4"/>
  <c r="IJ114" i="4"/>
  <c r="II114" i="4"/>
  <c r="IH114" i="4"/>
  <c r="IG114" i="4"/>
  <c r="IF114" i="4"/>
  <c r="IE114" i="4"/>
  <c r="ID114" i="4"/>
  <c r="IC114" i="4"/>
  <c r="IB114" i="4"/>
  <c r="IA114" i="4"/>
  <c r="HZ114" i="4"/>
  <c r="HY114" i="4"/>
  <c r="GN1" i="4" l="1"/>
  <c r="GP1" i="4" s="1"/>
  <c r="GR1" i="4" s="1"/>
  <c r="GT1" i="4" s="1"/>
  <c r="GV1" i="4" s="1"/>
  <c r="GX1" i="4" s="1"/>
  <c r="GZ1" i="4" s="1"/>
  <c r="HB1" i="4" s="1"/>
  <c r="HD1" i="4" s="1"/>
  <c r="HF1" i="4" s="1"/>
  <c r="HH1" i="4" s="1"/>
  <c r="HJ1" i="4" s="1"/>
  <c r="HL1" i="4" s="1"/>
  <c r="HN1" i="4" s="1"/>
  <c r="HP1" i="4" s="1"/>
  <c r="HR1" i="4" s="1"/>
  <c r="HT1" i="4" s="1"/>
  <c r="HV1" i="4" s="1"/>
  <c r="HX1" i="4" s="1"/>
  <c r="HZ1" i="4" s="1"/>
  <c r="IB1" i="4" s="1"/>
  <c r="ID1" i="4" s="1"/>
  <c r="IF1" i="4" s="1"/>
  <c r="IH1" i="4" s="1"/>
  <c r="IJ1" i="4" s="1"/>
  <c r="IL1" i="4" s="1"/>
  <c r="IN1" i="4" s="1"/>
  <c r="IP1" i="4" s="1"/>
  <c r="IR1" i="4" s="1"/>
  <c r="GM1" i="4"/>
  <c r="GO1" i="4" s="1"/>
  <c r="GQ1" i="4" s="1"/>
  <c r="GS1" i="4" s="1"/>
  <c r="GU1" i="4" s="1"/>
  <c r="GW1" i="4" s="1"/>
  <c r="GY1" i="4" s="1"/>
  <c r="HA1" i="4" s="1"/>
  <c r="HC1" i="4" s="1"/>
  <c r="HE1" i="4" s="1"/>
  <c r="HG1" i="4" s="1"/>
  <c r="HI1" i="4" s="1"/>
  <c r="HK1" i="4" s="1"/>
  <c r="HM1" i="4" s="1"/>
  <c r="HO1" i="4" s="1"/>
  <c r="HQ1" i="4" s="1"/>
  <c r="HS1" i="4" s="1"/>
  <c r="HU1" i="4" s="1"/>
  <c r="HW1" i="4" s="1"/>
  <c r="HY1" i="4" s="1"/>
  <c r="IA1" i="4" s="1"/>
  <c r="IC1" i="4" s="1"/>
  <c r="IE1" i="4" s="1"/>
  <c r="IG1" i="4" s="1"/>
  <c r="II1" i="4" s="1"/>
  <c r="IK1" i="4" s="1"/>
  <c r="IM1" i="4" s="1"/>
  <c r="IO1" i="4" s="1"/>
  <c r="IQ1" i="4" s="1"/>
  <c r="GH58" i="4" l="1"/>
  <c r="GG58" i="4"/>
  <c r="GF58" i="4"/>
  <c r="GE58" i="4"/>
  <c r="GD58" i="4"/>
  <c r="GC58" i="4"/>
  <c r="GB58" i="4"/>
  <c r="GA58" i="4"/>
  <c r="FZ58" i="4"/>
  <c r="FY58" i="4"/>
  <c r="FX58" i="4"/>
  <c r="FW58" i="4"/>
  <c r="FV58" i="4"/>
  <c r="FU58" i="4"/>
  <c r="FT58" i="4"/>
  <c r="FS58" i="4"/>
  <c r="FR58" i="4"/>
  <c r="FQ58" i="4"/>
  <c r="FP58" i="4"/>
  <c r="FO58" i="4"/>
  <c r="FN58" i="4"/>
  <c r="FM58" i="4"/>
  <c r="FL58" i="4"/>
  <c r="FK58" i="4"/>
  <c r="FJ58" i="4"/>
  <c r="FI58" i="4"/>
  <c r="FH58" i="4"/>
  <c r="FG58" i="4"/>
  <c r="FF58" i="4"/>
  <c r="FE58" i="4"/>
  <c r="FD58" i="4"/>
  <c r="FC58" i="4"/>
  <c r="FB58" i="4"/>
  <c r="FA58" i="4"/>
  <c r="EZ58" i="4"/>
  <c r="EY58" i="4"/>
  <c r="EX58" i="4"/>
  <c r="EW58" i="4"/>
  <c r="EV58" i="4"/>
  <c r="EU58" i="4"/>
  <c r="ET58" i="4"/>
  <c r="ES58" i="4"/>
  <c r="ER58" i="4"/>
  <c r="EQ58" i="4"/>
  <c r="EP58" i="4"/>
  <c r="EO58" i="4"/>
  <c r="EN58" i="4"/>
  <c r="EM58" i="4"/>
  <c r="EL58" i="4"/>
  <c r="EK58" i="4"/>
  <c r="EJ58" i="4"/>
  <c r="EI58" i="4"/>
  <c r="EH58" i="4"/>
  <c r="EG58" i="4"/>
  <c r="EF58" i="4"/>
  <c r="EE58" i="4"/>
  <c r="ED58" i="4"/>
  <c r="EC58" i="4"/>
  <c r="EB58" i="4"/>
  <c r="EA58" i="4"/>
  <c r="DZ58" i="4"/>
  <c r="DY58" i="4"/>
  <c r="GI58" i="4" l="1" a="1"/>
  <c r="GI58" i="4" s="1"/>
  <c r="GI68" i="4" s="1"/>
  <c r="GJ58" i="4" a="1"/>
  <c r="GJ58" i="4" s="1"/>
  <c r="GJ68" i="4" s="1"/>
  <c r="B7" i="6"/>
  <c r="B6" i="6"/>
  <c r="B5" i="6"/>
  <c r="B4" i="6"/>
  <c r="B3" i="6"/>
  <c r="G4" i="6" l="1"/>
  <c r="D87" i="8" l="1"/>
  <c r="D86" i="8"/>
  <c r="D85" i="8"/>
  <c r="D84" i="8"/>
  <c r="S83" i="8"/>
  <c r="R86" i="8" s="1"/>
  <c r="D83" i="8"/>
  <c r="D82" i="8"/>
  <c r="D81" i="8"/>
  <c r="D80" i="8"/>
  <c r="D79" i="8"/>
  <c r="S78" i="8"/>
  <c r="R80" i="8" s="1"/>
  <c r="D78" i="8"/>
  <c r="D77" i="8"/>
  <c r="D76" i="8"/>
  <c r="D75" i="8"/>
  <c r="D74" i="8"/>
  <c r="S73" i="8"/>
  <c r="R76" i="8" s="1"/>
  <c r="D73" i="8"/>
  <c r="D72" i="8"/>
  <c r="D71" i="8"/>
  <c r="D70" i="8"/>
  <c r="D69" i="8"/>
  <c r="S68" i="8"/>
  <c r="R71" i="8" s="1"/>
  <c r="D68" i="8"/>
  <c r="D67" i="8"/>
  <c r="D66" i="8"/>
  <c r="D65" i="8"/>
  <c r="D64" i="8"/>
  <c r="S63" i="8"/>
  <c r="R65" i="8" s="1"/>
  <c r="D63" i="8"/>
  <c r="D62" i="8"/>
  <c r="D61" i="8"/>
  <c r="D60" i="8"/>
  <c r="D59" i="8"/>
  <c r="S58" i="8"/>
  <c r="R61" i="8" s="1"/>
  <c r="D58" i="8"/>
  <c r="D57" i="8"/>
  <c r="D56" i="8"/>
  <c r="D55" i="8"/>
  <c r="D54" i="8"/>
  <c r="S53" i="8"/>
  <c r="R57" i="8" s="1"/>
  <c r="D53" i="8"/>
  <c r="D52" i="8"/>
  <c r="D51" i="8"/>
  <c r="D50" i="8"/>
  <c r="D49" i="8"/>
  <c r="S48" i="8"/>
  <c r="R50" i="8" s="1"/>
  <c r="D48" i="8"/>
  <c r="D47" i="8"/>
  <c r="D46" i="8"/>
  <c r="D45" i="8"/>
  <c r="D44" i="8"/>
  <c r="S43" i="8"/>
  <c r="R47" i="8" s="1"/>
  <c r="D43" i="8"/>
  <c r="D42" i="8"/>
  <c r="D41" i="8"/>
  <c r="D40" i="8"/>
  <c r="D39" i="8"/>
  <c r="S38" i="8"/>
  <c r="R42" i="8" s="1"/>
  <c r="D38" i="8"/>
  <c r="D37" i="8"/>
  <c r="D36" i="8"/>
  <c r="D35" i="8"/>
  <c r="D34" i="8"/>
  <c r="S33" i="8"/>
  <c r="R35" i="8" s="1"/>
  <c r="D33" i="8"/>
  <c r="D32" i="8"/>
  <c r="D31" i="8"/>
  <c r="D30" i="8"/>
  <c r="D29" i="8"/>
  <c r="S28" i="8"/>
  <c r="R32" i="8" s="1"/>
  <c r="D28" i="8"/>
  <c r="D27" i="8"/>
  <c r="D26" i="8"/>
  <c r="D25" i="8"/>
  <c r="D24" i="8"/>
  <c r="S23" i="8"/>
  <c r="R27" i="8" s="1"/>
  <c r="D23" i="8"/>
  <c r="D22" i="8"/>
  <c r="D21" i="8"/>
  <c r="D20" i="8"/>
  <c r="D19" i="8"/>
  <c r="S18" i="8"/>
  <c r="R20" i="8" s="1"/>
  <c r="D18" i="8"/>
  <c r="D17" i="8"/>
  <c r="D16" i="8"/>
  <c r="D15" i="8"/>
  <c r="D14" i="8"/>
  <c r="S13" i="8"/>
  <c r="R17" i="8" s="1"/>
  <c r="D13" i="8"/>
  <c r="D12" i="8"/>
  <c r="D11" i="8"/>
  <c r="D10" i="8"/>
  <c r="D9" i="8"/>
  <c r="S8" i="8"/>
  <c r="R12" i="8" s="1"/>
  <c r="D8" i="8"/>
  <c r="D7" i="8"/>
  <c r="D6" i="8"/>
  <c r="D5" i="8"/>
  <c r="D4" i="8"/>
  <c r="S3" i="8"/>
  <c r="R6" i="8" s="1"/>
  <c r="D3" i="8"/>
  <c r="B1" i="8"/>
  <c r="Q1" i="8" s="1"/>
  <c r="ACE115" i="4"/>
  <c r="ZT115" i="4"/>
  <c r="ZS115" i="4"/>
  <c r="XJ115" i="4"/>
  <c r="XI115" i="4"/>
  <c r="UX115" i="4"/>
  <c r="UW115" i="4"/>
  <c r="SN115" i="4"/>
  <c r="SM115" i="4"/>
  <c r="QB115" i="4"/>
  <c r="QA115" i="4"/>
  <c r="NP115" i="4"/>
  <c r="NO115" i="4"/>
  <c r="LF115" i="4"/>
  <c r="LE115" i="4"/>
  <c r="IT115" i="4"/>
  <c r="IS115" i="4"/>
  <c r="ACE114" i="4"/>
  <c r="ZT114" i="4"/>
  <c r="ZS114" i="4"/>
  <c r="XJ114" i="4"/>
  <c r="XI114" i="4"/>
  <c r="UX114" i="4"/>
  <c r="UW114" i="4"/>
  <c r="SN114" i="4"/>
  <c r="SM114" i="4"/>
  <c r="QB114" i="4"/>
  <c r="QA114" i="4"/>
  <c r="NP114" i="4"/>
  <c r="NO114" i="4"/>
  <c r="LF114" i="4"/>
  <c r="LE114" i="4"/>
  <c r="IT114" i="4"/>
  <c r="IS114" i="4"/>
  <c r="ACE112" i="4"/>
  <c r="ZT112" i="4"/>
  <c r="ZS112" i="4"/>
  <c r="XJ112" i="4"/>
  <c r="XI112" i="4"/>
  <c r="UX112" i="4"/>
  <c r="UW112" i="4"/>
  <c r="SN112" i="4"/>
  <c r="SM112" i="4"/>
  <c r="QB112" i="4"/>
  <c r="QA112" i="4"/>
  <c r="NP112" i="4"/>
  <c r="NO112" i="4"/>
  <c r="LF112" i="4"/>
  <c r="LE112" i="4"/>
  <c r="IT112" i="4"/>
  <c r="IS112" i="4"/>
  <c r="ACE111" i="4"/>
  <c r="ZT111" i="4"/>
  <c r="ZS111" i="4"/>
  <c r="XJ111" i="4"/>
  <c r="XI111" i="4"/>
  <c r="UX111" i="4"/>
  <c r="UW111" i="4"/>
  <c r="SN111" i="4"/>
  <c r="SM111" i="4"/>
  <c r="QB111" i="4"/>
  <c r="QA111" i="4"/>
  <c r="NP111" i="4"/>
  <c r="NO111" i="4"/>
  <c r="LF111" i="4"/>
  <c r="LE111" i="4"/>
  <c r="IT111" i="4"/>
  <c r="IS111" i="4"/>
  <c r="ACE110" i="4"/>
  <c r="ZT110" i="4"/>
  <c r="ZS110" i="4"/>
  <c r="XJ110" i="4"/>
  <c r="XI110" i="4"/>
  <c r="UX110" i="4"/>
  <c r="UW110" i="4"/>
  <c r="SN110" i="4"/>
  <c r="SM110" i="4"/>
  <c r="QB110" i="4"/>
  <c r="QA110" i="4"/>
  <c r="NP110" i="4"/>
  <c r="NO110" i="4"/>
  <c r="LF110" i="4"/>
  <c r="LE110" i="4"/>
  <c r="IT110" i="4"/>
  <c r="IS110" i="4"/>
  <c r="ACE109" i="4"/>
  <c r="ZT109" i="4"/>
  <c r="ZS109" i="4"/>
  <c r="XJ109" i="4"/>
  <c r="XI109" i="4"/>
  <c r="UX109" i="4"/>
  <c r="UW109" i="4"/>
  <c r="SN109" i="4"/>
  <c r="SM109" i="4"/>
  <c r="QB109" i="4"/>
  <c r="QA109" i="4"/>
  <c r="NP109" i="4"/>
  <c r="NO109" i="4"/>
  <c r="LF109" i="4"/>
  <c r="LE109" i="4"/>
  <c r="IT109" i="4"/>
  <c r="IS109" i="4"/>
  <c r="ACE108" i="4"/>
  <c r="ZT108" i="4"/>
  <c r="ZS108" i="4"/>
  <c r="XJ108" i="4"/>
  <c r="XI108" i="4"/>
  <c r="UX108" i="4"/>
  <c r="UW108" i="4"/>
  <c r="SN108" i="4"/>
  <c r="SM108" i="4"/>
  <c r="QB108" i="4"/>
  <c r="QA108" i="4"/>
  <c r="NP108" i="4"/>
  <c r="NO108" i="4"/>
  <c r="LF108" i="4"/>
  <c r="LE108" i="4"/>
  <c r="IT108" i="4"/>
  <c r="IS108" i="4"/>
  <c r="ACE106" i="4"/>
  <c r="ZT106" i="4"/>
  <c r="ZS106" i="4"/>
  <c r="XJ106" i="4"/>
  <c r="XI106" i="4"/>
  <c r="UX106" i="4"/>
  <c r="UW106" i="4"/>
  <c r="SN106" i="4"/>
  <c r="SM106" i="4"/>
  <c r="QB106" i="4"/>
  <c r="QA106" i="4"/>
  <c r="NP106" i="4"/>
  <c r="NO106" i="4"/>
  <c r="LF106" i="4"/>
  <c r="LE106" i="4"/>
  <c r="IT106" i="4"/>
  <c r="IS106" i="4"/>
  <c r="ACE105" i="4"/>
  <c r="ZT105" i="4"/>
  <c r="ZS105" i="4"/>
  <c r="XJ105" i="4"/>
  <c r="XI105" i="4"/>
  <c r="UX105" i="4"/>
  <c r="UW105" i="4"/>
  <c r="SN105" i="4"/>
  <c r="SM105" i="4"/>
  <c r="QB105" i="4"/>
  <c r="QA105" i="4"/>
  <c r="NP105" i="4"/>
  <c r="NO105" i="4"/>
  <c r="LF105" i="4"/>
  <c r="LE105" i="4"/>
  <c r="IT105" i="4"/>
  <c r="IS105" i="4"/>
  <c r="ACE104" i="4"/>
  <c r="ZT104" i="4"/>
  <c r="ZS104" i="4"/>
  <c r="XJ104" i="4"/>
  <c r="XI104" i="4"/>
  <c r="UX104" i="4"/>
  <c r="UW104" i="4"/>
  <c r="SN104" i="4"/>
  <c r="SM104" i="4"/>
  <c r="QB104" i="4"/>
  <c r="QA104" i="4"/>
  <c r="NP104" i="4"/>
  <c r="NO104" i="4"/>
  <c r="LF104" i="4"/>
  <c r="LE104" i="4"/>
  <c r="IT104" i="4"/>
  <c r="IS104" i="4"/>
  <c r="ACE103" i="4"/>
  <c r="ZT103" i="4"/>
  <c r="ZS103" i="4"/>
  <c r="XJ103" i="4"/>
  <c r="XI103" i="4"/>
  <c r="UX103" i="4"/>
  <c r="UW103" i="4"/>
  <c r="SN103" i="4"/>
  <c r="SM103" i="4"/>
  <c r="QB103" i="4"/>
  <c r="QA103" i="4"/>
  <c r="NP103" i="4"/>
  <c r="NO103" i="4"/>
  <c r="LF103" i="4"/>
  <c r="LE103" i="4"/>
  <c r="IT103" i="4"/>
  <c r="IS103" i="4"/>
  <c r="ACE102" i="4"/>
  <c r="ZT102" i="4"/>
  <c r="ZS102" i="4"/>
  <c r="XJ102" i="4"/>
  <c r="XI102" i="4"/>
  <c r="UX102" i="4"/>
  <c r="UW102" i="4"/>
  <c r="SN102" i="4"/>
  <c r="SM102" i="4"/>
  <c r="QB102" i="4"/>
  <c r="QA102" i="4"/>
  <c r="NP102" i="4"/>
  <c r="NO102" i="4"/>
  <c r="LF102" i="4"/>
  <c r="LE102" i="4"/>
  <c r="IT102" i="4"/>
  <c r="IS102" i="4"/>
  <c r="ACE100" i="4"/>
  <c r="ZT100" i="4"/>
  <c r="ZS100" i="4"/>
  <c r="XJ100" i="4"/>
  <c r="XI100" i="4"/>
  <c r="UX100" i="4"/>
  <c r="UW100" i="4"/>
  <c r="SN100" i="4"/>
  <c r="SM100" i="4"/>
  <c r="QB100" i="4"/>
  <c r="QA100" i="4"/>
  <c r="NP100" i="4"/>
  <c r="NO100" i="4"/>
  <c r="LF100" i="4"/>
  <c r="LE100" i="4"/>
  <c r="IT100" i="4"/>
  <c r="IS100" i="4"/>
  <c r="ACE99" i="4"/>
  <c r="ZT99" i="4"/>
  <c r="ZS99" i="4"/>
  <c r="XJ99" i="4"/>
  <c r="XI99" i="4"/>
  <c r="UX99" i="4"/>
  <c r="UW99" i="4"/>
  <c r="SN99" i="4"/>
  <c r="SM99" i="4"/>
  <c r="QB99" i="4"/>
  <c r="QA99" i="4"/>
  <c r="NP99" i="4"/>
  <c r="NO99" i="4"/>
  <c r="LF99" i="4"/>
  <c r="LE99" i="4"/>
  <c r="IT99" i="4"/>
  <c r="IS99" i="4"/>
  <c r="ACE98" i="4"/>
  <c r="ZT98" i="4"/>
  <c r="ZS98" i="4"/>
  <c r="XJ98" i="4"/>
  <c r="XI98" i="4"/>
  <c r="UX98" i="4"/>
  <c r="UW98" i="4"/>
  <c r="SN98" i="4"/>
  <c r="SM98" i="4"/>
  <c r="QB98" i="4"/>
  <c r="QA98" i="4"/>
  <c r="NP98" i="4"/>
  <c r="NO98" i="4"/>
  <c r="LF98" i="4"/>
  <c r="LE98" i="4"/>
  <c r="IT98" i="4"/>
  <c r="IS98" i="4"/>
  <c r="ACE97" i="4"/>
  <c r="ZT97" i="4"/>
  <c r="ZS97" i="4"/>
  <c r="XJ97" i="4"/>
  <c r="XI97" i="4"/>
  <c r="UX97" i="4"/>
  <c r="UW97" i="4"/>
  <c r="SN97" i="4"/>
  <c r="SM97" i="4"/>
  <c r="QB97" i="4"/>
  <c r="QA97" i="4"/>
  <c r="NP97" i="4"/>
  <c r="NO97" i="4"/>
  <c r="LF97" i="4"/>
  <c r="LE97" i="4"/>
  <c r="IT97" i="4"/>
  <c r="IS97" i="4"/>
  <c r="ACE96" i="4"/>
  <c r="ZT96" i="4"/>
  <c r="ZS96" i="4"/>
  <c r="XJ96" i="4"/>
  <c r="XI96" i="4"/>
  <c r="UX96" i="4"/>
  <c r="UW96" i="4"/>
  <c r="SN96" i="4"/>
  <c r="SM96" i="4"/>
  <c r="QB96" i="4"/>
  <c r="QA96" i="4"/>
  <c r="NP96" i="4"/>
  <c r="NO96" i="4"/>
  <c r="LF96" i="4"/>
  <c r="LE96" i="4"/>
  <c r="IT96" i="4"/>
  <c r="IS96" i="4"/>
  <c r="ACE95" i="4"/>
  <c r="ZT95" i="4"/>
  <c r="ZS95" i="4"/>
  <c r="XJ95" i="4"/>
  <c r="XI95" i="4"/>
  <c r="UX95" i="4"/>
  <c r="UW95" i="4"/>
  <c r="SN95" i="4"/>
  <c r="SM95" i="4"/>
  <c r="QB95" i="4"/>
  <c r="QA95" i="4"/>
  <c r="NP95" i="4"/>
  <c r="NO95" i="4"/>
  <c r="LF95" i="4"/>
  <c r="LE95" i="4"/>
  <c r="IT95" i="4"/>
  <c r="IS95" i="4"/>
  <c r="ACE94" i="4"/>
  <c r="ZT94" i="4"/>
  <c r="ZS94" i="4"/>
  <c r="XJ94" i="4"/>
  <c r="XI94" i="4"/>
  <c r="UX94" i="4"/>
  <c r="UW94" i="4"/>
  <c r="SN94" i="4"/>
  <c r="SM94" i="4"/>
  <c r="QB94" i="4"/>
  <c r="QA94" i="4"/>
  <c r="NP94" i="4"/>
  <c r="NO94" i="4"/>
  <c r="LF94" i="4"/>
  <c r="LE94" i="4"/>
  <c r="IT94" i="4"/>
  <c r="IS94" i="4"/>
  <c r="ACE93" i="4"/>
  <c r="ZT93" i="4"/>
  <c r="ZS93" i="4"/>
  <c r="XJ93" i="4"/>
  <c r="XI93" i="4"/>
  <c r="UX93" i="4"/>
  <c r="UW93" i="4"/>
  <c r="SN93" i="4"/>
  <c r="SM93" i="4"/>
  <c r="QB93" i="4"/>
  <c r="QA93" i="4"/>
  <c r="NP93" i="4"/>
  <c r="NO93" i="4"/>
  <c r="LF93" i="4"/>
  <c r="LE93" i="4"/>
  <c r="IT93" i="4"/>
  <c r="IS93" i="4"/>
  <c r="ACE92" i="4"/>
  <c r="ZT92" i="4"/>
  <c r="ZS92" i="4"/>
  <c r="XJ92" i="4"/>
  <c r="XI92" i="4"/>
  <c r="UX92" i="4"/>
  <c r="UW92" i="4"/>
  <c r="SN92" i="4"/>
  <c r="SM92" i="4"/>
  <c r="QB92" i="4"/>
  <c r="QA92" i="4"/>
  <c r="NP92" i="4"/>
  <c r="NO92" i="4"/>
  <c r="LF92" i="4"/>
  <c r="LE92" i="4"/>
  <c r="IT92" i="4"/>
  <c r="IS92" i="4"/>
  <c r="ACE91" i="4"/>
  <c r="ZT91" i="4"/>
  <c r="ZS91" i="4"/>
  <c r="XJ91" i="4"/>
  <c r="XI91" i="4"/>
  <c r="UX91" i="4"/>
  <c r="UW91" i="4"/>
  <c r="SN91" i="4"/>
  <c r="SM91" i="4"/>
  <c r="QB91" i="4"/>
  <c r="QA91" i="4"/>
  <c r="NP91" i="4"/>
  <c r="NO91" i="4"/>
  <c r="LF91" i="4"/>
  <c r="LE91" i="4"/>
  <c r="IT91" i="4"/>
  <c r="IS91" i="4"/>
  <c r="ACE89" i="4"/>
  <c r="ZT89" i="4"/>
  <c r="ZS89" i="4"/>
  <c r="XJ89" i="4"/>
  <c r="XI89" i="4"/>
  <c r="UX89" i="4"/>
  <c r="UW89" i="4"/>
  <c r="SN89" i="4"/>
  <c r="SM89" i="4"/>
  <c r="QB89" i="4"/>
  <c r="QA89" i="4"/>
  <c r="NP89" i="4"/>
  <c r="NO89" i="4"/>
  <c r="LF89" i="4"/>
  <c r="LE89" i="4"/>
  <c r="IT89" i="4"/>
  <c r="IS89" i="4"/>
  <c r="ACE88" i="4"/>
  <c r="ZT88" i="4"/>
  <c r="ZS88" i="4"/>
  <c r="XJ88" i="4"/>
  <c r="XI88" i="4"/>
  <c r="UX88" i="4"/>
  <c r="UW88" i="4"/>
  <c r="SN88" i="4"/>
  <c r="SM88" i="4"/>
  <c r="QB88" i="4"/>
  <c r="QA88" i="4"/>
  <c r="NP88" i="4"/>
  <c r="NO88" i="4"/>
  <c r="LF88" i="4"/>
  <c r="LE88" i="4"/>
  <c r="IT88" i="4"/>
  <c r="IS88" i="4"/>
  <c r="ACE87" i="4"/>
  <c r="ZT87" i="4"/>
  <c r="ZS87" i="4"/>
  <c r="XJ87" i="4"/>
  <c r="XI87" i="4"/>
  <c r="UX87" i="4"/>
  <c r="UW87" i="4"/>
  <c r="SN87" i="4"/>
  <c r="SM87" i="4"/>
  <c r="QB87" i="4"/>
  <c r="QA87" i="4"/>
  <c r="NP87" i="4"/>
  <c r="NO87" i="4"/>
  <c r="LF87" i="4"/>
  <c r="LE87" i="4"/>
  <c r="IT87" i="4"/>
  <c r="IS87" i="4"/>
  <c r="ACE86" i="4"/>
  <c r="ZT86" i="4"/>
  <c r="ZS86" i="4"/>
  <c r="XJ86" i="4"/>
  <c r="XI86" i="4"/>
  <c r="UX86" i="4"/>
  <c r="UW86" i="4"/>
  <c r="SN86" i="4"/>
  <c r="SM86" i="4"/>
  <c r="QB86" i="4"/>
  <c r="QA86" i="4"/>
  <c r="NP86" i="4"/>
  <c r="NO86" i="4"/>
  <c r="LF86" i="4"/>
  <c r="LE86" i="4"/>
  <c r="IT86" i="4"/>
  <c r="IS86" i="4"/>
  <c r="ACE85" i="4"/>
  <c r="ZT85" i="4"/>
  <c r="ZS85" i="4"/>
  <c r="XJ85" i="4"/>
  <c r="XI85" i="4"/>
  <c r="UX85" i="4"/>
  <c r="UW85" i="4"/>
  <c r="SN85" i="4"/>
  <c r="SM85" i="4"/>
  <c r="QB85" i="4"/>
  <c r="QA85" i="4"/>
  <c r="NP85" i="4"/>
  <c r="NO85" i="4"/>
  <c r="LF85" i="4"/>
  <c r="LE85" i="4"/>
  <c r="IT85" i="4"/>
  <c r="IS85" i="4"/>
  <c r="ACE84" i="4"/>
  <c r="ZT84" i="4"/>
  <c r="ZS84" i="4"/>
  <c r="XJ84" i="4"/>
  <c r="XI84" i="4"/>
  <c r="UX84" i="4"/>
  <c r="UW84" i="4"/>
  <c r="SN84" i="4"/>
  <c r="SM84" i="4"/>
  <c r="QB84" i="4"/>
  <c r="QA84" i="4"/>
  <c r="NP84" i="4"/>
  <c r="NO84" i="4"/>
  <c r="LF84" i="4"/>
  <c r="LE84" i="4"/>
  <c r="IT84" i="4"/>
  <c r="IS84" i="4"/>
  <c r="ACE83" i="4"/>
  <c r="ZT83" i="4"/>
  <c r="ZS83" i="4"/>
  <c r="XJ83" i="4"/>
  <c r="XI83" i="4"/>
  <c r="UX83" i="4"/>
  <c r="UW83" i="4"/>
  <c r="SN83" i="4"/>
  <c r="SM83" i="4"/>
  <c r="QB83" i="4"/>
  <c r="QA83" i="4"/>
  <c r="NP83" i="4"/>
  <c r="NO83" i="4"/>
  <c r="LF83" i="4"/>
  <c r="LE83" i="4"/>
  <c r="IT83" i="4"/>
  <c r="IS83" i="4"/>
  <c r="ACE82" i="4"/>
  <c r="ZT82" i="4"/>
  <c r="ZS82" i="4"/>
  <c r="XJ82" i="4"/>
  <c r="XI82" i="4"/>
  <c r="UX82" i="4"/>
  <c r="UW82" i="4"/>
  <c r="SN82" i="4"/>
  <c r="SM82" i="4"/>
  <c r="QB82" i="4"/>
  <c r="QA82" i="4"/>
  <c r="NP82" i="4"/>
  <c r="NO82" i="4"/>
  <c r="LF82" i="4"/>
  <c r="LE82" i="4"/>
  <c r="IT82" i="4"/>
  <c r="IS82" i="4"/>
  <c r="ACE81" i="4"/>
  <c r="ZT81" i="4"/>
  <c r="ZS81" i="4"/>
  <c r="XJ81" i="4"/>
  <c r="XI81" i="4"/>
  <c r="UX81" i="4"/>
  <c r="UW81" i="4"/>
  <c r="SN81" i="4"/>
  <c r="SM81" i="4"/>
  <c r="QB81" i="4"/>
  <c r="QA81" i="4"/>
  <c r="NP81" i="4"/>
  <c r="NO81" i="4"/>
  <c r="LF81" i="4"/>
  <c r="LE81" i="4"/>
  <c r="IT81" i="4"/>
  <c r="IS81" i="4"/>
  <c r="ACE80" i="4"/>
  <c r="ZT80" i="4"/>
  <c r="ZS80" i="4"/>
  <c r="XJ80" i="4"/>
  <c r="XI80" i="4"/>
  <c r="UX80" i="4"/>
  <c r="UW80" i="4"/>
  <c r="SN80" i="4"/>
  <c r="SM80" i="4"/>
  <c r="QB80" i="4"/>
  <c r="QA80" i="4"/>
  <c r="NP80" i="4"/>
  <c r="NO80" i="4"/>
  <c r="LF80" i="4"/>
  <c r="LE80" i="4"/>
  <c r="IT80" i="4"/>
  <c r="IS80" i="4"/>
  <c r="ACE78" i="4"/>
  <c r="ZT78" i="4"/>
  <c r="ZS78" i="4"/>
  <c r="XJ78" i="4"/>
  <c r="XI78" i="4"/>
  <c r="UX78" i="4"/>
  <c r="UW78" i="4"/>
  <c r="SN78" i="4"/>
  <c r="SM78" i="4"/>
  <c r="QB78" i="4"/>
  <c r="QA78" i="4"/>
  <c r="NP78" i="4"/>
  <c r="NO78" i="4"/>
  <c r="LF78" i="4"/>
  <c r="LE78" i="4"/>
  <c r="IT78" i="4"/>
  <c r="IS78" i="4"/>
  <c r="ACE77" i="4"/>
  <c r="ZT77" i="4"/>
  <c r="ZS77" i="4"/>
  <c r="XJ77" i="4"/>
  <c r="XI77" i="4"/>
  <c r="UX77" i="4"/>
  <c r="UW77" i="4"/>
  <c r="SN77" i="4"/>
  <c r="SM77" i="4"/>
  <c r="QB77" i="4"/>
  <c r="QA77" i="4"/>
  <c r="NP77" i="4"/>
  <c r="NO77" i="4"/>
  <c r="LF77" i="4"/>
  <c r="LE77" i="4"/>
  <c r="IT77" i="4"/>
  <c r="IS77" i="4"/>
  <c r="ACE76" i="4"/>
  <c r="ZT76" i="4"/>
  <c r="ZS76" i="4"/>
  <c r="XJ76" i="4"/>
  <c r="XI76" i="4"/>
  <c r="UX76" i="4"/>
  <c r="UW76" i="4"/>
  <c r="SN76" i="4"/>
  <c r="SM76" i="4"/>
  <c r="QB76" i="4"/>
  <c r="QA76" i="4"/>
  <c r="NP76" i="4"/>
  <c r="NO76" i="4"/>
  <c r="LF76" i="4"/>
  <c r="LE76" i="4"/>
  <c r="IT76" i="4"/>
  <c r="IS76" i="4"/>
  <c r="ACE75" i="4"/>
  <c r="ZT75" i="4"/>
  <c r="ZS75" i="4"/>
  <c r="XJ75" i="4"/>
  <c r="XI75" i="4"/>
  <c r="UX75" i="4"/>
  <c r="UW75" i="4"/>
  <c r="SN75" i="4"/>
  <c r="SM75" i="4"/>
  <c r="QB75" i="4"/>
  <c r="QA75" i="4"/>
  <c r="NP75" i="4"/>
  <c r="NO75" i="4"/>
  <c r="LF75" i="4"/>
  <c r="LE75" i="4"/>
  <c r="IT75" i="4"/>
  <c r="IS75" i="4"/>
  <c r="ACE74" i="4"/>
  <c r="ZT74" i="4"/>
  <c r="ZS74" i="4"/>
  <c r="XJ74" i="4"/>
  <c r="XI74" i="4"/>
  <c r="UX74" i="4"/>
  <c r="UW74" i="4"/>
  <c r="SN74" i="4"/>
  <c r="SM74" i="4"/>
  <c r="QB74" i="4"/>
  <c r="QA74" i="4"/>
  <c r="NP74" i="4"/>
  <c r="NO74" i="4"/>
  <c r="LF74" i="4"/>
  <c r="LE74" i="4"/>
  <c r="IT74" i="4"/>
  <c r="IS74" i="4"/>
  <c r="ACE67" i="4"/>
  <c r="ZT67" i="4"/>
  <c r="ZS67" i="4"/>
  <c r="XJ67" i="4"/>
  <c r="XI67" i="4"/>
  <c r="UX67" i="4"/>
  <c r="UW67" i="4"/>
  <c r="SN67" i="4"/>
  <c r="SM67" i="4"/>
  <c r="QB67" i="4"/>
  <c r="QA67" i="4"/>
  <c r="NP67" i="4"/>
  <c r="NO67" i="4"/>
  <c r="LF67" i="4"/>
  <c r="LE67" i="4"/>
  <c r="IT67" i="4"/>
  <c r="IS67" i="4"/>
  <c r="ACE66" i="4"/>
  <c r="ZT66" i="4"/>
  <c r="ZS66" i="4"/>
  <c r="XJ66" i="4"/>
  <c r="XI66" i="4"/>
  <c r="UX66" i="4"/>
  <c r="UW66" i="4"/>
  <c r="SN66" i="4"/>
  <c r="SM66" i="4"/>
  <c r="QB66" i="4"/>
  <c r="QA66" i="4"/>
  <c r="NP66" i="4"/>
  <c r="NO66" i="4"/>
  <c r="LF66" i="4"/>
  <c r="LE66" i="4"/>
  <c r="IT66" i="4"/>
  <c r="IS66" i="4"/>
  <c r="ACE65" i="4"/>
  <c r="ZT65" i="4"/>
  <c r="ZS65" i="4"/>
  <c r="XJ65" i="4"/>
  <c r="XI65" i="4"/>
  <c r="UX65" i="4"/>
  <c r="UW65" i="4"/>
  <c r="SN65" i="4"/>
  <c r="SM65" i="4"/>
  <c r="QB65" i="4"/>
  <c r="QA65" i="4"/>
  <c r="NP65" i="4"/>
  <c r="NO65" i="4"/>
  <c r="LF65" i="4"/>
  <c r="LE65" i="4"/>
  <c r="IT65" i="4"/>
  <c r="IS65" i="4"/>
  <c r="ACE64" i="4"/>
  <c r="ZT64" i="4"/>
  <c r="ZS64" i="4"/>
  <c r="XJ64" i="4"/>
  <c r="XI64" i="4"/>
  <c r="UX64" i="4"/>
  <c r="UW64" i="4"/>
  <c r="SN64" i="4"/>
  <c r="SM64" i="4"/>
  <c r="QB64" i="4"/>
  <c r="QA64" i="4"/>
  <c r="NP64" i="4"/>
  <c r="NO64" i="4"/>
  <c r="LF64" i="4"/>
  <c r="LE64" i="4"/>
  <c r="IT64" i="4"/>
  <c r="IS64" i="4"/>
  <c r="ACE63" i="4"/>
  <c r="ZT63" i="4"/>
  <c r="ZS63" i="4"/>
  <c r="XJ63" i="4"/>
  <c r="XI63" i="4"/>
  <c r="UX63" i="4"/>
  <c r="UW63" i="4"/>
  <c r="SN63" i="4"/>
  <c r="SM63" i="4"/>
  <c r="QB63" i="4"/>
  <c r="QA63" i="4"/>
  <c r="NP63" i="4"/>
  <c r="NO63" i="4"/>
  <c r="LF63" i="4"/>
  <c r="LE63" i="4"/>
  <c r="IT63" i="4"/>
  <c r="IS63" i="4"/>
  <c r="ACE62" i="4"/>
  <c r="ZT62" i="4"/>
  <c r="ZS62" i="4"/>
  <c r="XJ62" i="4"/>
  <c r="XI62" i="4"/>
  <c r="UX62" i="4"/>
  <c r="UW62" i="4"/>
  <c r="SN62" i="4"/>
  <c r="SM62" i="4"/>
  <c r="QB62" i="4"/>
  <c r="QA62" i="4"/>
  <c r="NP62" i="4"/>
  <c r="NO62" i="4"/>
  <c r="LF62" i="4"/>
  <c r="LE62" i="4"/>
  <c r="IT62" i="4"/>
  <c r="IS62" i="4"/>
  <c r="ACE61" i="4"/>
  <c r="ZT61" i="4"/>
  <c r="ZS61" i="4"/>
  <c r="XJ61" i="4"/>
  <c r="XI61" i="4"/>
  <c r="UX61" i="4"/>
  <c r="UW61" i="4"/>
  <c r="SN61" i="4"/>
  <c r="SM61" i="4"/>
  <c r="QB61" i="4"/>
  <c r="QA61" i="4"/>
  <c r="NP61" i="4"/>
  <c r="NO61" i="4"/>
  <c r="LF61" i="4"/>
  <c r="LE61" i="4"/>
  <c r="IT61" i="4"/>
  <c r="IS61" i="4"/>
  <c r="ACE60" i="4"/>
  <c r="ZT60" i="4"/>
  <c r="ZS60" i="4"/>
  <c r="XJ60" i="4"/>
  <c r="XI60" i="4"/>
  <c r="UX60" i="4"/>
  <c r="UW60" i="4"/>
  <c r="SN60" i="4"/>
  <c r="SM60" i="4"/>
  <c r="QB60" i="4"/>
  <c r="QA60" i="4"/>
  <c r="NP60" i="4"/>
  <c r="NO60" i="4"/>
  <c r="LF60" i="4"/>
  <c r="LE60" i="4"/>
  <c r="IT60" i="4"/>
  <c r="IS60" i="4"/>
  <c r="ACE59" i="4"/>
  <c r="ZT59" i="4"/>
  <c r="ZS59" i="4"/>
  <c r="XJ59" i="4"/>
  <c r="XI59" i="4"/>
  <c r="UX59" i="4"/>
  <c r="UW59" i="4"/>
  <c r="SN59" i="4"/>
  <c r="SM59" i="4"/>
  <c r="QB59" i="4"/>
  <c r="QA59" i="4"/>
  <c r="NP59" i="4"/>
  <c r="NO59" i="4"/>
  <c r="LF59" i="4"/>
  <c r="LE59" i="4"/>
  <c r="IT59" i="4"/>
  <c r="IS59" i="4"/>
  <c r="ACE58" i="4"/>
  <c r="ZT58" i="4"/>
  <c r="ZS58" i="4"/>
  <c r="XJ58" i="4"/>
  <c r="XI58" i="4"/>
  <c r="UX58" i="4"/>
  <c r="UW58" i="4"/>
  <c r="SN58" i="4"/>
  <c r="SM58" i="4"/>
  <c r="QB58" i="4"/>
  <c r="QA58" i="4"/>
  <c r="NP58" i="4"/>
  <c r="NO58" i="4"/>
  <c r="LF58" i="4"/>
  <c r="LE58" i="4"/>
  <c r="IT58" i="4"/>
  <c r="IS58" i="4"/>
  <c r="ACE56" i="4"/>
  <c r="ZT56" i="4"/>
  <c r="ZS56" i="4"/>
  <c r="XJ56" i="4"/>
  <c r="XI56" i="4"/>
  <c r="UX56" i="4"/>
  <c r="UW56" i="4"/>
  <c r="SN56" i="4"/>
  <c r="SM56" i="4"/>
  <c r="QB56" i="4"/>
  <c r="QA56" i="4"/>
  <c r="NP56" i="4"/>
  <c r="NO56" i="4"/>
  <c r="LF56" i="4"/>
  <c r="LE56" i="4"/>
  <c r="IT56" i="4"/>
  <c r="IS56" i="4"/>
  <c r="ACE55" i="4"/>
  <c r="ZT55" i="4"/>
  <c r="ZS55" i="4"/>
  <c r="XJ55" i="4"/>
  <c r="XI55" i="4"/>
  <c r="UX55" i="4"/>
  <c r="UW55" i="4"/>
  <c r="SN55" i="4"/>
  <c r="SM55" i="4"/>
  <c r="QB55" i="4"/>
  <c r="QA55" i="4"/>
  <c r="NP55" i="4"/>
  <c r="NO55" i="4"/>
  <c r="LF55" i="4"/>
  <c r="LE55" i="4"/>
  <c r="IT55" i="4"/>
  <c r="IS55" i="4"/>
  <c r="ACE54" i="4"/>
  <c r="ZT54" i="4"/>
  <c r="ZS54" i="4"/>
  <c r="XJ54" i="4"/>
  <c r="XI54" i="4"/>
  <c r="UX54" i="4"/>
  <c r="UW54" i="4"/>
  <c r="SN54" i="4"/>
  <c r="SM54" i="4"/>
  <c r="QB54" i="4"/>
  <c r="QA54" i="4"/>
  <c r="NP54" i="4"/>
  <c r="NO54" i="4"/>
  <c r="LF54" i="4"/>
  <c r="LE54" i="4"/>
  <c r="IT54" i="4"/>
  <c r="IS54" i="4"/>
  <c r="ACE53" i="4"/>
  <c r="ZT53" i="4"/>
  <c r="ZS53" i="4"/>
  <c r="XJ53" i="4"/>
  <c r="XI53" i="4"/>
  <c r="UX53" i="4"/>
  <c r="UW53" i="4"/>
  <c r="SN53" i="4"/>
  <c r="SM53" i="4"/>
  <c r="QB53" i="4"/>
  <c r="QA53" i="4"/>
  <c r="NP53" i="4"/>
  <c r="NO53" i="4"/>
  <c r="LF53" i="4"/>
  <c r="LE53" i="4"/>
  <c r="IT53" i="4"/>
  <c r="IS53" i="4"/>
  <c r="ACE52" i="4"/>
  <c r="ZT52" i="4"/>
  <c r="ZS52" i="4"/>
  <c r="XJ52" i="4"/>
  <c r="XI52" i="4"/>
  <c r="UX52" i="4"/>
  <c r="UW52" i="4"/>
  <c r="SN52" i="4"/>
  <c r="SM52" i="4"/>
  <c r="QB52" i="4"/>
  <c r="QA52" i="4"/>
  <c r="NP52" i="4"/>
  <c r="NO52" i="4"/>
  <c r="LF52" i="4"/>
  <c r="LE52" i="4"/>
  <c r="IT52" i="4"/>
  <c r="IS52" i="4"/>
  <c r="ACE51" i="4"/>
  <c r="ZT51" i="4"/>
  <c r="ZS51" i="4"/>
  <c r="XJ51" i="4"/>
  <c r="XI51" i="4"/>
  <c r="UX51" i="4"/>
  <c r="UW51" i="4"/>
  <c r="SN51" i="4"/>
  <c r="SM51" i="4"/>
  <c r="QB51" i="4"/>
  <c r="QA51" i="4"/>
  <c r="NP51" i="4"/>
  <c r="NO51" i="4"/>
  <c r="LF51" i="4"/>
  <c r="LE51" i="4"/>
  <c r="IT51" i="4"/>
  <c r="IS51" i="4"/>
  <c r="ACE50" i="4"/>
  <c r="ZT50" i="4"/>
  <c r="ZS50" i="4"/>
  <c r="XJ50" i="4"/>
  <c r="XI50" i="4"/>
  <c r="UX50" i="4"/>
  <c r="UW50" i="4"/>
  <c r="SN50" i="4"/>
  <c r="SM50" i="4"/>
  <c r="QB50" i="4"/>
  <c r="QA50" i="4"/>
  <c r="NP50" i="4"/>
  <c r="NO50" i="4"/>
  <c r="LF50" i="4"/>
  <c r="LE50" i="4"/>
  <c r="IT50" i="4"/>
  <c r="IS50" i="4"/>
  <c r="ACE49" i="4"/>
  <c r="ZT49" i="4"/>
  <c r="ZS49" i="4"/>
  <c r="XJ49" i="4"/>
  <c r="XI49" i="4"/>
  <c r="UX49" i="4"/>
  <c r="UW49" i="4"/>
  <c r="SN49" i="4"/>
  <c r="SM49" i="4"/>
  <c r="QB49" i="4"/>
  <c r="QA49" i="4"/>
  <c r="NP49" i="4"/>
  <c r="NO49" i="4"/>
  <c r="LF49" i="4"/>
  <c r="LE49" i="4"/>
  <c r="IT49" i="4"/>
  <c r="IS49" i="4"/>
  <c r="ACE48" i="4"/>
  <c r="ZT48" i="4"/>
  <c r="ZS48" i="4"/>
  <c r="XJ48" i="4"/>
  <c r="XI48" i="4"/>
  <c r="UX48" i="4"/>
  <c r="UW48" i="4"/>
  <c r="SN48" i="4"/>
  <c r="SM48" i="4"/>
  <c r="QB48" i="4"/>
  <c r="QA48" i="4"/>
  <c r="NP48" i="4"/>
  <c r="NO48" i="4"/>
  <c r="LF48" i="4"/>
  <c r="LE48" i="4"/>
  <c r="IT48" i="4"/>
  <c r="IS48" i="4"/>
  <c r="ACE47" i="4"/>
  <c r="ZT47" i="4"/>
  <c r="ZS47" i="4"/>
  <c r="XJ47" i="4"/>
  <c r="XI47" i="4"/>
  <c r="UX47" i="4"/>
  <c r="UW47" i="4"/>
  <c r="SN47" i="4"/>
  <c r="SM47" i="4"/>
  <c r="QB47" i="4"/>
  <c r="QA47" i="4"/>
  <c r="NP47" i="4"/>
  <c r="NO47" i="4"/>
  <c r="LF47" i="4"/>
  <c r="LE47" i="4"/>
  <c r="IT47" i="4"/>
  <c r="IS47" i="4"/>
  <c r="ACE45" i="4"/>
  <c r="ZT45" i="4"/>
  <c r="ZS45" i="4"/>
  <c r="XJ45" i="4"/>
  <c r="XI45" i="4"/>
  <c r="UX45" i="4"/>
  <c r="UW45" i="4"/>
  <c r="SN45" i="4"/>
  <c r="SM45" i="4"/>
  <c r="QB45" i="4"/>
  <c r="QA45" i="4"/>
  <c r="NP45" i="4"/>
  <c r="NO45" i="4"/>
  <c r="LF45" i="4"/>
  <c r="LE45" i="4"/>
  <c r="IT45" i="4"/>
  <c r="IS45" i="4"/>
  <c r="ACE44" i="4"/>
  <c r="ZT44" i="4"/>
  <c r="ZS44" i="4"/>
  <c r="XJ44" i="4"/>
  <c r="XI44" i="4"/>
  <c r="UX44" i="4"/>
  <c r="UW44" i="4"/>
  <c r="SN44" i="4"/>
  <c r="SM44" i="4"/>
  <c r="QB44" i="4"/>
  <c r="QA44" i="4"/>
  <c r="NP44" i="4"/>
  <c r="NO44" i="4"/>
  <c r="LF44" i="4"/>
  <c r="LE44" i="4"/>
  <c r="IT44" i="4"/>
  <c r="IS44" i="4"/>
  <c r="ACE43" i="4"/>
  <c r="ZT43" i="4"/>
  <c r="ZS43" i="4"/>
  <c r="XJ43" i="4"/>
  <c r="XI43" i="4"/>
  <c r="UX43" i="4"/>
  <c r="UW43" i="4"/>
  <c r="SN43" i="4"/>
  <c r="SM43" i="4"/>
  <c r="QB43" i="4"/>
  <c r="QA43" i="4"/>
  <c r="NP43" i="4"/>
  <c r="NO43" i="4"/>
  <c r="LF43" i="4"/>
  <c r="LE43" i="4"/>
  <c r="IT43" i="4"/>
  <c r="IS43" i="4"/>
  <c r="ACE42" i="4"/>
  <c r="ZT42" i="4"/>
  <c r="ZS42" i="4"/>
  <c r="XJ42" i="4"/>
  <c r="XI42" i="4"/>
  <c r="UX42" i="4"/>
  <c r="UW42" i="4"/>
  <c r="SN42" i="4"/>
  <c r="SM42" i="4"/>
  <c r="QB42" i="4"/>
  <c r="QA42" i="4"/>
  <c r="NP42" i="4"/>
  <c r="NO42" i="4"/>
  <c r="LF42" i="4"/>
  <c r="LE42" i="4"/>
  <c r="IT42" i="4"/>
  <c r="IS42" i="4"/>
  <c r="ACE41" i="4"/>
  <c r="ZT41" i="4"/>
  <c r="ZS41" i="4"/>
  <c r="XJ41" i="4"/>
  <c r="XI41" i="4"/>
  <c r="UX41" i="4"/>
  <c r="UW41" i="4"/>
  <c r="SN41" i="4"/>
  <c r="SM41" i="4"/>
  <c r="QB41" i="4"/>
  <c r="QA41" i="4"/>
  <c r="NP41" i="4"/>
  <c r="NO41" i="4"/>
  <c r="LF41" i="4"/>
  <c r="LE41" i="4"/>
  <c r="IT41" i="4"/>
  <c r="IS41" i="4"/>
  <c r="ACE40" i="4"/>
  <c r="ZT40" i="4"/>
  <c r="ZS40" i="4"/>
  <c r="XJ40" i="4"/>
  <c r="XI40" i="4"/>
  <c r="UX40" i="4"/>
  <c r="UW40" i="4"/>
  <c r="SN40" i="4"/>
  <c r="SM40" i="4"/>
  <c r="QB40" i="4"/>
  <c r="QA40" i="4"/>
  <c r="NP40" i="4"/>
  <c r="NO40" i="4"/>
  <c r="LF40" i="4"/>
  <c r="LE40" i="4"/>
  <c r="IT40" i="4"/>
  <c r="IS40" i="4"/>
  <c r="ACE39" i="4"/>
  <c r="ZT39" i="4"/>
  <c r="ZS39" i="4"/>
  <c r="XJ39" i="4"/>
  <c r="XI39" i="4"/>
  <c r="UX39" i="4"/>
  <c r="UW39" i="4"/>
  <c r="SN39" i="4"/>
  <c r="SM39" i="4"/>
  <c r="QB39" i="4"/>
  <c r="QA39" i="4"/>
  <c r="NP39" i="4"/>
  <c r="NO39" i="4"/>
  <c r="LF39" i="4"/>
  <c r="LE39" i="4"/>
  <c r="IT39" i="4"/>
  <c r="IS39" i="4"/>
  <c r="ACE38" i="4"/>
  <c r="ZT38" i="4"/>
  <c r="ZS38" i="4"/>
  <c r="XJ38" i="4"/>
  <c r="XI38" i="4"/>
  <c r="UX38" i="4"/>
  <c r="UW38" i="4"/>
  <c r="SN38" i="4"/>
  <c r="SM38" i="4"/>
  <c r="QB38" i="4"/>
  <c r="QA38" i="4"/>
  <c r="NP38" i="4"/>
  <c r="NO38" i="4"/>
  <c r="LF38" i="4"/>
  <c r="LE38" i="4"/>
  <c r="IT38" i="4"/>
  <c r="IS38" i="4"/>
  <c r="ACE37" i="4"/>
  <c r="ZT37" i="4"/>
  <c r="ZS37" i="4"/>
  <c r="XJ37" i="4"/>
  <c r="XI37" i="4"/>
  <c r="UX37" i="4"/>
  <c r="UW37" i="4"/>
  <c r="SN37" i="4"/>
  <c r="SM37" i="4"/>
  <c r="QB37" i="4"/>
  <c r="QA37" i="4"/>
  <c r="NP37" i="4"/>
  <c r="NO37" i="4"/>
  <c r="LF37" i="4"/>
  <c r="LE37" i="4"/>
  <c r="IT37" i="4"/>
  <c r="IS37" i="4"/>
  <c r="ACE36" i="4"/>
  <c r="ZT36" i="4"/>
  <c r="ZS36" i="4"/>
  <c r="XJ36" i="4"/>
  <c r="XI36" i="4"/>
  <c r="UX36" i="4"/>
  <c r="UW36" i="4"/>
  <c r="SN36" i="4"/>
  <c r="SM36" i="4"/>
  <c r="QB36" i="4"/>
  <c r="QA36" i="4"/>
  <c r="NP36" i="4"/>
  <c r="NO36" i="4"/>
  <c r="LF36" i="4"/>
  <c r="LE36" i="4"/>
  <c r="IT36" i="4"/>
  <c r="IS36" i="4"/>
  <c r="ACE34" i="4"/>
  <c r="ZT34" i="4"/>
  <c r="ZS34" i="4"/>
  <c r="XJ34" i="4"/>
  <c r="XI34" i="4"/>
  <c r="UX34" i="4"/>
  <c r="UW34" i="4"/>
  <c r="SN34" i="4"/>
  <c r="SM34" i="4"/>
  <c r="QB34" i="4"/>
  <c r="QA34" i="4"/>
  <c r="NP34" i="4"/>
  <c r="NO34" i="4"/>
  <c r="LF34" i="4"/>
  <c r="LE34" i="4"/>
  <c r="IT34" i="4"/>
  <c r="IS34" i="4"/>
  <c r="ACE33" i="4"/>
  <c r="ZT33" i="4"/>
  <c r="ZS33" i="4"/>
  <c r="XJ33" i="4"/>
  <c r="XI33" i="4"/>
  <c r="UX33" i="4"/>
  <c r="UW33" i="4"/>
  <c r="SN33" i="4"/>
  <c r="SM33" i="4"/>
  <c r="QB33" i="4"/>
  <c r="QA33" i="4"/>
  <c r="NP33" i="4"/>
  <c r="NO33" i="4"/>
  <c r="LF33" i="4"/>
  <c r="LE33" i="4"/>
  <c r="IT33" i="4"/>
  <c r="IS33" i="4"/>
  <c r="ACE32" i="4"/>
  <c r="ZT32" i="4"/>
  <c r="ZS32" i="4"/>
  <c r="XJ32" i="4"/>
  <c r="XI32" i="4"/>
  <c r="UX32" i="4"/>
  <c r="UW32" i="4"/>
  <c r="SN32" i="4"/>
  <c r="SM32" i="4"/>
  <c r="QB32" i="4"/>
  <c r="QA32" i="4"/>
  <c r="NP32" i="4"/>
  <c r="NO32" i="4"/>
  <c r="LF32" i="4"/>
  <c r="LE32" i="4"/>
  <c r="IT32" i="4"/>
  <c r="IS32" i="4"/>
  <c r="ACE31" i="4"/>
  <c r="ZT31" i="4"/>
  <c r="ZS31" i="4"/>
  <c r="XJ31" i="4"/>
  <c r="XI31" i="4"/>
  <c r="UX31" i="4"/>
  <c r="UW31" i="4"/>
  <c r="SN31" i="4"/>
  <c r="SM31" i="4"/>
  <c r="QB31" i="4"/>
  <c r="QA31" i="4"/>
  <c r="NP31" i="4"/>
  <c r="NO31" i="4"/>
  <c r="LF31" i="4"/>
  <c r="LE31" i="4"/>
  <c r="IT31" i="4"/>
  <c r="IS31" i="4"/>
  <c r="ACE30" i="4"/>
  <c r="ZT30" i="4"/>
  <c r="ZS30" i="4"/>
  <c r="XJ30" i="4"/>
  <c r="XI30" i="4"/>
  <c r="UX30" i="4"/>
  <c r="UW30" i="4"/>
  <c r="SN30" i="4"/>
  <c r="SM30" i="4"/>
  <c r="QB30" i="4"/>
  <c r="QA30" i="4"/>
  <c r="NP30" i="4"/>
  <c r="NO30" i="4"/>
  <c r="LF30" i="4"/>
  <c r="LE30" i="4"/>
  <c r="IT30" i="4"/>
  <c r="IS30" i="4"/>
  <c r="ACE29" i="4"/>
  <c r="ZT29" i="4"/>
  <c r="ZS29" i="4"/>
  <c r="XJ29" i="4"/>
  <c r="XI29" i="4"/>
  <c r="UX29" i="4"/>
  <c r="UW29" i="4"/>
  <c r="SN29" i="4"/>
  <c r="SM29" i="4"/>
  <c r="QB29" i="4"/>
  <c r="QA29" i="4"/>
  <c r="NP29" i="4"/>
  <c r="NO29" i="4"/>
  <c r="LF29" i="4"/>
  <c r="LE29" i="4"/>
  <c r="IT29" i="4"/>
  <c r="IS29" i="4"/>
  <c r="ACE28" i="4"/>
  <c r="ZT28" i="4"/>
  <c r="ZS28" i="4"/>
  <c r="XJ28" i="4"/>
  <c r="XI28" i="4"/>
  <c r="UX28" i="4"/>
  <c r="UW28" i="4"/>
  <c r="SN28" i="4"/>
  <c r="SM28" i="4"/>
  <c r="QB28" i="4"/>
  <c r="QA28" i="4"/>
  <c r="NP28" i="4"/>
  <c r="NO28" i="4"/>
  <c r="LF28" i="4"/>
  <c r="LE28" i="4"/>
  <c r="IT28" i="4"/>
  <c r="IS28" i="4"/>
  <c r="ACE27" i="4"/>
  <c r="ZT27" i="4"/>
  <c r="ZS27" i="4"/>
  <c r="XJ27" i="4"/>
  <c r="XI27" i="4"/>
  <c r="UX27" i="4"/>
  <c r="UW27" i="4"/>
  <c r="SN27" i="4"/>
  <c r="SM27" i="4"/>
  <c r="QB27" i="4"/>
  <c r="QA27" i="4"/>
  <c r="NP27" i="4"/>
  <c r="NO27" i="4"/>
  <c r="LF27" i="4"/>
  <c r="LE27" i="4"/>
  <c r="IT27" i="4"/>
  <c r="IS27" i="4"/>
  <c r="ACE26" i="4"/>
  <c r="ZT26" i="4"/>
  <c r="ZS26" i="4"/>
  <c r="XJ26" i="4"/>
  <c r="XI26" i="4"/>
  <c r="UX26" i="4"/>
  <c r="UW26" i="4"/>
  <c r="SN26" i="4"/>
  <c r="SM26" i="4"/>
  <c r="QB26" i="4"/>
  <c r="QA26" i="4"/>
  <c r="NP26" i="4"/>
  <c r="NO26" i="4"/>
  <c r="LF26" i="4"/>
  <c r="LE26" i="4"/>
  <c r="IT26" i="4"/>
  <c r="IS26" i="4"/>
  <c r="ACE25" i="4"/>
  <c r="ZT25" i="4"/>
  <c r="ZS25" i="4"/>
  <c r="XJ25" i="4"/>
  <c r="XI25" i="4"/>
  <c r="UX25" i="4"/>
  <c r="UW25" i="4"/>
  <c r="SN25" i="4"/>
  <c r="SM25" i="4"/>
  <c r="QB25" i="4"/>
  <c r="QA25" i="4"/>
  <c r="NP25" i="4"/>
  <c r="NO25" i="4"/>
  <c r="LF25" i="4"/>
  <c r="LE25" i="4"/>
  <c r="IT25" i="4"/>
  <c r="IS25" i="4"/>
  <c r="ACE23" i="4"/>
  <c r="ZT23" i="4"/>
  <c r="ZS23" i="4"/>
  <c r="XJ23" i="4"/>
  <c r="XI23" i="4"/>
  <c r="UX23" i="4"/>
  <c r="UW23" i="4"/>
  <c r="SN23" i="4"/>
  <c r="SM23" i="4"/>
  <c r="QB23" i="4"/>
  <c r="QA23" i="4"/>
  <c r="NP23" i="4"/>
  <c r="NO23" i="4"/>
  <c r="LF23" i="4"/>
  <c r="LE23" i="4"/>
  <c r="IT23" i="4"/>
  <c r="IS23" i="4"/>
  <c r="ACE22" i="4"/>
  <c r="ZT22" i="4"/>
  <c r="ZS22" i="4"/>
  <c r="XJ22" i="4"/>
  <c r="XI22" i="4"/>
  <c r="UX22" i="4"/>
  <c r="UW22" i="4"/>
  <c r="SN22" i="4"/>
  <c r="SM22" i="4"/>
  <c r="QB22" i="4"/>
  <c r="QA22" i="4"/>
  <c r="NP22" i="4"/>
  <c r="NO22" i="4"/>
  <c r="LF22" i="4"/>
  <c r="LE22" i="4"/>
  <c r="IT22" i="4"/>
  <c r="IS22" i="4"/>
  <c r="ACE21" i="4"/>
  <c r="ZT21" i="4"/>
  <c r="ZS21" i="4"/>
  <c r="XJ21" i="4"/>
  <c r="XI21" i="4"/>
  <c r="UX21" i="4"/>
  <c r="UW21" i="4"/>
  <c r="SN21" i="4"/>
  <c r="SM21" i="4"/>
  <c r="QB21" i="4"/>
  <c r="QA21" i="4"/>
  <c r="NP21" i="4"/>
  <c r="NO21" i="4"/>
  <c r="LF21" i="4"/>
  <c r="LE21" i="4"/>
  <c r="IT21" i="4"/>
  <c r="IS21" i="4"/>
  <c r="ACE20" i="4"/>
  <c r="ZT20" i="4"/>
  <c r="ZS20" i="4"/>
  <c r="XJ20" i="4"/>
  <c r="XI20" i="4"/>
  <c r="UX20" i="4"/>
  <c r="UW20" i="4"/>
  <c r="SN20" i="4"/>
  <c r="SM20" i="4"/>
  <c r="QB20" i="4"/>
  <c r="QA20" i="4"/>
  <c r="NP20" i="4"/>
  <c r="NO20" i="4"/>
  <c r="LF20" i="4"/>
  <c r="LE20" i="4"/>
  <c r="IT20" i="4"/>
  <c r="IS20" i="4"/>
  <c r="ACE19" i="4"/>
  <c r="ZT19" i="4"/>
  <c r="ZS19" i="4"/>
  <c r="XJ19" i="4"/>
  <c r="XI19" i="4"/>
  <c r="UX19" i="4"/>
  <c r="UW19" i="4"/>
  <c r="SN19" i="4"/>
  <c r="SM19" i="4"/>
  <c r="QB19" i="4"/>
  <c r="QA19" i="4"/>
  <c r="NP19" i="4"/>
  <c r="NO19" i="4"/>
  <c r="LF19" i="4"/>
  <c r="LE19" i="4"/>
  <c r="IT19" i="4"/>
  <c r="IS19" i="4"/>
  <c r="ACE18" i="4"/>
  <c r="ZT18" i="4"/>
  <c r="ZS18" i="4"/>
  <c r="XJ18" i="4"/>
  <c r="XI18" i="4"/>
  <c r="UX18" i="4"/>
  <c r="UW18" i="4"/>
  <c r="SN18" i="4"/>
  <c r="SM18" i="4"/>
  <c r="QB18" i="4"/>
  <c r="QA18" i="4"/>
  <c r="NP18" i="4"/>
  <c r="NO18" i="4"/>
  <c r="LF18" i="4"/>
  <c r="LE18" i="4"/>
  <c r="IT18" i="4"/>
  <c r="IS18" i="4"/>
  <c r="ACE17" i="4"/>
  <c r="ZT17" i="4"/>
  <c r="ZS17" i="4"/>
  <c r="XJ17" i="4"/>
  <c r="XI17" i="4"/>
  <c r="UX17" i="4"/>
  <c r="UW17" i="4"/>
  <c r="SN17" i="4"/>
  <c r="SM17" i="4"/>
  <c r="QB17" i="4"/>
  <c r="QA17" i="4"/>
  <c r="NP17" i="4"/>
  <c r="NO17" i="4"/>
  <c r="LF17" i="4"/>
  <c r="LE17" i="4"/>
  <c r="IT17" i="4"/>
  <c r="IS17" i="4"/>
  <c r="ACE16" i="4"/>
  <c r="ZT16" i="4"/>
  <c r="ZS16" i="4"/>
  <c r="XJ16" i="4"/>
  <c r="XI16" i="4"/>
  <c r="UX16" i="4"/>
  <c r="UW16" i="4"/>
  <c r="SN16" i="4"/>
  <c r="SM16" i="4"/>
  <c r="QB16" i="4"/>
  <c r="QA16" i="4"/>
  <c r="NP16" i="4"/>
  <c r="NO16" i="4"/>
  <c r="LF16" i="4"/>
  <c r="LE16" i="4"/>
  <c r="IT16" i="4"/>
  <c r="IS16" i="4"/>
  <c r="ACE15" i="4"/>
  <c r="ZT15" i="4"/>
  <c r="ZS15" i="4"/>
  <c r="XJ15" i="4"/>
  <c r="XI15" i="4"/>
  <c r="UX15" i="4"/>
  <c r="UW15" i="4"/>
  <c r="SN15" i="4"/>
  <c r="SM15" i="4"/>
  <c r="QB15" i="4"/>
  <c r="QA15" i="4"/>
  <c r="NP15" i="4"/>
  <c r="NO15" i="4"/>
  <c r="LF15" i="4"/>
  <c r="LE15" i="4"/>
  <c r="IT15" i="4"/>
  <c r="IS15" i="4"/>
  <c r="ACE14" i="4"/>
  <c r="ZT14" i="4"/>
  <c r="ZS14" i="4"/>
  <c r="XJ14" i="4"/>
  <c r="XI14" i="4"/>
  <c r="UX14" i="4"/>
  <c r="UW14" i="4"/>
  <c r="SN14" i="4"/>
  <c r="SM14" i="4"/>
  <c r="QB14" i="4"/>
  <c r="QA14" i="4"/>
  <c r="NP14" i="4"/>
  <c r="NO14" i="4"/>
  <c r="LF14" i="4"/>
  <c r="LE14" i="4"/>
  <c r="IT14" i="4"/>
  <c r="IS14" i="4"/>
  <c r="ACE12" i="4"/>
  <c r="ZT12" i="4"/>
  <c r="ZS12" i="4"/>
  <c r="XJ12" i="4"/>
  <c r="XI12" i="4"/>
  <c r="UX12" i="4"/>
  <c r="UW12" i="4"/>
  <c r="SN12" i="4"/>
  <c r="SM12" i="4"/>
  <c r="QB12" i="4"/>
  <c r="QA12" i="4"/>
  <c r="NP12" i="4"/>
  <c r="NO12" i="4"/>
  <c r="LF12" i="4"/>
  <c r="LE12" i="4"/>
  <c r="IT12" i="4"/>
  <c r="IS12" i="4"/>
  <c r="ACE11" i="4"/>
  <c r="ZT11" i="4"/>
  <c r="ZS11" i="4"/>
  <c r="XJ11" i="4"/>
  <c r="XI11" i="4"/>
  <c r="UX11" i="4"/>
  <c r="UW11" i="4"/>
  <c r="SN11" i="4"/>
  <c r="SM11" i="4"/>
  <c r="QB11" i="4"/>
  <c r="QA11" i="4"/>
  <c r="NP11" i="4"/>
  <c r="NO11" i="4"/>
  <c r="LF11" i="4"/>
  <c r="LE11" i="4"/>
  <c r="IT11" i="4"/>
  <c r="IS11" i="4"/>
  <c r="ACE10" i="4"/>
  <c r="ZT10" i="4"/>
  <c r="ZS10" i="4"/>
  <c r="XJ10" i="4"/>
  <c r="XI10" i="4"/>
  <c r="UX10" i="4"/>
  <c r="UW10" i="4"/>
  <c r="SN10" i="4"/>
  <c r="SM10" i="4"/>
  <c r="QB10" i="4"/>
  <c r="QA10" i="4"/>
  <c r="NP10" i="4"/>
  <c r="NO10" i="4"/>
  <c r="LF10" i="4"/>
  <c r="LE10" i="4"/>
  <c r="IT10" i="4"/>
  <c r="IS10" i="4"/>
  <c r="ACE9" i="4"/>
  <c r="ZT9" i="4"/>
  <c r="ZS9" i="4"/>
  <c r="XJ9" i="4"/>
  <c r="XI9" i="4"/>
  <c r="UX9" i="4"/>
  <c r="UW9" i="4"/>
  <c r="SN9" i="4"/>
  <c r="SM9" i="4"/>
  <c r="QB9" i="4"/>
  <c r="QA9" i="4"/>
  <c r="NP9" i="4"/>
  <c r="NO9" i="4"/>
  <c r="LF9" i="4"/>
  <c r="LE9" i="4"/>
  <c r="IT9" i="4"/>
  <c r="IS9" i="4"/>
  <c r="ACE8" i="4"/>
  <c r="ZT8" i="4"/>
  <c r="ZS8" i="4"/>
  <c r="XJ8" i="4"/>
  <c r="XI8" i="4"/>
  <c r="UX8" i="4"/>
  <c r="UW8" i="4"/>
  <c r="SN8" i="4"/>
  <c r="SM8" i="4"/>
  <c r="QB8" i="4"/>
  <c r="QA8" i="4"/>
  <c r="NP8" i="4"/>
  <c r="NO8" i="4"/>
  <c r="LF8" i="4"/>
  <c r="LE8" i="4"/>
  <c r="IT8" i="4"/>
  <c r="IS8" i="4"/>
  <c r="ACE7" i="4"/>
  <c r="ZT7" i="4"/>
  <c r="ZS7" i="4"/>
  <c r="XJ7" i="4"/>
  <c r="XI7" i="4"/>
  <c r="UX7" i="4"/>
  <c r="UW7" i="4"/>
  <c r="SN7" i="4"/>
  <c r="SM7" i="4"/>
  <c r="QB7" i="4"/>
  <c r="QA7" i="4"/>
  <c r="NP7" i="4"/>
  <c r="NO7" i="4"/>
  <c r="LF7" i="4"/>
  <c r="LE7" i="4"/>
  <c r="IT7" i="4"/>
  <c r="IS7" i="4"/>
  <c r="ACE6" i="4"/>
  <c r="ZT6" i="4"/>
  <c r="ZS6" i="4"/>
  <c r="XJ6" i="4"/>
  <c r="XI6" i="4"/>
  <c r="UX6" i="4"/>
  <c r="UW6" i="4"/>
  <c r="SN6" i="4"/>
  <c r="SM6" i="4"/>
  <c r="QB6" i="4"/>
  <c r="QA6" i="4"/>
  <c r="NP6" i="4"/>
  <c r="NO6" i="4"/>
  <c r="LF6" i="4"/>
  <c r="LE6" i="4"/>
  <c r="IT6" i="4"/>
  <c r="IS6" i="4"/>
  <c r="ACE5" i="4"/>
  <c r="ZT5" i="4"/>
  <c r="ZS5" i="4"/>
  <c r="XJ5" i="4"/>
  <c r="XI5" i="4"/>
  <c r="UX5" i="4"/>
  <c r="UW5" i="4"/>
  <c r="SN5" i="4"/>
  <c r="SM5" i="4"/>
  <c r="QB5" i="4"/>
  <c r="QA5" i="4"/>
  <c r="NP5" i="4"/>
  <c r="NO5" i="4"/>
  <c r="LF5" i="4"/>
  <c r="LE5" i="4"/>
  <c r="IT5" i="4"/>
  <c r="IS5" i="4"/>
  <c r="ACE4" i="4"/>
  <c r="ZT4" i="4"/>
  <c r="ZS4" i="4"/>
  <c r="XJ4" i="4"/>
  <c r="XI4" i="4"/>
  <c r="UX4" i="4"/>
  <c r="UW4" i="4"/>
  <c r="SN4" i="4"/>
  <c r="SM4" i="4"/>
  <c r="QB4" i="4"/>
  <c r="QA4" i="4"/>
  <c r="NP4" i="4"/>
  <c r="NO4" i="4"/>
  <c r="LF4" i="4"/>
  <c r="LE4" i="4"/>
  <c r="IT4" i="4"/>
  <c r="IS4" i="4"/>
  <c r="ACE3" i="4"/>
  <c r="ZT3" i="4"/>
  <c r="ZS3" i="4"/>
  <c r="XJ3" i="4"/>
  <c r="XI3" i="4"/>
  <c r="UX3" i="4"/>
  <c r="UW3" i="4"/>
  <c r="SN3" i="4"/>
  <c r="SM3" i="4"/>
  <c r="QB3" i="4"/>
  <c r="QA3" i="4"/>
  <c r="NP3" i="4"/>
  <c r="NO3" i="4"/>
  <c r="LF3" i="4"/>
  <c r="LE3" i="4"/>
  <c r="IT3" i="4"/>
  <c r="ZX1" i="4"/>
  <c r="ZZ1" i="4" s="1"/>
  <c r="AAB1" i="4" s="1"/>
  <c r="AAD1" i="4" s="1"/>
  <c r="AAF1" i="4" s="1"/>
  <c r="AAH1" i="4" s="1"/>
  <c r="AAJ1" i="4" s="1"/>
  <c r="AAL1" i="4" s="1"/>
  <c r="AAN1" i="4" s="1"/>
  <c r="AAP1" i="4" s="1"/>
  <c r="AAR1" i="4" s="1"/>
  <c r="AAT1" i="4" s="1"/>
  <c r="AAV1" i="4" s="1"/>
  <c r="AAX1" i="4" s="1"/>
  <c r="AAZ1" i="4" s="1"/>
  <c r="ABB1" i="4" s="1"/>
  <c r="ABD1" i="4" s="1"/>
  <c r="ABF1" i="4" s="1"/>
  <c r="ABH1" i="4" s="1"/>
  <c r="ABJ1" i="4" s="1"/>
  <c r="ABL1" i="4" s="1"/>
  <c r="ABN1" i="4" s="1"/>
  <c r="ABP1" i="4" s="1"/>
  <c r="ABR1" i="4" s="1"/>
  <c r="ABT1" i="4" s="1"/>
  <c r="ABV1" i="4" s="1"/>
  <c r="ABX1" i="4" s="1"/>
  <c r="ABZ1" i="4" s="1"/>
  <c r="ACB1" i="4" s="1"/>
  <c r="ACD1" i="4" s="1"/>
  <c r="ZW1" i="4"/>
  <c r="ZY1" i="4" s="1"/>
  <c r="AAA1" i="4" s="1"/>
  <c r="AAC1" i="4" s="1"/>
  <c r="AAE1" i="4" s="1"/>
  <c r="AAG1" i="4" s="1"/>
  <c r="AAI1" i="4" s="1"/>
  <c r="AAK1" i="4" s="1"/>
  <c r="AAM1" i="4" s="1"/>
  <c r="AAO1" i="4" s="1"/>
  <c r="AAQ1" i="4" s="1"/>
  <c r="AAS1" i="4" s="1"/>
  <c r="AAU1" i="4" s="1"/>
  <c r="AAW1" i="4" s="1"/>
  <c r="AAY1" i="4" s="1"/>
  <c r="ABA1" i="4" s="1"/>
  <c r="ABC1" i="4" s="1"/>
  <c r="ABE1" i="4" s="1"/>
  <c r="ABG1" i="4" s="1"/>
  <c r="ABI1" i="4" s="1"/>
  <c r="ABK1" i="4" s="1"/>
  <c r="ABM1" i="4" s="1"/>
  <c r="ABO1" i="4" s="1"/>
  <c r="ABQ1" i="4" s="1"/>
  <c r="ABS1" i="4" s="1"/>
  <c r="ABU1" i="4" s="1"/>
  <c r="ABW1" i="4" s="1"/>
  <c r="ABY1" i="4" s="1"/>
  <c r="ACA1" i="4" s="1"/>
  <c r="ACC1" i="4" s="1"/>
  <c r="XN1" i="4"/>
  <c r="XP1" i="4" s="1"/>
  <c r="XR1" i="4" s="1"/>
  <c r="XT1" i="4" s="1"/>
  <c r="XV1" i="4" s="1"/>
  <c r="XX1" i="4" s="1"/>
  <c r="XZ1" i="4" s="1"/>
  <c r="YB1" i="4" s="1"/>
  <c r="YD1" i="4" s="1"/>
  <c r="YF1" i="4" s="1"/>
  <c r="YH1" i="4" s="1"/>
  <c r="YJ1" i="4" s="1"/>
  <c r="YL1" i="4" s="1"/>
  <c r="YN1" i="4" s="1"/>
  <c r="YP1" i="4" s="1"/>
  <c r="YR1" i="4" s="1"/>
  <c r="YT1" i="4" s="1"/>
  <c r="YV1" i="4" s="1"/>
  <c r="YX1" i="4" s="1"/>
  <c r="YZ1" i="4" s="1"/>
  <c r="ZB1" i="4" s="1"/>
  <c r="ZD1" i="4" s="1"/>
  <c r="ZF1" i="4" s="1"/>
  <c r="ZH1" i="4" s="1"/>
  <c r="ZJ1" i="4" s="1"/>
  <c r="ZL1" i="4" s="1"/>
  <c r="ZN1" i="4" s="1"/>
  <c r="ZP1" i="4" s="1"/>
  <c r="ZR1" i="4" s="1"/>
  <c r="XM1" i="4"/>
  <c r="XO1" i="4" s="1"/>
  <c r="XQ1" i="4" s="1"/>
  <c r="XS1" i="4" s="1"/>
  <c r="XU1" i="4" s="1"/>
  <c r="XW1" i="4" s="1"/>
  <c r="XY1" i="4" s="1"/>
  <c r="YA1" i="4" s="1"/>
  <c r="YC1" i="4" s="1"/>
  <c r="YE1" i="4" s="1"/>
  <c r="YG1" i="4" s="1"/>
  <c r="YI1" i="4" s="1"/>
  <c r="YK1" i="4" s="1"/>
  <c r="YM1" i="4" s="1"/>
  <c r="YO1" i="4" s="1"/>
  <c r="YQ1" i="4" s="1"/>
  <c r="YS1" i="4" s="1"/>
  <c r="YU1" i="4" s="1"/>
  <c r="YW1" i="4" s="1"/>
  <c r="YY1" i="4" s="1"/>
  <c r="ZA1" i="4" s="1"/>
  <c r="ZC1" i="4" s="1"/>
  <c r="ZE1" i="4" s="1"/>
  <c r="ZG1" i="4" s="1"/>
  <c r="ZI1" i="4" s="1"/>
  <c r="ZK1" i="4" s="1"/>
  <c r="ZM1" i="4" s="1"/>
  <c r="ZO1" i="4" s="1"/>
  <c r="ZQ1" i="4" s="1"/>
  <c r="VB1" i="4"/>
  <c r="VD1" i="4" s="1"/>
  <c r="VF1" i="4" s="1"/>
  <c r="VH1" i="4" s="1"/>
  <c r="VJ1" i="4" s="1"/>
  <c r="VL1" i="4" s="1"/>
  <c r="VN1" i="4" s="1"/>
  <c r="VP1" i="4" s="1"/>
  <c r="VR1" i="4" s="1"/>
  <c r="VT1" i="4" s="1"/>
  <c r="VV1" i="4" s="1"/>
  <c r="VX1" i="4" s="1"/>
  <c r="VZ1" i="4" s="1"/>
  <c r="WB1" i="4" s="1"/>
  <c r="WD1" i="4" s="1"/>
  <c r="WF1" i="4" s="1"/>
  <c r="WH1" i="4" s="1"/>
  <c r="WJ1" i="4" s="1"/>
  <c r="WL1" i="4" s="1"/>
  <c r="WN1" i="4" s="1"/>
  <c r="WP1" i="4" s="1"/>
  <c r="WR1" i="4" s="1"/>
  <c r="WT1" i="4" s="1"/>
  <c r="WV1" i="4" s="1"/>
  <c r="WX1" i="4" s="1"/>
  <c r="WZ1" i="4" s="1"/>
  <c r="XB1" i="4" s="1"/>
  <c r="XD1" i="4" s="1"/>
  <c r="XF1" i="4" s="1"/>
  <c r="XH1" i="4" s="1"/>
  <c r="VA1" i="4"/>
  <c r="VC1" i="4" s="1"/>
  <c r="VE1" i="4" s="1"/>
  <c r="VG1" i="4" s="1"/>
  <c r="VI1" i="4" s="1"/>
  <c r="VK1" i="4" s="1"/>
  <c r="VM1" i="4" s="1"/>
  <c r="VO1" i="4" s="1"/>
  <c r="VQ1" i="4" s="1"/>
  <c r="VS1" i="4" s="1"/>
  <c r="VU1" i="4" s="1"/>
  <c r="VW1" i="4" s="1"/>
  <c r="VY1" i="4" s="1"/>
  <c r="WA1" i="4" s="1"/>
  <c r="WC1" i="4" s="1"/>
  <c r="WE1" i="4" s="1"/>
  <c r="WG1" i="4" s="1"/>
  <c r="WI1" i="4" s="1"/>
  <c r="WK1" i="4" s="1"/>
  <c r="WM1" i="4" s="1"/>
  <c r="WO1" i="4" s="1"/>
  <c r="WQ1" i="4" s="1"/>
  <c r="WS1" i="4" s="1"/>
  <c r="WU1" i="4" s="1"/>
  <c r="WW1" i="4" s="1"/>
  <c r="WY1" i="4" s="1"/>
  <c r="XA1" i="4" s="1"/>
  <c r="XC1" i="4" s="1"/>
  <c r="XE1" i="4" s="1"/>
  <c r="XG1" i="4" s="1"/>
  <c r="SR1" i="4"/>
  <c r="ST1" i="4" s="1"/>
  <c r="SV1" i="4" s="1"/>
  <c r="SX1" i="4" s="1"/>
  <c r="SZ1" i="4" s="1"/>
  <c r="TB1" i="4" s="1"/>
  <c r="TD1" i="4" s="1"/>
  <c r="TF1" i="4" s="1"/>
  <c r="TH1" i="4" s="1"/>
  <c r="TJ1" i="4" s="1"/>
  <c r="TL1" i="4" s="1"/>
  <c r="TN1" i="4" s="1"/>
  <c r="TP1" i="4" s="1"/>
  <c r="TR1" i="4" s="1"/>
  <c r="TT1" i="4" s="1"/>
  <c r="TV1" i="4" s="1"/>
  <c r="TX1" i="4" s="1"/>
  <c r="TZ1" i="4" s="1"/>
  <c r="UB1" i="4" s="1"/>
  <c r="UD1" i="4" s="1"/>
  <c r="UF1" i="4" s="1"/>
  <c r="UH1" i="4" s="1"/>
  <c r="UJ1" i="4" s="1"/>
  <c r="UL1" i="4" s="1"/>
  <c r="UN1" i="4" s="1"/>
  <c r="UP1" i="4" s="1"/>
  <c r="UR1" i="4" s="1"/>
  <c r="UT1" i="4" s="1"/>
  <c r="UV1" i="4" s="1"/>
  <c r="SQ1" i="4"/>
  <c r="SS1" i="4" s="1"/>
  <c r="SU1" i="4" s="1"/>
  <c r="SW1" i="4" s="1"/>
  <c r="SY1" i="4" s="1"/>
  <c r="TA1" i="4" s="1"/>
  <c r="TC1" i="4" s="1"/>
  <c r="TE1" i="4" s="1"/>
  <c r="TG1" i="4" s="1"/>
  <c r="TI1" i="4" s="1"/>
  <c r="TK1" i="4" s="1"/>
  <c r="TM1" i="4" s="1"/>
  <c r="TO1" i="4" s="1"/>
  <c r="TQ1" i="4" s="1"/>
  <c r="TS1" i="4" s="1"/>
  <c r="TU1" i="4" s="1"/>
  <c r="TW1" i="4" s="1"/>
  <c r="TY1" i="4" s="1"/>
  <c r="UA1" i="4" s="1"/>
  <c r="UC1" i="4" s="1"/>
  <c r="UE1" i="4" s="1"/>
  <c r="UG1" i="4" s="1"/>
  <c r="UI1" i="4" s="1"/>
  <c r="UK1" i="4" s="1"/>
  <c r="UM1" i="4" s="1"/>
  <c r="UO1" i="4" s="1"/>
  <c r="UQ1" i="4" s="1"/>
  <c r="US1" i="4" s="1"/>
  <c r="UU1" i="4" s="1"/>
  <c r="QF1" i="4"/>
  <c r="QH1" i="4" s="1"/>
  <c r="QJ1" i="4" s="1"/>
  <c r="QL1" i="4" s="1"/>
  <c r="QN1" i="4" s="1"/>
  <c r="QP1" i="4" s="1"/>
  <c r="QR1" i="4" s="1"/>
  <c r="QT1" i="4" s="1"/>
  <c r="QV1" i="4" s="1"/>
  <c r="QX1" i="4" s="1"/>
  <c r="QZ1" i="4" s="1"/>
  <c r="RB1" i="4" s="1"/>
  <c r="RD1" i="4" s="1"/>
  <c r="RF1" i="4" s="1"/>
  <c r="RH1" i="4" s="1"/>
  <c r="RJ1" i="4" s="1"/>
  <c r="RL1" i="4" s="1"/>
  <c r="RN1" i="4" s="1"/>
  <c r="RP1" i="4" s="1"/>
  <c r="RR1" i="4" s="1"/>
  <c r="RT1" i="4" s="1"/>
  <c r="RV1" i="4" s="1"/>
  <c r="RX1" i="4" s="1"/>
  <c r="RZ1" i="4" s="1"/>
  <c r="SB1" i="4" s="1"/>
  <c r="SD1" i="4" s="1"/>
  <c r="SF1" i="4" s="1"/>
  <c r="SH1" i="4" s="1"/>
  <c r="SJ1" i="4" s="1"/>
  <c r="SL1" i="4" s="1"/>
  <c r="QE1" i="4"/>
  <c r="QG1" i="4" s="1"/>
  <c r="QI1" i="4" s="1"/>
  <c r="QK1" i="4" s="1"/>
  <c r="QM1" i="4" s="1"/>
  <c r="QO1" i="4" s="1"/>
  <c r="QQ1" i="4" s="1"/>
  <c r="QS1" i="4" s="1"/>
  <c r="QU1" i="4" s="1"/>
  <c r="QW1" i="4" s="1"/>
  <c r="QY1" i="4" s="1"/>
  <c r="RA1" i="4" s="1"/>
  <c r="RC1" i="4" s="1"/>
  <c r="RE1" i="4" s="1"/>
  <c r="RG1" i="4" s="1"/>
  <c r="RI1" i="4" s="1"/>
  <c r="RK1" i="4" s="1"/>
  <c r="RM1" i="4" s="1"/>
  <c r="RO1" i="4" s="1"/>
  <c r="RQ1" i="4" s="1"/>
  <c r="RS1" i="4" s="1"/>
  <c r="RU1" i="4" s="1"/>
  <c r="RW1" i="4" s="1"/>
  <c r="RY1" i="4" s="1"/>
  <c r="SA1" i="4" s="1"/>
  <c r="SC1" i="4" s="1"/>
  <c r="SE1" i="4" s="1"/>
  <c r="SG1" i="4" s="1"/>
  <c r="SI1" i="4" s="1"/>
  <c r="SK1" i="4" s="1"/>
  <c r="NT1" i="4"/>
  <c r="NV1" i="4" s="1"/>
  <c r="NX1" i="4" s="1"/>
  <c r="NZ1" i="4" s="1"/>
  <c r="OB1" i="4" s="1"/>
  <c r="OD1" i="4" s="1"/>
  <c r="OF1" i="4" s="1"/>
  <c r="OH1" i="4" s="1"/>
  <c r="OJ1" i="4" s="1"/>
  <c r="OL1" i="4" s="1"/>
  <c r="ON1" i="4" s="1"/>
  <c r="OP1" i="4" s="1"/>
  <c r="OR1" i="4" s="1"/>
  <c r="OT1" i="4" s="1"/>
  <c r="OV1" i="4" s="1"/>
  <c r="OX1" i="4" s="1"/>
  <c r="OZ1" i="4" s="1"/>
  <c r="PB1" i="4" s="1"/>
  <c r="PD1" i="4" s="1"/>
  <c r="PF1" i="4" s="1"/>
  <c r="PH1" i="4" s="1"/>
  <c r="PJ1" i="4" s="1"/>
  <c r="PL1" i="4" s="1"/>
  <c r="PN1" i="4" s="1"/>
  <c r="PP1" i="4" s="1"/>
  <c r="PR1" i="4" s="1"/>
  <c r="PT1" i="4" s="1"/>
  <c r="PV1" i="4" s="1"/>
  <c r="PX1" i="4" s="1"/>
  <c r="PZ1" i="4" s="1"/>
  <c r="NS1" i="4"/>
  <c r="NU1" i="4" s="1"/>
  <c r="NW1" i="4" s="1"/>
  <c r="NY1" i="4" s="1"/>
  <c r="OA1" i="4" s="1"/>
  <c r="OC1" i="4" s="1"/>
  <c r="OE1" i="4" s="1"/>
  <c r="OG1" i="4" s="1"/>
  <c r="OI1" i="4" s="1"/>
  <c r="OK1" i="4" s="1"/>
  <c r="OM1" i="4" s="1"/>
  <c r="OO1" i="4" s="1"/>
  <c r="OQ1" i="4" s="1"/>
  <c r="OS1" i="4" s="1"/>
  <c r="OU1" i="4" s="1"/>
  <c r="OW1" i="4" s="1"/>
  <c r="OY1" i="4" s="1"/>
  <c r="PA1" i="4" s="1"/>
  <c r="PC1" i="4" s="1"/>
  <c r="PE1" i="4" s="1"/>
  <c r="PG1" i="4" s="1"/>
  <c r="PI1" i="4" s="1"/>
  <c r="PK1" i="4" s="1"/>
  <c r="PM1" i="4" s="1"/>
  <c r="PO1" i="4" s="1"/>
  <c r="PQ1" i="4" s="1"/>
  <c r="PS1" i="4" s="1"/>
  <c r="PU1" i="4" s="1"/>
  <c r="PW1" i="4" s="1"/>
  <c r="PY1" i="4" s="1"/>
  <c r="LJ1" i="4"/>
  <c r="LL1" i="4" s="1"/>
  <c r="LN1" i="4" s="1"/>
  <c r="LP1" i="4" s="1"/>
  <c r="LR1" i="4" s="1"/>
  <c r="LT1" i="4" s="1"/>
  <c r="LV1" i="4" s="1"/>
  <c r="LX1" i="4" s="1"/>
  <c r="LZ1" i="4" s="1"/>
  <c r="MB1" i="4" s="1"/>
  <c r="MD1" i="4" s="1"/>
  <c r="MF1" i="4" s="1"/>
  <c r="MH1" i="4" s="1"/>
  <c r="MJ1" i="4" s="1"/>
  <c r="ML1" i="4" s="1"/>
  <c r="MN1" i="4" s="1"/>
  <c r="MP1" i="4" s="1"/>
  <c r="MR1" i="4" s="1"/>
  <c r="MT1" i="4" s="1"/>
  <c r="MV1" i="4" s="1"/>
  <c r="MX1" i="4" s="1"/>
  <c r="MZ1" i="4" s="1"/>
  <c r="NB1" i="4" s="1"/>
  <c r="ND1" i="4" s="1"/>
  <c r="NF1" i="4" s="1"/>
  <c r="NH1" i="4" s="1"/>
  <c r="NJ1" i="4" s="1"/>
  <c r="NL1" i="4" s="1"/>
  <c r="NN1" i="4" s="1"/>
  <c r="LI1" i="4"/>
  <c r="LK1" i="4" s="1"/>
  <c r="LM1" i="4" s="1"/>
  <c r="LO1" i="4" s="1"/>
  <c r="LQ1" i="4" s="1"/>
  <c r="LS1" i="4" s="1"/>
  <c r="LU1" i="4" s="1"/>
  <c r="LW1" i="4" s="1"/>
  <c r="LY1" i="4" s="1"/>
  <c r="MA1" i="4" s="1"/>
  <c r="MC1" i="4" s="1"/>
  <c r="ME1" i="4" s="1"/>
  <c r="MG1" i="4" s="1"/>
  <c r="MI1" i="4" s="1"/>
  <c r="MK1" i="4" s="1"/>
  <c r="MM1" i="4" s="1"/>
  <c r="MO1" i="4" s="1"/>
  <c r="MQ1" i="4" s="1"/>
  <c r="MS1" i="4" s="1"/>
  <c r="MU1" i="4" s="1"/>
  <c r="MW1" i="4" s="1"/>
  <c r="MY1" i="4" s="1"/>
  <c r="NA1" i="4" s="1"/>
  <c r="NC1" i="4" s="1"/>
  <c r="NE1" i="4" s="1"/>
  <c r="NG1" i="4" s="1"/>
  <c r="NI1" i="4" s="1"/>
  <c r="NK1" i="4" s="1"/>
  <c r="NM1" i="4" s="1"/>
  <c r="IX1" i="4"/>
  <c r="IZ1" i="4" s="1"/>
  <c r="JB1" i="4" s="1"/>
  <c r="JD1" i="4" s="1"/>
  <c r="JF1" i="4" s="1"/>
  <c r="JH1" i="4" s="1"/>
  <c r="JJ1" i="4" s="1"/>
  <c r="JL1" i="4" s="1"/>
  <c r="JN1" i="4" s="1"/>
  <c r="JP1" i="4" s="1"/>
  <c r="JR1" i="4" s="1"/>
  <c r="JT1" i="4" s="1"/>
  <c r="JV1" i="4" s="1"/>
  <c r="JX1" i="4" s="1"/>
  <c r="JZ1" i="4" s="1"/>
  <c r="KB1" i="4" s="1"/>
  <c r="KD1" i="4" s="1"/>
  <c r="KF1" i="4" s="1"/>
  <c r="KH1" i="4" s="1"/>
  <c r="KJ1" i="4" s="1"/>
  <c r="KL1" i="4" s="1"/>
  <c r="KN1" i="4" s="1"/>
  <c r="KP1" i="4" s="1"/>
  <c r="KR1" i="4" s="1"/>
  <c r="KT1" i="4" s="1"/>
  <c r="KV1" i="4" s="1"/>
  <c r="KX1" i="4" s="1"/>
  <c r="KZ1" i="4" s="1"/>
  <c r="LB1" i="4" s="1"/>
  <c r="LD1" i="4" s="1"/>
  <c r="IW1" i="4"/>
  <c r="IY1" i="4" s="1"/>
  <c r="JA1" i="4" s="1"/>
  <c r="JC1" i="4" s="1"/>
  <c r="JE1" i="4" s="1"/>
  <c r="JG1" i="4" s="1"/>
  <c r="JI1" i="4" s="1"/>
  <c r="JK1" i="4" s="1"/>
  <c r="JM1" i="4" s="1"/>
  <c r="JO1" i="4" s="1"/>
  <c r="JQ1" i="4" s="1"/>
  <c r="JS1" i="4" s="1"/>
  <c r="JU1" i="4" s="1"/>
  <c r="JW1" i="4" s="1"/>
  <c r="JY1" i="4" s="1"/>
  <c r="KA1" i="4" s="1"/>
  <c r="KC1" i="4" s="1"/>
  <c r="KE1" i="4" s="1"/>
  <c r="KG1" i="4" s="1"/>
  <c r="KI1" i="4" s="1"/>
  <c r="KK1" i="4" s="1"/>
  <c r="KM1" i="4" s="1"/>
  <c r="KO1" i="4" s="1"/>
  <c r="KQ1" i="4" s="1"/>
  <c r="KS1" i="4" s="1"/>
  <c r="KU1" i="4" s="1"/>
  <c r="KW1" i="4" s="1"/>
  <c r="KY1" i="4" s="1"/>
  <c r="LA1" i="4" s="1"/>
  <c r="LC1" i="4" s="1"/>
  <c r="EB1" i="4"/>
  <c r="ED1" i="4" s="1"/>
  <c r="EF1" i="4" s="1"/>
  <c r="EH1" i="4" s="1"/>
  <c r="EJ1" i="4" s="1"/>
  <c r="EL1" i="4" s="1"/>
  <c r="EN1" i="4" s="1"/>
  <c r="EP1" i="4" s="1"/>
  <c r="ER1" i="4" s="1"/>
  <c r="ET1" i="4" s="1"/>
  <c r="EV1" i="4" s="1"/>
  <c r="EX1" i="4" s="1"/>
  <c r="EZ1" i="4" s="1"/>
  <c r="FB1" i="4" s="1"/>
  <c r="FD1" i="4" s="1"/>
  <c r="FF1" i="4" s="1"/>
  <c r="FH1" i="4" s="1"/>
  <c r="FJ1" i="4" s="1"/>
  <c r="FL1" i="4" s="1"/>
  <c r="FN1" i="4" s="1"/>
  <c r="FP1" i="4" s="1"/>
  <c r="FR1" i="4" s="1"/>
  <c r="FT1" i="4" s="1"/>
  <c r="FV1" i="4" s="1"/>
  <c r="FX1" i="4" s="1"/>
  <c r="FZ1" i="4" s="1"/>
  <c r="GB1" i="4" s="1"/>
  <c r="GD1" i="4" s="1"/>
  <c r="GF1" i="4" s="1"/>
  <c r="GH1" i="4" s="1"/>
  <c r="EA1" i="4"/>
  <c r="EC1" i="4" s="1"/>
  <c r="EE1" i="4" s="1"/>
  <c r="EG1" i="4" s="1"/>
  <c r="EI1" i="4" s="1"/>
  <c r="EK1" i="4" s="1"/>
  <c r="EM1" i="4" s="1"/>
  <c r="EO1" i="4" s="1"/>
  <c r="EQ1" i="4" s="1"/>
  <c r="ES1" i="4" s="1"/>
  <c r="EU1" i="4" s="1"/>
  <c r="EW1" i="4" s="1"/>
  <c r="EY1" i="4" s="1"/>
  <c r="FA1" i="4" s="1"/>
  <c r="FC1" i="4" s="1"/>
  <c r="FE1" i="4" s="1"/>
  <c r="FG1" i="4" s="1"/>
  <c r="FI1" i="4" s="1"/>
  <c r="FK1" i="4" s="1"/>
  <c r="FM1" i="4" s="1"/>
  <c r="FO1" i="4" s="1"/>
  <c r="FQ1" i="4" s="1"/>
  <c r="FS1" i="4" s="1"/>
  <c r="FU1" i="4" s="1"/>
  <c r="FW1" i="4" s="1"/>
  <c r="FY1" i="4" s="1"/>
  <c r="GA1" i="4" s="1"/>
  <c r="GC1" i="4" s="1"/>
  <c r="GE1" i="4" s="1"/>
  <c r="GG1" i="4" s="1"/>
  <c r="BT1" i="4"/>
  <c r="BS1" i="4"/>
  <c r="H1" i="4"/>
  <c r="G1" i="4"/>
  <c r="I7" i="6"/>
  <c r="I6" i="6"/>
  <c r="I5" i="6"/>
  <c r="I4" i="6"/>
  <c r="I3" i="6"/>
  <c r="BV1" i="4" l="1"/>
  <c r="BU1" i="4"/>
  <c r="NP113" i="4"/>
  <c r="UX113" i="4"/>
  <c r="ACG71" i="4"/>
  <c r="ACG77" i="4"/>
  <c r="ACG72" i="4"/>
  <c r="ACG16" i="4"/>
  <c r="IT13" i="4"/>
  <c r="QB13" i="4"/>
  <c r="XJ13" i="4"/>
  <c r="NP57" i="4"/>
  <c r="UX57" i="4"/>
  <c r="LF79" i="4"/>
  <c r="ZT79" i="4"/>
  <c r="ACG78" i="4"/>
  <c r="NP90" i="4"/>
  <c r="UX90" i="4"/>
  <c r="ACE90" i="4"/>
  <c r="ACG30" i="4"/>
  <c r="R54" i="8"/>
  <c r="SM13" i="4"/>
  <c r="UX35" i="4"/>
  <c r="IT46" i="4"/>
  <c r="QB46" i="4"/>
  <c r="XJ46" i="4"/>
  <c r="NP68" i="4"/>
  <c r="UX68" i="4"/>
  <c r="ACG59" i="4"/>
  <c r="IT79" i="4"/>
  <c r="QB79" i="4"/>
  <c r="XJ79" i="4"/>
  <c r="UX101" i="4"/>
  <c r="ACG92" i="4"/>
  <c r="IT107" i="4"/>
  <c r="QB107" i="4"/>
  <c r="XJ107" i="4"/>
  <c r="LE13" i="4"/>
  <c r="LE24" i="4"/>
  <c r="ACG22" i="4"/>
  <c r="IS35" i="4"/>
  <c r="IS68" i="4"/>
  <c r="QA68" i="4"/>
  <c r="XI68" i="4"/>
  <c r="R79" i="8"/>
  <c r="IS113" i="4"/>
  <c r="QA113" i="4"/>
  <c r="XI113" i="4"/>
  <c r="LE113" i="4"/>
  <c r="ACG115" i="4"/>
  <c r="ACG7" i="4"/>
  <c r="LE35" i="4"/>
  <c r="ZS35" i="4"/>
  <c r="LF35" i="4"/>
  <c r="SN35" i="4"/>
  <c r="LF68" i="4"/>
  <c r="SN68" i="4"/>
  <c r="ACE13" i="4"/>
  <c r="ACG6" i="4"/>
  <c r="ACG12" i="4"/>
  <c r="NP24" i="4"/>
  <c r="UX24" i="4"/>
  <c r="ZT35" i="4"/>
  <c r="ZT68" i="4"/>
  <c r="ACG65" i="4"/>
  <c r="LF101" i="4"/>
  <c r="SN101" i="4"/>
  <c r="ZT101" i="4"/>
  <c r="ACG98" i="4"/>
  <c r="ZS13" i="4"/>
  <c r="UW13" i="4"/>
  <c r="NP35" i="4"/>
  <c r="ACG64" i="4"/>
  <c r="XI107" i="4"/>
  <c r="ZT13" i="4"/>
  <c r="NO13" i="4"/>
  <c r="ACG5" i="4"/>
  <c r="ACG11" i="4"/>
  <c r="LF46" i="4"/>
  <c r="SN46" i="4"/>
  <c r="ZT46" i="4"/>
  <c r="ACE46" i="4"/>
  <c r="ACG39" i="4"/>
  <c r="QA46" i="4"/>
  <c r="LE57" i="4"/>
  <c r="SM57" i="4"/>
  <c r="ZS57" i="4"/>
  <c r="ACG51" i="4"/>
  <c r="QB57" i="4"/>
  <c r="IT68" i="4"/>
  <c r="QB68" i="4"/>
  <c r="XJ68" i="4"/>
  <c r="NP79" i="4"/>
  <c r="UX79" i="4"/>
  <c r="IT90" i="4"/>
  <c r="QB90" i="4"/>
  <c r="XJ90" i="4"/>
  <c r="SM90" i="4"/>
  <c r="ACG85" i="4"/>
  <c r="NP101" i="4"/>
  <c r="SM101" i="4"/>
  <c r="ZS101" i="4"/>
  <c r="SN13" i="4"/>
  <c r="NP13" i="4"/>
  <c r="IS13" i="4"/>
  <c r="XJ24" i="4"/>
  <c r="QA24" i="4"/>
  <c r="NO35" i="4"/>
  <c r="UW35" i="4"/>
  <c r="ACE35" i="4"/>
  <c r="ACG27" i="4"/>
  <c r="ACG33" i="4"/>
  <c r="ACG50" i="4"/>
  <c r="ACG56" i="4"/>
  <c r="LE68" i="4"/>
  <c r="SM68" i="4"/>
  <c r="ZS68" i="4"/>
  <c r="ACG62" i="4"/>
  <c r="ACG84" i="4"/>
  <c r="ACG97" i="4"/>
  <c r="LE107" i="4"/>
  <c r="SM107" i="4"/>
  <c r="ZS107" i="4"/>
  <c r="ACG106" i="4"/>
  <c r="LF13" i="4"/>
  <c r="J1" i="4"/>
  <c r="UX13" i="4"/>
  <c r="ACG10" i="4"/>
  <c r="IT24" i="4"/>
  <c r="QB24" i="4"/>
  <c r="UW24" i="4"/>
  <c r="XI24" i="4"/>
  <c r="QA13" i="4"/>
  <c r="XI13" i="4"/>
  <c r="ACG9" i="4"/>
  <c r="NP46" i="4"/>
  <c r="UX46" i="4"/>
  <c r="ACG61" i="4"/>
  <c r="ACG67" i="4"/>
  <c r="LF107" i="4"/>
  <c r="SN107" i="4"/>
  <c r="ZT107" i="4"/>
  <c r="UW107" i="4"/>
  <c r="ACG105" i="4"/>
  <c r="ACG8" i="4"/>
  <c r="ACG42" i="4"/>
  <c r="NO68" i="4"/>
  <c r="UW68" i="4"/>
  <c r="ACE68" i="4"/>
  <c r="ACG60" i="4"/>
  <c r="ACG66" i="4"/>
  <c r="NO90" i="4"/>
  <c r="XI90" i="4"/>
  <c r="NO107" i="4"/>
  <c r="NO24" i="4"/>
  <c r="ACE24" i="4"/>
  <c r="IT57" i="4"/>
  <c r="SN79" i="4"/>
  <c r="NO101" i="4"/>
  <c r="UW101" i="4"/>
  <c r="ACE101" i="4"/>
  <c r="NP107" i="4"/>
  <c r="UX107" i="4"/>
  <c r="NO113" i="4"/>
  <c r="UW113" i="4"/>
  <c r="ACE113" i="4"/>
  <c r="ACG110" i="4"/>
  <c r="R49" i="8"/>
  <c r="R23" i="8"/>
  <c r="ACG58" i="4"/>
  <c r="ACG4" i="4"/>
  <c r="LE46" i="4"/>
  <c r="SM46" i="4"/>
  <c r="ACG94" i="4"/>
  <c r="ACG100" i="4"/>
  <c r="QB113" i="4"/>
  <c r="XJ113" i="4"/>
  <c r="NO79" i="4"/>
  <c r="UW79" i="4"/>
  <c r="ACE79" i="4"/>
  <c r="IS90" i="4"/>
  <c r="ACG45" i="4"/>
  <c r="IT35" i="4"/>
  <c r="QB35" i="4"/>
  <c r="XJ35" i="4"/>
  <c r="I1" i="4"/>
  <c r="ACG3" i="4"/>
  <c r="SM35" i="4"/>
  <c r="ACG29" i="4"/>
  <c r="ACG37" i="4"/>
  <c r="ACG43" i="4"/>
  <c r="UW57" i="4"/>
  <c r="ACE57" i="4"/>
  <c r="ACG69" i="4"/>
  <c r="IS79" i="4"/>
  <c r="QA79" i="4"/>
  <c r="XI79" i="4"/>
  <c r="ACG75" i="4"/>
  <c r="QA101" i="4"/>
  <c r="LE101" i="4"/>
  <c r="ACG103" i="4"/>
  <c r="ZS46" i="4"/>
  <c r="ACG47" i="4"/>
  <c r="IS57" i="4"/>
  <c r="QA57" i="4"/>
  <c r="XI57" i="4"/>
  <c r="XJ57" i="4"/>
  <c r="ACG53" i="4"/>
  <c r="ACG108" i="4"/>
  <c r="SM24" i="4"/>
  <c r="ACG28" i="4"/>
  <c r="ACG34" i="4"/>
  <c r="UW46" i="4"/>
  <c r="ACG70" i="4"/>
  <c r="ACG76" i="4"/>
  <c r="QA90" i="4"/>
  <c r="ACE107" i="4"/>
  <c r="ACG104" i="4"/>
  <c r="ACG26" i="4"/>
  <c r="ACG32" i="4"/>
  <c r="ACG36" i="4"/>
  <c r="IS46" i="4"/>
  <c r="XI46" i="4"/>
  <c r="LF57" i="4"/>
  <c r="SN57" i="4"/>
  <c r="ZT57" i="4"/>
  <c r="ACG74" i="4"/>
  <c r="LE90" i="4"/>
  <c r="ZS90" i="4"/>
  <c r="ACG91" i="4"/>
  <c r="IS101" i="4"/>
  <c r="XI101" i="4"/>
  <c r="ACG102" i="4"/>
  <c r="IS107" i="4"/>
  <c r="QA107" i="4"/>
  <c r="IT113" i="4"/>
  <c r="ACG15" i="4"/>
  <c r="ACG21" i="4"/>
  <c r="ACG25" i="4"/>
  <c r="QA35" i="4"/>
  <c r="XI35" i="4"/>
  <c r="ACG31" i="4"/>
  <c r="ACG41" i="4"/>
  <c r="NO57" i="4"/>
  <c r="ACG49" i="4"/>
  <c r="ACG55" i="4"/>
  <c r="LE79" i="4"/>
  <c r="SM79" i="4"/>
  <c r="ZS79" i="4"/>
  <c r="ACG73" i="4"/>
  <c r="LF90" i="4"/>
  <c r="SN90" i="4"/>
  <c r="ZT90" i="4"/>
  <c r="ACG83" i="4"/>
  <c r="ACG89" i="4"/>
  <c r="IT101" i="4"/>
  <c r="QB101" i="4"/>
  <c r="XJ101" i="4"/>
  <c r="SM113" i="4"/>
  <c r="ZS113" i="4"/>
  <c r="ACG112" i="4"/>
  <c r="ACG14" i="4"/>
  <c r="IS24" i="4"/>
  <c r="ACG20" i="4"/>
  <c r="ACG40" i="4"/>
  <c r="ACG48" i="4"/>
  <c r="ACG54" i="4"/>
  <c r="UW90" i="4"/>
  <c r="ACG82" i="4"/>
  <c r="ACG88" i="4"/>
  <c r="ACG95" i="4"/>
  <c r="ZS24" i="4"/>
  <c r="ACG18" i="4"/>
  <c r="NO46" i="4"/>
  <c r="ACG38" i="4"/>
  <c r="ACG44" i="4"/>
  <c r="ACG80" i="4"/>
  <c r="ACG86" i="4"/>
  <c r="ACG93" i="4"/>
  <c r="ACG99" i="4"/>
  <c r="ACG109" i="4"/>
  <c r="R15" i="8"/>
  <c r="LF24" i="4"/>
  <c r="SN24" i="4"/>
  <c r="ZT24" i="4"/>
  <c r="ACG17" i="4"/>
  <c r="ACG23" i="4"/>
  <c r="ACG52" i="4"/>
  <c r="ACG81" i="4"/>
  <c r="ACG87" i="4"/>
  <c r="LF113" i="4"/>
  <c r="SN113" i="4"/>
  <c r="ZT113" i="4"/>
  <c r="ACG111" i="4"/>
  <c r="R52" i="8"/>
  <c r="R64" i="8"/>
  <c r="R28" i="8"/>
  <c r="R59" i="8"/>
  <c r="R48" i="8"/>
  <c r="R18" i="8"/>
  <c r="R29" i="8"/>
  <c r="R22" i="8"/>
  <c r="R31" i="8"/>
  <c r="R34" i="8"/>
  <c r="R43" i="8"/>
  <c r="R16" i="8"/>
  <c r="R24" i="8"/>
  <c r="R45" i="8"/>
  <c r="R63" i="8"/>
  <c r="R66" i="8"/>
  <c r="R38" i="8"/>
  <c r="R56" i="8"/>
  <c r="R82" i="8"/>
  <c r="R41" i="8"/>
  <c r="R19" i="8"/>
  <c r="R26" i="8"/>
  <c r="R30" i="8"/>
  <c r="R33" i="8"/>
  <c r="R37" i="8"/>
  <c r="R44" i="8"/>
  <c r="R51" i="8"/>
  <c r="R58" i="8"/>
  <c r="R67" i="8"/>
  <c r="R78" i="8"/>
  <c r="R36" i="8"/>
  <c r="R75" i="8"/>
  <c r="R14" i="8"/>
  <c r="R21" i="8"/>
  <c r="R10" i="8"/>
  <c r="R13" i="8"/>
  <c r="R39" i="8"/>
  <c r="R46" i="8"/>
  <c r="R53" i="8"/>
  <c r="R60" i="8"/>
  <c r="R73" i="8"/>
  <c r="R74" i="8"/>
  <c r="R3" i="8"/>
  <c r="R7" i="8"/>
  <c r="R8" i="8"/>
  <c r="R9" i="8"/>
  <c r="R25" i="8"/>
  <c r="R40" i="8"/>
  <c r="R55" i="8"/>
  <c r="R62" i="8"/>
  <c r="R70" i="8"/>
  <c r="R77" i="8"/>
  <c r="R85" i="8"/>
  <c r="R68" i="8"/>
  <c r="R69" i="8"/>
  <c r="R83" i="8"/>
  <c r="R84" i="8"/>
  <c r="R4" i="8"/>
  <c r="R5" i="8"/>
  <c r="R81" i="8"/>
  <c r="R11" i="8"/>
  <c r="R72" i="8"/>
  <c r="R87" i="8"/>
  <c r="G2" i="8"/>
  <c r="H2" i="8"/>
  <c r="BW1" i="4" l="1"/>
  <c r="BX1" i="4"/>
  <c r="ACG13" i="4"/>
  <c r="L1" i="4"/>
  <c r="ACG35" i="4"/>
  <c r="ACG57" i="4"/>
  <c r="ACG46" i="4"/>
  <c r="ACG90" i="4"/>
  <c r="K1" i="4"/>
  <c r="ACG107" i="4"/>
  <c r="ACG113" i="4"/>
  <c r="ACG79" i="4"/>
  <c r="BZ1" i="4" l="1"/>
  <c r="BY1" i="4"/>
  <c r="N1" i="4"/>
  <c r="M1" i="4"/>
  <c r="CB1" i="4" l="1"/>
  <c r="CA1" i="4"/>
  <c r="P1" i="4"/>
  <c r="O1" i="4"/>
  <c r="CD1" i="4" l="1"/>
  <c r="CC1" i="4"/>
  <c r="R1" i="4"/>
  <c r="Q1" i="4"/>
  <c r="CE1" i="4" l="1"/>
  <c r="CF1" i="4"/>
  <c r="T1" i="4"/>
  <c r="S1" i="4"/>
  <c r="CG1" i="4" l="1"/>
  <c r="CH1" i="4"/>
  <c r="V1" i="4"/>
  <c r="U1" i="4"/>
  <c r="CI1" i="4" l="1"/>
  <c r="CJ1" i="4"/>
  <c r="X1" i="4"/>
  <c r="W1" i="4"/>
  <c r="CK1" i="4" l="1"/>
  <c r="CL1" i="4"/>
  <c r="Z1" i="4"/>
  <c r="Y1" i="4"/>
  <c r="CM1" i="4" l="1"/>
  <c r="CN1" i="4"/>
  <c r="AB1" i="4"/>
  <c r="AA1" i="4"/>
  <c r="CO1" i="4" l="1"/>
  <c r="CP1" i="4"/>
  <c r="AD1" i="4"/>
  <c r="AC1" i="4"/>
  <c r="CQ1" i="4" l="1"/>
  <c r="CR1" i="4"/>
  <c r="AF1" i="4"/>
  <c r="AE1" i="4"/>
  <c r="CS1" i="4" l="1"/>
  <c r="CT1" i="4"/>
  <c r="AH1" i="4"/>
  <c r="AG1" i="4"/>
  <c r="CU1" i="4" l="1"/>
  <c r="CV1" i="4"/>
  <c r="AJ1" i="4"/>
  <c r="AI1" i="4"/>
  <c r="CW1" i="4" l="1"/>
  <c r="CX1" i="4"/>
  <c r="AL1" i="4"/>
  <c r="AK1" i="4"/>
  <c r="CY1" i="4" l="1"/>
  <c r="CZ1" i="4"/>
  <c r="AN1" i="4"/>
  <c r="AM1" i="4"/>
  <c r="DA1" i="4" l="1"/>
  <c r="DB1" i="4"/>
  <c r="AP1" i="4"/>
  <c r="AO1" i="4"/>
  <c r="DC1" i="4" l="1"/>
  <c r="DD1" i="4"/>
  <c r="AR1" i="4"/>
  <c r="AQ1" i="4"/>
  <c r="DE1" i="4" l="1"/>
  <c r="DF1" i="4"/>
  <c r="AT1" i="4"/>
  <c r="AS1" i="4"/>
  <c r="DG1" i="4" l="1"/>
  <c r="DH1" i="4"/>
  <c r="AV1" i="4"/>
  <c r="AU1" i="4"/>
  <c r="DI1" i="4" l="1"/>
  <c r="DJ1" i="4"/>
  <c r="AX1" i="4"/>
  <c r="AW1" i="4"/>
  <c r="DK1" i="4" l="1"/>
  <c r="DL1" i="4"/>
  <c r="AY1" i="4"/>
  <c r="AZ1" i="4"/>
  <c r="DM1" i="4" l="1"/>
  <c r="DN1" i="4"/>
  <c r="BB1" i="4"/>
  <c r="BA1" i="4"/>
  <c r="DO1" i="4" l="1"/>
  <c r="DP1" i="4"/>
  <c r="BC1" i="4"/>
  <c r="BD1" i="4"/>
  <c r="DQ1" i="4" l="1"/>
  <c r="DR1" i="4"/>
  <c r="BF1" i="4"/>
  <c r="BE1" i="4"/>
  <c r="DS1" i="4" l="1"/>
  <c r="DT1" i="4"/>
  <c r="BH1" i="4"/>
  <c r="BG1" i="4"/>
  <c r="DU1" i="4" l="1"/>
  <c r="DV1" i="4"/>
  <c r="BJ1" i="4"/>
  <c r="BI1" i="4"/>
  <c r="BK1" i="4" l="1"/>
  <c r="BL1" i="4"/>
  <c r="BM1" i="4" l="1"/>
  <c r="BN1" i="4"/>
  <c r="ACG114" i="4" l="1"/>
  <c r="ACG96" i="4"/>
  <c r="ACG101" i="4" s="1"/>
  <c r="ACG19" i="4" l="1"/>
  <c r="ACG63" i="4"/>
  <c r="ACG24" i="4" l="1"/>
  <c r="ACG68" i="4"/>
  <c r="E45" i="8" a="1"/>
  <c r="E23" i="8" a="1"/>
  <c r="E66" i="8" a="1"/>
  <c r="E36" i="8" a="1"/>
  <c r="E71" i="8" a="1"/>
  <c r="E17" i="8" a="1"/>
  <c r="E28" i="8" a="1"/>
  <c r="E7" i="8" a="1"/>
  <c r="E11" i="8" a="1"/>
  <c r="E37" i="8" a="1"/>
  <c r="E61" i="8" a="1"/>
  <c r="E68" i="8" a="1"/>
  <c r="E12" i="8" a="1"/>
  <c r="I16" i="9" l="1" a="1"/>
  <c r="I16" i="9" s="1"/>
  <c r="H68" i="9" a="1"/>
  <c r="H68" i="9" s="1"/>
  <c r="E120" i="9" a="1"/>
  <c r="E120" i="9" s="1"/>
  <c r="G172" i="9" a="1"/>
  <c r="G172" i="9" s="1"/>
  <c r="C68" i="9" a="1"/>
  <c r="C68" i="9" s="1"/>
  <c r="K68" i="9" a="1"/>
  <c r="K68" i="9" s="1"/>
  <c r="M120" i="9" a="1"/>
  <c r="M120" i="9" s="1"/>
  <c r="F172" i="9" a="1"/>
  <c r="F172" i="9" s="1"/>
  <c r="M68" i="9" a="1"/>
  <c r="M68" i="9" s="1"/>
  <c r="H16" i="9" a="1"/>
  <c r="H16" i="9" s="1"/>
  <c r="L120" i="9" a="1"/>
  <c r="L120" i="9" s="1"/>
  <c r="G68" i="9" a="1"/>
  <c r="G68" i="9" s="1"/>
  <c r="M172" i="9" a="1"/>
  <c r="M172" i="9" s="1"/>
  <c r="K120" i="9" a="1"/>
  <c r="K120" i="9" s="1"/>
  <c r="J172" i="9" a="1"/>
  <c r="J172" i="9" s="1"/>
  <c r="E172" i="9" a="1"/>
  <c r="E172" i="9" s="1"/>
  <c r="B120" i="9" a="1"/>
  <c r="B120" i="9" s="1"/>
  <c r="J68" i="9" a="1"/>
  <c r="J68" i="9" s="1"/>
  <c r="D120" i="9" a="1"/>
  <c r="D120" i="9" s="1"/>
  <c r="F120" i="9" a="1"/>
  <c r="F120" i="9" s="1"/>
  <c r="L68" i="9" a="1"/>
  <c r="L68" i="9" s="1"/>
  <c r="F68" i="9" a="1"/>
  <c r="F68" i="9" s="1"/>
  <c r="C120" i="9" a="1"/>
  <c r="C120" i="9" s="1"/>
  <c r="H120" i="9" a="1"/>
  <c r="H120" i="9" s="1"/>
  <c r="I68" i="9" a="1"/>
  <c r="I68" i="9" s="1"/>
  <c r="E68" i="9" a="1"/>
  <c r="E68" i="9" s="1"/>
  <c r="K16" i="9" a="1"/>
  <c r="K16" i="9" s="1"/>
  <c r="C16" i="9" a="1"/>
  <c r="C16" i="9" s="1"/>
  <c r="B68" i="9" a="1"/>
  <c r="B68" i="9" s="1"/>
  <c r="L172" i="9" a="1"/>
  <c r="L172" i="9" s="1"/>
  <c r="M16" i="9" a="1"/>
  <c r="M16" i="9" s="1"/>
  <c r="I172" i="9" a="1"/>
  <c r="I172" i="9" s="1"/>
  <c r="G16" i="9" a="1"/>
  <c r="G16" i="9" s="1"/>
  <c r="D172" i="9" a="1"/>
  <c r="D172" i="9" s="1"/>
  <c r="J120" i="9" a="1"/>
  <c r="J120" i="9" s="1"/>
  <c r="C172" i="9" a="1"/>
  <c r="C172" i="9" s="1"/>
  <c r="E16" i="9" a="1"/>
  <c r="E16" i="9" s="1"/>
  <c r="D16" i="9" a="1"/>
  <c r="D16" i="9" s="1"/>
  <c r="K172" i="9" a="1"/>
  <c r="K172" i="9" s="1"/>
  <c r="L16" i="9" a="1"/>
  <c r="L16" i="9" s="1"/>
  <c r="H172" i="9" a="1"/>
  <c r="H172" i="9" s="1"/>
  <c r="D68" i="9" a="1"/>
  <c r="D68" i="9" s="1"/>
  <c r="I120" i="9" a="1"/>
  <c r="I120" i="9" s="1"/>
  <c r="J16" i="9" a="1"/>
  <c r="J16" i="9" s="1"/>
  <c r="B172" i="9" a="1"/>
  <c r="B172" i="9" s="1"/>
  <c r="B16" i="9" a="1"/>
  <c r="B16" i="9" s="1"/>
  <c r="G120" i="9" a="1"/>
  <c r="G120" i="9" s="1"/>
  <c r="F16" i="9" a="1"/>
  <c r="F16" i="9" s="1"/>
  <c r="L171" i="9" a="1"/>
  <c r="L171" i="9" s="1"/>
  <c r="E109" i="9" a="1"/>
  <c r="E109" i="9" s="1"/>
  <c r="D119" i="9" a="1"/>
  <c r="D119" i="9" s="1"/>
  <c r="H119" i="9" a="1"/>
  <c r="H119" i="9" s="1"/>
  <c r="H15" i="9" a="1"/>
  <c r="H15" i="9" s="1"/>
  <c r="K171" i="9" a="1"/>
  <c r="K171" i="9" s="1"/>
  <c r="K67" i="9" a="1"/>
  <c r="K67" i="9" s="1"/>
  <c r="C15" i="9" a="1"/>
  <c r="C15" i="9" s="1"/>
  <c r="C171" i="9" a="1"/>
  <c r="C171" i="9" s="1"/>
  <c r="C67" i="9" a="1"/>
  <c r="C67" i="9" s="1"/>
  <c r="E119" i="9" a="1"/>
  <c r="E119" i="9" s="1"/>
  <c r="E15" i="9" a="1"/>
  <c r="E15" i="9" s="1"/>
  <c r="H171" i="9" a="1"/>
  <c r="H171" i="9" s="1"/>
  <c r="H67" i="9" a="1"/>
  <c r="H67" i="9" s="1"/>
  <c r="M119" i="9" a="1"/>
  <c r="M119" i="9" s="1"/>
  <c r="M15" i="9" a="1"/>
  <c r="M15" i="9" s="1"/>
  <c r="M171" i="9" a="1"/>
  <c r="M171" i="9" s="1"/>
  <c r="B119" i="9" a="1"/>
  <c r="B119" i="9" s="1"/>
  <c r="B15" i="9" a="1"/>
  <c r="B15" i="9" s="1"/>
  <c r="E171" i="9" a="1"/>
  <c r="E171" i="9" s="1"/>
  <c r="E67" i="9" a="1"/>
  <c r="E67" i="9" s="1"/>
  <c r="J119" i="9" a="1"/>
  <c r="J119" i="9" s="1"/>
  <c r="J15" i="9" a="1"/>
  <c r="J15" i="9" s="1"/>
  <c r="J171" i="9" a="1"/>
  <c r="J171" i="9" s="1"/>
  <c r="M67" i="9" a="1"/>
  <c r="M67" i="9" s="1"/>
  <c r="L119" i="9" a="1"/>
  <c r="L119" i="9" s="1"/>
  <c r="B171" i="9" a="1"/>
  <c r="B171" i="9" s="1"/>
  <c r="B67" i="9" a="1"/>
  <c r="B67" i="9" s="1"/>
  <c r="G119" i="9" a="1"/>
  <c r="G119" i="9" s="1"/>
  <c r="G15" i="9" a="1"/>
  <c r="G15" i="9" s="1"/>
  <c r="G171" i="9" a="1"/>
  <c r="G171" i="9" s="1"/>
  <c r="J67" i="9" a="1"/>
  <c r="J67" i="9" s="1"/>
  <c r="I119" i="9" a="1"/>
  <c r="I119" i="9" s="1"/>
  <c r="L15" i="9" a="1"/>
  <c r="L15" i="9" s="1"/>
  <c r="L67" i="9" a="1"/>
  <c r="L67" i="9" s="1"/>
  <c r="D15" i="9" a="1"/>
  <c r="D15" i="9" s="1"/>
  <c r="D171" i="9" a="1"/>
  <c r="D171" i="9" s="1"/>
  <c r="G67" i="9" a="1"/>
  <c r="G67" i="9" s="1"/>
  <c r="F119" i="9" a="1"/>
  <c r="F119" i="9" s="1"/>
  <c r="I15" i="9" a="1"/>
  <c r="I15" i="9" s="1"/>
  <c r="I171" i="9" a="1"/>
  <c r="I171" i="9" s="1"/>
  <c r="I67" i="9" a="1"/>
  <c r="I67" i="9" s="1"/>
  <c r="K119" i="9" a="1"/>
  <c r="K119" i="9" s="1"/>
  <c r="K15" i="9" a="1"/>
  <c r="K15" i="9" s="1"/>
  <c r="D67" i="9" a="1"/>
  <c r="D67" i="9" s="1"/>
  <c r="C119" i="9" a="1"/>
  <c r="C119" i="9" s="1"/>
  <c r="F15" i="9" a="1"/>
  <c r="F15" i="9" s="1"/>
  <c r="F171" i="9" a="1"/>
  <c r="F171" i="9" s="1"/>
  <c r="F67" i="9" a="1"/>
  <c r="F67" i="9" s="1"/>
  <c r="G51" i="8" a="1"/>
  <c r="G51" i="8" s="1"/>
  <c r="F9" i="9" a="1"/>
  <c r="F9" i="9" s="1"/>
  <c r="G5" i="9" a="1"/>
  <c r="G5" i="9" s="1"/>
  <c r="L8" i="9" a="1"/>
  <c r="L8" i="9" s="1"/>
  <c r="K12" i="9" a="1"/>
  <c r="K12" i="9" s="1"/>
  <c r="L6" i="9" a="1"/>
  <c r="L6" i="9" s="1"/>
  <c r="E6" i="9" a="1"/>
  <c r="E6" i="9" s="1"/>
  <c r="H6" i="9" a="1"/>
  <c r="H6" i="9" s="1"/>
  <c r="G109" i="9" a="1"/>
  <c r="G109" i="9" s="1"/>
  <c r="B169" i="9" a="1"/>
  <c r="B169" i="9" s="1"/>
  <c r="C113" i="9" a="1"/>
  <c r="C113" i="9" s="1"/>
  <c r="J62" i="9" a="1"/>
  <c r="J62" i="9" s="1"/>
  <c r="C114" i="9" a="1"/>
  <c r="C114" i="9" s="1"/>
  <c r="G63" i="9" a="1"/>
  <c r="G63" i="9" s="1"/>
  <c r="G111" i="9" a="1"/>
  <c r="G111" i="9" s="1"/>
  <c r="G58" i="9" a="1"/>
  <c r="G58" i="9" s="1"/>
  <c r="E162" i="9" a="1"/>
  <c r="E162" i="9" s="1"/>
  <c r="D66" i="9" a="1"/>
  <c r="D66" i="9" s="1"/>
  <c r="K8" i="9" a="1"/>
  <c r="K8" i="9" s="1"/>
  <c r="B164" i="9" a="1"/>
  <c r="B164" i="9" s="1"/>
  <c r="H12" i="9" a="1"/>
  <c r="H12" i="9" s="1"/>
  <c r="C162" i="9" a="1"/>
  <c r="C162" i="9" s="1"/>
  <c r="B109" i="9" a="1"/>
  <c r="B109" i="9" s="1"/>
  <c r="M169" i="9" a="1"/>
  <c r="M169" i="9" s="1"/>
  <c r="F56" i="9" a="1"/>
  <c r="F56" i="9" s="1"/>
  <c r="D170" i="9" a="1"/>
  <c r="D170" i="9" s="1"/>
  <c r="F57" i="9" a="1"/>
  <c r="F57" i="9" s="1"/>
  <c r="M165" i="9" a="1"/>
  <c r="M165" i="9" s="1"/>
  <c r="F11" i="9" a="1"/>
  <c r="F11" i="9" s="1"/>
  <c r="K6" i="9" a="1"/>
  <c r="K6" i="9" s="1"/>
  <c r="G162" i="9" a="1"/>
  <c r="G162" i="9" s="1"/>
  <c r="M111" i="9" a="1"/>
  <c r="M111" i="9" s="1"/>
  <c r="E160" i="9" a="1"/>
  <c r="E160" i="9" s="1"/>
  <c r="E66" i="9" a="1"/>
  <c r="E66" i="9" s="1"/>
  <c r="F117" i="9" a="1"/>
  <c r="F117" i="9" s="1"/>
  <c r="B62" i="9" a="1"/>
  <c r="B62" i="9" s="1"/>
  <c r="L163" i="9" a="1"/>
  <c r="L163" i="9" s="1"/>
  <c r="I112" i="9" a="1"/>
  <c r="I112" i="9" s="1"/>
  <c r="G166" i="9" a="1"/>
  <c r="G166" i="9" s="1"/>
  <c r="H10" i="9" a="1"/>
  <c r="H10" i="9" s="1"/>
  <c r="H163" i="9" a="1"/>
  <c r="H163" i="9" s="1"/>
  <c r="F65" i="9" a="1"/>
  <c r="F65" i="9" s="1"/>
  <c r="C13" i="9" a="1"/>
  <c r="C13" i="9" s="1"/>
  <c r="J117" i="9" a="1"/>
  <c r="J117" i="9" s="1"/>
  <c r="J64" i="9" a="1"/>
  <c r="J64" i="9" s="1"/>
  <c r="H115" i="9" a="1"/>
  <c r="H115" i="9" s="1"/>
  <c r="G60" i="9" a="1"/>
  <c r="G60" i="9" s="1"/>
  <c r="H7" i="9" a="1"/>
  <c r="H7" i="9" s="1"/>
  <c r="E117" i="9" a="1"/>
  <c r="E117" i="9" s="1"/>
  <c r="L66" i="9" a="1"/>
  <c r="L66" i="9" s="1"/>
  <c r="G118" i="9" a="1"/>
  <c r="G118" i="9" s="1"/>
  <c r="H108" i="9" a="1"/>
  <c r="H108" i="9" s="1"/>
  <c r="L164" i="9" a="1"/>
  <c r="L164" i="9" s="1"/>
  <c r="H109" i="9" a="1"/>
  <c r="H109" i="9" s="1"/>
  <c r="C118" i="9" a="1"/>
  <c r="C118" i="9" s="1"/>
  <c r="K63" i="9" a="1"/>
  <c r="K63" i="9" s="1"/>
  <c r="H11" i="9" a="1"/>
  <c r="H11" i="9" s="1"/>
  <c r="B113" i="9" a="1"/>
  <c r="B113" i="9" s="1"/>
  <c r="B60" i="9" a="1"/>
  <c r="B60" i="9" s="1"/>
  <c r="F169" i="9" a="1"/>
  <c r="F169" i="9" s="1"/>
  <c r="L58" i="9" a="1"/>
  <c r="L58" i="9" s="1"/>
  <c r="J4" i="9" a="1"/>
  <c r="J4" i="9" s="1"/>
  <c r="M115" i="9" a="1"/>
  <c r="M115" i="9" s="1"/>
  <c r="G62" i="9" a="1"/>
  <c r="G62" i="9" s="1"/>
  <c r="C160" i="9" a="1"/>
  <c r="C160" i="9" s="1"/>
  <c r="J109" i="9" a="1"/>
  <c r="J109" i="9" s="1"/>
  <c r="C161" i="9" a="1"/>
  <c r="C161" i="9" s="1"/>
  <c r="L111" i="9" a="1"/>
  <c r="L111" i="9" s="1"/>
  <c r="G117" i="9" a="1"/>
  <c r="G117" i="9" s="1"/>
  <c r="G64" i="9" a="1"/>
  <c r="G64" i="9" s="1"/>
  <c r="E168" i="9" a="1"/>
  <c r="E168" i="9" s="1"/>
  <c r="I12" i="9" a="1"/>
  <c r="I12" i="9" s="1"/>
  <c r="G7" i="9" a="1"/>
  <c r="G7" i="9" s="1"/>
  <c r="B170" i="9" a="1"/>
  <c r="B170" i="9" s="1"/>
  <c r="H59" i="9" a="1"/>
  <c r="H59" i="9" s="1"/>
  <c r="C168" i="9" a="1"/>
  <c r="C168" i="9" s="1"/>
  <c r="E14" i="9" a="1"/>
  <c r="E14" i="9" s="1"/>
  <c r="L4" i="9" a="1"/>
  <c r="L4" i="9" s="1"/>
  <c r="M116" i="9" a="1"/>
  <c r="M116" i="9" s="1"/>
  <c r="D63" i="9" a="1"/>
  <c r="D63" i="9" s="1"/>
  <c r="D117" i="9" a="1"/>
  <c r="D117" i="9" s="1"/>
  <c r="D64" i="9" a="1"/>
  <c r="D64" i="9" s="1"/>
  <c r="M112" i="9" a="1"/>
  <c r="M112" i="9" s="1"/>
  <c r="D59" i="9" a="1"/>
  <c r="D59" i="9" s="1"/>
  <c r="F165" i="9" a="1"/>
  <c r="F165" i="9" s="1"/>
  <c r="D108" i="9" a="1"/>
  <c r="D108" i="9" s="1"/>
  <c r="K58" i="9" a="1"/>
  <c r="K58" i="9" s="1"/>
  <c r="L167" i="9" a="1"/>
  <c r="L167" i="9" s="1"/>
  <c r="E13" i="9" a="1"/>
  <c r="E13" i="9" s="1"/>
  <c r="E8" i="9" a="1"/>
  <c r="E8" i="9" s="1"/>
  <c r="J9" i="9" a="1"/>
  <c r="J9" i="9" s="1"/>
  <c r="L9" i="9" a="1"/>
  <c r="L9" i="9" s="1"/>
  <c r="D5" i="9" a="1"/>
  <c r="D5" i="9" s="1"/>
  <c r="B8" i="9" a="1"/>
  <c r="B8" i="9" s="1"/>
  <c r="I170" i="9" a="1"/>
  <c r="I170" i="9" s="1"/>
  <c r="M14" i="9" a="1"/>
  <c r="M14" i="9" s="1"/>
  <c r="G9" i="9" a="1"/>
  <c r="G9" i="9" s="1"/>
  <c r="K117" i="9" a="1"/>
  <c r="K117" i="9" s="1"/>
  <c r="E64" i="9" a="1"/>
  <c r="E64" i="9" s="1"/>
  <c r="K112" i="9" a="1"/>
  <c r="K112" i="9" s="1"/>
  <c r="B59" i="9" a="1"/>
  <c r="B59" i="9" s="1"/>
  <c r="H161" i="9" a="1"/>
  <c r="H161" i="9" s="1"/>
  <c r="D161" i="9" a="1"/>
  <c r="D161" i="9" s="1"/>
  <c r="L65" i="9" a="1"/>
  <c r="L65" i="9" s="1"/>
  <c r="I13" i="9" a="1"/>
  <c r="I13" i="9" s="1"/>
  <c r="J163" i="9" a="1"/>
  <c r="J163" i="9" s="1"/>
  <c r="L112" i="9" a="1"/>
  <c r="L112" i="9" s="1"/>
  <c r="H170" i="9" a="1"/>
  <c r="H170" i="9" s="1"/>
  <c r="D57" i="9" a="1"/>
  <c r="D57" i="9" s="1"/>
  <c r="D111" i="9" a="1"/>
  <c r="D111" i="9" s="1"/>
  <c r="D58" i="9" a="1"/>
  <c r="D58" i="9" s="1"/>
  <c r="L168" i="9" a="1"/>
  <c r="L168" i="9" s="1"/>
  <c r="D12" i="9" a="1"/>
  <c r="D12" i="9" s="1"/>
  <c r="F118" i="9" a="1"/>
  <c r="F118" i="9" s="1"/>
  <c r="D61" i="9" a="1"/>
  <c r="D61" i="9" s="1"/>
  <c r="K11" i="9" a="1"/>
  <c r="K11" i="9" s="1"/>
  <c r="L161" i="9" a="1"/>
  <c r="L161" i="9" s="1"/>
  <c r="C108" i="9" a="1"/>
  <c r="C108" i="9" s="1"/>
  <c r="I116" i="9" a="1"/>
  <c r="I116" i="9" s="1"/>
  <c r="M65" i="9" a="1"/>
  <c r="M65" i="9" s="1"/>
  <c r="K166" i="9" a="1"/>
  <c r="K166" i="9" s="1"/>
  <c r="C10" i="9" a="1"/>
  <c r="C10" i="9" s="1"/>
  <c r="J165" i="9" a="1"/>
  <c r="J165" i="9" s="1"/>
  <c r="C11" i="9" a="1"/>
  <c r="C11" i="9" s="1"/>
  <c r="B162" i="9" a="1"/>
  <c r="B162" i="9" s="1"/>
  <c r="K109" i="9" a="1"/>
  <c r="K109" i="9" s="1"/>
  <c r="H8" i="9" a="1"/>
  <c r="H8" i="9" s="1"/>
  <c r="D116" i="9" a="1"/>
  <c r="D116" i="9" s="1"/>
  <c r="E65" i="9" a="1"/>
  <c r="E65" i="9" s="1"/>
  <c r="K114" i="9" a="1"/>
  <c r="K114" i="9" s="1"/>
  <c r="B61" i="9" a="1"/>
  <c r="B61" i="9" s="1"/>
  <c r="G114" i="9" a="1"/>
  <c r="G114" i="9" s="1"/>
  <c r="B57" i="9" a="1"/>
  <c r="B57" i="9" s="1"/>
  <c r="F6" i="9" a="1"/>
  <c r="F6" i="9" s="1"/>
  <c r="F162" i="9" a="1"/>
  <c r="F162" i="9" s="1"/>
  <c r="F109" i="9" a="1"/>
  <c r="F109" i="9" s="1"/>
  <c r="B161" i="9" a="1"/>
  <c r="B161" i="9" s="1"/>
  <c r="K111" i="9" a="1"/>
  <c r="K111" i="9" s="1"/>
  <c r="J160" i="9" a="1"/>
  <c r="J160" i="9" s="1"/>
  <c r="F64" i="9" a="1"/>
  <c r="F64" i="9" s="1"/>
  <c r="C4" i="9" a="1"/>
  <c r="C4" i="9" s="1"/>
  <c r="I114" i="9" a="1"/>
  <c r="I114" i="9" s="1"/>
  <c r="M63" i="9" a="1"/>
  <c r="M63" i="9" s="1"/>
  <c r="F110" i="9" a="1"/>
  <c r="F110" i="9" s="1"/>
  <c r="J59" i="9" a="1"/>
  <c r="J59" i="9" s="1"/>
  <c r="F170" i="9" a="1"/>
  <c r="F170" i="9" s="1"/>
  <c r="J14" i="9" a="1"/>
  <c r="J14" i="9" s="1"/>
  <c r="B116" i="9" a="1"/>
  <c r="B116" i="9" s="1"/>
  <c r="M61" i="9" a="1"/>
  <c r="M61" i="9" s="1"/>
  <c r="D8" i="9" a="1"/>
  <c r="D8" i="9" s="1"/>
  <c r="K164" i="9" a="1"/>
  <c r="K164" i="9" s="1"/>
  <c r="G10" i="9" a="1"/>
  <c r="G10" i="9" s="1"/>
  <c r="K118" i="9" a="1"/>
  <c r="K118" i="9" s="1"/>
  <c r="B65" i="9" a="1"/>
  <c r="B65" i="9" s="1"/>
  <c r="H167" i="9" a="1"/>
  <c r="H167" i="9" s="1"/>
  <c r="D13" i="9" a="1"/>
  <c r="D13" i="9" s="1"/>
  <c r="D167" i="9" a="1"/>
  <c r="D167" i="9" s="1"/>
  <c r="B111" i="9" a="1"/>
  <c r="B111" i="9" s="1"/>
  <c r="I60" i="9" a="1"/>
  <c r="I60" i="9" s="1"/>
  <c r="J169" i="9" a="1"/>
  <c r="J169" i="9" s="1"/>
  <c r="C56" i="9" a="1"/>
  <c r="C56" i="9" s="1"/>
  <c r="C7" i="9" a="1"/>
  <c r="C7" i="9" s="1"/>
  <c r="H117" i="9" a="1"/>
  <c r="H117" i="9" s="1"/>
  <c r="B64" i="9" a="1"/>
  <c r="B64" i="9" s="1"/>
  <c r="H118" i="9" a="1"/>
  <c r="H118" i="9" s="1"/>
  <c r="L108" i="9" a="1"/>
  <c r="L108" i="9" s="1"/>
  <c r="L115" i="9" a="1"/>
  <c r="L115" i="9" s="1"/>
  <c r="L62" i="9" a="1"/>
  <c r="L62" i="9" s="1"/>
  <c r="M166" i="9" a="1"/>
  <c r="M166" i="9" s="1"/>
  <c r="C111" i="9" a="1"/>
  <c r="C111" i="9" s="1"/>
  <c r="L5" i="9" a="1"/>
  <c r="L5" i="9" s="1"/>
  <c r="J168" i="9" a="1"/>
  <c r="J168" i="9" s="1"/>
  <c r="C14" i="9" a="1"/>
  <c r="C14" i="9" s="1"/>
  <c r="H5" i="9" a="1"/>
  <c r="H5" i="9" s="1"/>
  <c r="I8" i="9" a="1"/>
  <c r="I8" i="9" s="1"/>
  <c r="E9" i="9" a="1"/>
  <c r="E9" i="9" s="1"/>
  <c r="F5" i="9" a="1"/>
  <c r="F5" i="9" s="1"/>
  <c r="B5" i="9" a="1"/>
  <c r="B5" i="9" s="1"/>
  <c r="L169" i="9" a="1"/>
  <c r="L169" i="9" s="1"/>
  <c r="E56" i="9" a="1"/>
  <c r="E56" i="9" s="1"/>
  <c r="M114" i="9" a="1"/>
  <c r="M114" i="9" s="1"/>
  <c r="H57" i="9" a="1"/>
  <c r="H57" i="9" s="1"/>
  <c r="H169" i="9" a="1"/>
  <c r="H169" i="9" s="1"/>
  <c r="I113" i="9" a="1"/>
  <c r="I113" i="9" s="1"/>
  <c r="C60" i="9" a="1"/>
  <c r="C60" i="9" s="1"/>
  <c r="J164" i="9" a="1"/>
  <c r="J164" i="9" s="1"/>
  <c r="F111" i="9" a="1"/>
  <c r="F111" i="9" s="1"/>
  <c r="H162" i="9" a="1"/>
  <c r="H162" i="9" s="1"/>
  <c r="G66" i="9" a="1"/>
  <c r="G66" i="9" s="1"/>
  <c r="D6" i="9" a="1"/>
  <c r="D6" i="9" s="1"/>
  <c r="E164" i="9" a="1"/>
  <c r="E164" i="9" s="1"/>
  <c r="J167" i="9" a="1"/>
  <c r="J167" i="9" s="1"/>
  <c r="I111" i="9" a="1"/>
  <c r="I111" i="9" s="1"/>
  <c r="B58" i="9" a="1"/>
  <c r="B58" i="9" s="1"/>
  <c r="H112" i="9" a="1"/>
  <c r="H112" i="9" s="1"/>
  <c r="L61" i="9" a="1"/>
  <c r="L61" i="9" s="1"/>
  <c r="F167" i="9" a="1"/>
  <c r="F167" i="9" s="1"/>
  <c r="L56" i="9" a="1"/>
  <c r="L56" i="9" s="1"/>
  <c r="M160" i="9" a="1"/>
  <c r="M160" i="9" s="1"/>
  <c r="I64" i="9" a="1"/>
  <c r="I64" i="9" s="1"/>
  <c r="F4" i="9" a="1"/>
  <c r="F4" i="9" s="1"/>
  <c r="J162" i="9" a="1"/>
  <c r="J162" i="9" s="1"/>
  <c r="E110" i="9" a="1"/>
  <c r="E110" i="9" s="1"/>
  <c r="H160" i="9" a="1"/>
  <c r="H160" i="9" s="1"/>
  <c r="H66" i="9" a="1"/>
  <c r="H66" i="9" s="1"/>
  <c r="E165" i="9" a="1"/>
  <c r="E165" i="9" s="1"/>
  <c r="K13" i="9" a="1"/>
  <c r="K13" i="9" s="1"/>
  <c r="I168" i="9" a="1"/>
  <c r="I168" i="9" s="1"/>
  <c r="K14" i="9" a="1"/>
  <c r="K14" i="9" s="1"/>
  <c r="E161" i="9" a="1"/>
  <c r="E161" i="9" s="1"/>
  <c r="G110" i="9" a="1"/>
  <c r="G110" i="9" s="1"/>
  <c r="M9" i="9" a="1"/>
  <c r="M9" i="9" s="1"/>
  <c r="L160" i="9" a="1"/>
  <c r="L160" i="9" s="1"/>
  <c r="F66" i="9" a="1"/>
  <c r="F66" i="9" s="1"/>
  <c r="M117" i="9" a="1"/>
  <c r="M117" i="9" s="1"/>
  <c r="M64" i="9" a="1"/>
  <c r="M64" i="9" s="1"/>
  <c r="K115" i="9" a="1"/>
  <c r="K115" i="9" s="1"/>
  <c r="J60" i="9" a="1"/>
  <c r="J60" i="9" s="1"/>
  <c r="K7" i="9" a="1"/>
  <c r="K7" i="9" s="1"/>
  <c r="M163" i="9" a="1"/>
  <c r="M163" i="9" s="1"/>
  <c r="H111" i="9" a="1"/>
  <c r="H111" i="9" s="1"/>
  <c r="D164" i="9" a="1"/>
  <c r="D164" i="9" s="1"/>
  <c r="F10" i="9" a="1"/>
  <c r="F10" i="9" s="1"/>
  <c r="M118" i="9" a="1"/>
  <c r="M118" i="9" s="1"/>
  <c r="D65" i="9" a="1"/>
  <c r="D65" i="9" s="1"/>
  <c r="E5" i="9" a="1"/>
  <c r="E5" i="9" s="1"/>
  <c r="G115" i="9" a="1"/>
  <c r="G115" i="9" s="1"/>
  <c r="K64" i="9" a="1"/>
  <c r="K64" i="9" s="1"/>
  <c r="E113" i="9" a="1"/>
  <c r="E113" i="9" s="1"/>
  <c r="E60" i="9" a="1"/>
  <c r="E60" i="9" s="1"/>
  <c r="I169" i="9" a="1"/>
  <c r="I169" i="9" s="1"/>
  <c r="B56" i="9" a="1"/>
  <c r="B56" i="9" s="1"/>
  <c r="I117" i="9" a="1"/>
  <c r="I117" i="9" s="1"/>
  <c r="E62" i="9" a="1"/>
  <c r="E62" i="9" s="1"/>
  <c r="M161" i="9" a="1"/>
  <c r="M161" i="9" s="1"/>
  <c r="H63" i="9" a="1"/>
  <c r="H63" i="9" s="1"/>
  <c r="E11" i="9" a="1"/>
  <c r="E11" i="9" s="1"/>
  <c r="I160" i="9" a="1"/>
  <c r="I160" i="9" s="1"/>
  <c r="C66" i="9" a="1"/>
  <c r="C66" i="9" s="1"/>
  <c r="J170" i="9" a="1"/>
  <c r="J170" i="9" s="1"/>
  <c r="L57" i="9" a="1"/>
  <c r="L57" i="9" s="1"/>
  <c r="H168" i="9" a="1"/>
  <c r="H168" i="9" s="1"/>
  <c r="L12" i="9" a="1"/>
  <c r="L12" i="9" s="1"/>
  <c r="J7" i="9" a="1"/>
  <c r="J7" i="9" s="1"/>
  <c r="E170" i="9" a="1"/>
  <c r="E170" i="9" s="1"/>
  <c r="K59" i="9" a="1"/>
  <c r="K59" i="9" s="1"/>
  <c r="J114" i="9" a="1"/>
  <c r="J114" i="9" s="1"/>
  <c r="E57" i="9" a="1"/>
  <c r="E57" i="9" s="1"/>
  <c r="I6" i="9" a="1"/>
  <c r="I6" i="9" s="1"/>
  <c r="F160" i="9" a="1"/>
  <c r="F160" i="9" s="1"/>
  <c r="M109" i="9" a="1"/>
  <c r="M109" i="9" s="1"/>
  <c r="F114" i="9" a="1"/>
  <c r="F114" i="9" s="1"/>
  <c r="J63" i="9" a="1"/>
  <c r="J63" i="9" s="1"/>
  <c r="C163" i="9" a="1"/>
  <c r="C163" i="9" s="1"/>
  <c r="I11" i="9" a="1"/>
  <c r="I11" i="9" s="1"/>
  <c r="I165" i="9" a="1"/>
  <c r="I165" i="9" s="1"/>
  <c r="G108" i="9" a="1"/>
  <c r="G108" i="9" s="1"/>
  <c r="D56" i="9" a="1"/>
  <c r="D56" i="9" s="1"/>
  <c r="B165" i="9" a="1"/>
  <c r="B165" i="9" s="1"/>
  <c r="H13" i="9" a="1"/>
  <c r="H13" i="9" s="1"/>
  <c r="F14" i="9" a="1"/>
  <c r="F14" i="9" s="1"/>
  <c r="G12" i="9" a="1"/>
  <c r="G12" i="9" s="1"/>
  <c r="J111" i="9" a="1"/>
  <c r="J111" i="9" s="1"/>
  <c r="M168" i="9" a="1"/>
  <c r="M168" i="9" s="1"/>
  <c r="M10" i="9" a="1"/>
  <c r="M10" i="9" s="1"/>
  <c r="M6" i="9" a="1"/>
  <c r="M6" i="9" s="1"/>
  <c r="K9" i="9" a="1"/>
  <c r="K9" i="9" s="1"/>
  <c r="C5" i="9" a="1"/>
  <c r="C5" i="9" s="1"/>
  <c r="I7" i="9" a="1"/>
  <c r="I7" i="9" s="1"/>
  <c r="L110" i="9" a="1"/>
  <c r="L110" i="9" s="1"/>
  <c r="C57" i="9" a="1"/>
  <c r="C57" i="9" s="1"/>
  <c r="G113" i="9" a="1"/>
  <c r="G113" i="9" s="1"/>
  <c r="C58" i="9" a="1"/>
  <c r="C58" i="9" s="1"/>
  <c r="B168" i="9" a="1"/>
  <c r="B168" i="9" s="1"/>
  <c r="F12" i="9" a="1"/>
  <c r="F12" i="9" s="1"/>
  <c r="D7" i="9" a="1"/>
  <c r="D7" i="9" s="1"/>
  <c r="D163" i="9" a="1"/>
  <c r="D163" i="9" s="1"/>
  <c r="J11" i="9" a="1"/>
  <c r="J11" i="9" s="1"/>
  <c r="K161" i="9" a="1"/>
  <c r="K161" i="9" s="1"/>
  <c r="B108" i="9" a="1"/>
  <c r="B108" i="9" s="1"/>
  <c r="G161" i="9" a="1"/>
  <c r="G161" i="9" s="1"/>
  <c r="B63" i="9" a="1"/>
  <c r="B63" i="9" s="1"/>
  <c r="D166" i="9" a="1"/>
  <c r="D166" i="9" s="1"/>
  <c r="E10" i="9" a="1"/>
  <c r="E10" i="9" s="1"/>
  <c r="E169" i="9" a="1"/>
  <c r="E169" i="9" s="1"/>
  <c r="F113" i="9" a="1"/>
  <c r="F113" i="9" s="1"/>
  <c r="M62" i="9" a="1"/>
  <c r="M62" i="9" s="1"/>
  <c r="D168" i="9" a="1"/>
  <c r="D168" i="9" s="1"/>
  <c r="J57" i="9" a="1"/>
  <c r="J57" i="9" s="1"/>
  <c r="C116" i="9" a="1"/>
  <c r="C116" i="9" s="1"/>
  <c r="G65" i="9" a="1"/>
  <c r="G65" i="9" s="1"/>
  <c r="I118" i="9" a="1"/>
  <c r="I118" i="9" s="1"/>
  <c r="G61" i="9" a="1"/>
  <c r="G61" i="9" s="1"/>
  <c r="D9" i="9" a="1"/>
  <c r="D9" i="9" s="1"/>
  <c r="B118" i="9" a="1"/>
  <c r="B118" i="9" s="1"/>
  <c r="F108" i="9" a="1"/>
  <c r="F108" i="9" s="1"/>
  <c r="C166" i="9" a="1"/>
  <c r="C166" i="9" s="1"/>
  <c r="I14" i="9" a="1"/>
  <c r="I14" i="9" s="1"/>
  <c r="C167" i="9" a="1"/>
  <c r="C167" i="9" s="1"/>
  <c r="I56" i="9" a="1"/>
  <c r="I56" i="9" s="1"/>
  <c r="G164" i="9" a="1"/>
  <c r="G164" i="9" s="1"/>
  <c r="I10" i="9" a="1"/>
  <c r="I10" i="9" s="1"/>
  <c r="K116" i="9" a="1"/>
  <c r="K116" i="9" s="1"/>
  <c r="I59" i="9" a="1"/>
  <c r="I59" i="9" s="1"/>
  <c r="M8" i="9" a="1"/>
  <c r="M8" i="9" s="1"/>
  <c r="G116" i="9" a="1"/>
  <c r="G116" i="9" s="1"/>
  <c r="H65" i="9" a="1"/>
  <c r="H65" i="9" s="1"/>
  <c r="D112" i="9" a="1"/>
  <c r="D112" i="9" s="1"/>
  <c r="E61" i="9" a="1"/>
  <c r="E61" i="9" s="1"/>
  <c r="D4" i="9" a="1"/>
  <c r="D4" i="9" s="1"/>
  <c r="H164" i="9" a="1"/>
  <c r="H164" i="9" s="1"/>
  <c r="D10" i="9" a="1"/>
  <c r="D10" i="9" s="1"/>
  <c r="H165" i="9" a="1"/>
  <c r="H165" i="9" s="1"/>
  <c r="D11" i="9" a="1"/>
  <c r="D11" i="9" s="1"/>
  <c r="L162" i="9" a="1"/>
  <c r="L162" i="9" s="1"/>
  <c r="L109" i="9" a="1"/>
  <c r="L109" i="9" s="1"/>
  <c r="F112" i="9" a="1"/>
  <c r="F112" i="9" s="1"/>
  <c r="D14" i="9" a="1"/>
  <c r="D14" i="9" s="1"/>
  <c r="E4" i="9" a="1"/>
  <c r="E4" i="9" s="1"/>
  <c r="L114" i="9" a="1"/>
  <c r="L114" i="9" s="1"/>
  <c r="C61" i="9" a="1"/>
  <c r="C61" i="9" s="1"/>
  <c r="I110" i="9" a="1"/>
  <c r="I110" i="9" s="1"/>
  <c r="M59" i="9" a="1"/>
  <c r="M59" i="9" s="1"/>
  <c r="L116" i="9" a="1"/>
  <c r="L116" i="9" s="1"/>
  <c r="C63" i="9" a="1"/>
  <c r="C63" i="9" s="1"/>
  <c r="G160" i="9" a="1"/>
  <c r="G160" i="9" s="1"/>
  <c r="C64" i="9" a="1"/>
  <c r="C64" i="9" s="1"/>
  <c r="H116" i="9" a="1"/>
  <c r="H116" i="9" s="1"/>
  <c r="F59" i="9" a="1"/>
  <c r="F59" i="9" s="1"/>
  <c r="J8" i="9" a="1"/>
  <c r="J8" i="9" s="1"/>
  <c r="D169" i="9" a="1"/>
  <c r="D169" i="9" s="1"/>
  <c r="J58" i="9" a="1"/>
  <c r="J58" i="9" s="1"/>
  <c r="K167" i="9" a="1"/>
  <c r="K167" i="9" s="1"/>
  <c r="G13" i="9" a="1"/>
  <c r="G13" i="9" s="1"/>
  <c r="G167" i="9" a="1"/>
  <c r="G167" i="9" s="1"/>
  <c r="E111" i="9" a="1"/>
  <c r="E111" i="9" s="1"/>
  <c r="L60" i="9" a="1"/>
  <c r="L60" i="9" s="1"/>
  <c r="D113" i="9" a="1"/>
  <c r="D113" i="9" s="1"/>
  <c r="M60" i="9" a="1"/>
  <c r="M60" i="9" s="1"/>
  <c r="E116" i="9" a="1"/>
  <c r="E116" i="9" s="1"/>
  <c r="C59" i="9" a="1"/>
  <c r="C59" i="9" s="1"/>
  <c r="G8" i="9" a="1"/>
  <c r="G8" i="9" s="1"/>
  <c r="D115" i="9" a="1"/>
  <c r="D115" i="9" s="1"/>
  <c r="H64" i="9" a="1"/>
  <c r="H64" i="9" s="1"/>
  <c r="B166" i="9" a="1"/>
  <c r="B166" i="9" s="1"/>
  <c r="C164" i="9" a="1"/>
  <c r="C164" i="9" s="1"/>
  <c r="J10" i="9" a="1"/>
  <c r="J10" i="9" s="1"/>
  <c r="M4" i="9" a="1"/>
  <c r="M4" i="9" s="1"/>
  <c r="K4" i="9" a="1"/>
  <c r="K4" i="9" s="1"/>
  <c r="L10" i="9" a="1"/>
  <c r="L10" i="9" s="1"/>
  <c r="F7" i="9" a="1"/>
  <c r="F7" i="9" s="1"/>
  <c r="I9" i="9" a="1"/>
  <c r="I9" i="9" s="1"/>
  <c r="K113" i="9" a="1"/>
  <c r="K113" i="9" s="1"/>
  <c r="K60" i="9" a="1"/>
  <c r="K60" i="9" s="1"/>
  <c r="J112" i="9" a="1"/>
  <c r="J112" i="9" s="1"/>
  <c r="K61" i="9" a="1"/>
  <c r="K61" i="9" s="1"/>
  <c r="E167" i="9" a="1"/>
  <c r="E167" i="9" s="1"/>
  <c r="K56" i="9" a="1"/>
  <c r="K56" i="9" s="1"/>
  <c r="F8" i="9" a="1"/>
  <c r="F8" i="9" s="1"/>
  <c r="L166" i="9" a="1"/>
  <c r="L166" i="9" s="1"/>
  <c r="E12" i="9" a="1"/>
  <c r="E12" i="9" s="1"/>
  <c r="M164" i="9" a="1"/>
  <c r="M164" i="9" s="1"/>
  <c r="K110" i="9" a="1"/>
  <c r="K110" i="9" s="1"/>
  <c r="K162" i="9" a="1"/>
  <c r="K162" i="9" s="1"/>
  <c r="J66" i="9" a="1"/>
  <c r="J66" i="9" s="1"/>
  <c r="G165" i="9" a="1"/>
  <c r="G165" i="9" s="1"/>
  <c r="M13" i="9" a="1"/>
  <c r="M13" i="9" s="1"/>
  <c r="L170" i="9" a="1"/>
  <c r="L170" i="9" s="1"/>
  <c r="C12" i="9" a="1"/>
  <c r="C12" i="9" s="1"/>
  <c r="C165" i="9" a="1"/>
  <c r="C165" i="9" s="1"/>
  <c r="D109" i="9" a="1"/>
  <c r="D109" i="9" s="1"/>
  <c r="H58" i="9" a="1"/>
  <c r="H58" i="9" s="1"/>
  <c r="B160" i="9" a="1"/>
  <c r="B160" i="9" s="1"/>
  <c r="B66" i="9" a="1"/>
  <c r="B66" i="9" s="1"/>
  <c r="C117" i="9" a="1"/>
  <c r="C117" i="9" s="1"/>
  <c r="L64" i="9" a="1"/>
  <c r="L64" i="9" s="1"/>
  <c r="I4" i="9" a="1"/>
  <c r="I4" i="9" s="1"/>
  <c r="M162" i="9" a="1"/>
  <c r="M162" i="9" s="1"/>
  <c r="B163" i="9" a="1"/>
  <c r="B163" i="9" s="1"/>
  <c r="M108" i="9" a="1"/>
  <c r="M108" i="9" s="1"/>
  <c r="J56" i="9" a="1"/>
  <c r="J56" i="9" s="1"/>
  <c r="K170" i="9" a="1"/>
  <c r="K170" i="9" s="1"/>
  <c r="G57" i="9" a="1"/>
  <c r="G57" i="9" s="1"/>
  <c r="K165" i="9" a="1"/>
  <c r="K165" i="9" s="1"/>
  <c r="G11" i="9" a="1"/>
  <c r="G11" i="9" s="1"/>
  <c r="E115" i="9" a="1"/>
  <c r="E115" i="9" s="1"/>
  <c r="D60" i="9" a="1"/>
  <c r="D60" i="9" s="1"/>
  <c r="E7" i="9" a="1"/>
  <c r="E7" i="9" s="1"/>
  <c r="B117" i="9" a="1"/>
  <c r="B117" i="9" s="1"/>
  <c r="I66" i="9" a="1"/>
  <c r="I66" i="9" s="1"/>
  <c r="C115" i="9" a="1"/>
  <c r="C115" i="9" s="1"/>
  <c r="C62" i="9" a="1"/>
  <c r="C62" i="9" s="1"/>
  <c r="J161" i="9" a="1"/>
  <c r="J161" i="9" s="1"/>
  <c r="E63" i="9" a="1"/>
  <c r="E63" i="9" s="1"/>
  <c r="B11" i="9" a="1"/>
  <c r="B11" i="9" s="1"/>
  <c r="F166" i="9" a="1"/>
  <c r="F166" i="9" s="1"/>
  <c r="L14" i="9" a="1"/>
  <c r="L14" i="9" s="1"/>
  <c r="F161" i="9" a="1"/>
  <c r="F161" i="9" s="1"/>
  <c r="H110" i="9" a="1"/>
  <c r="H110" i="9" s="1"/>
  <c r="C169" i="9" a="1"/>
  <c r="C169" i="9" s="1"/>
  <c r="I58" i="9" a="1"/>
  <c r="I58" i="9" s="1"/>
  <c r="M5" i="9" a="1"/>
  <c r="M5" i="9" s="1"/>
  <c r="J115" i="9" a="1"/>
  <c r="J115" i="9" s="1"/>
  <c r="D62" i="9" a="1"/>
  <c r="D62" i="9" s="1"/>
  <c r="H113" i="9" a="1"/>
  <c r="H113" i="9" s="1"/>
  <c r="H60" i="9" a="1"/>
  <c r="H60" i="9" s="1"/>
  <c r="K160" i="9" a="1"/>
  <c r="K160" i="9" s="1"/>
  <c r="K66" i="9" a="1"/>
  <c r="K66" i="9" s="1"/>
  <c r="J118" i="9" a="1"/>
  <c r="J118" i="9" s="1"/>
  <c r="K108" i="9" a="1"/>
  <c r="K108" i="9" s="1"/>
  <c r="B115" i="9" a="1"/>
  <c r="B115" i="9" s="1"/>
  <c r="K62" i="9" a="1"/>
  <c r="K62" i="9" s="1"/>
  <c r="B7" i="9" a="1"/>
  <c r="B7" i="9" s="1"/>
  <c r="D110" i="9" a="1"/>
  <c r="D110" i="9" s="1"/>
  <c r="E59" i="9" a="1"/>
  <c r="E59" i="9" s="1"/>
  <c r="M170" i="9" a="1"/>
  <c r="M170" i="9" s="1"/>
  <c r="B14" i="9" a="1"/>
  <c r="B14" i="9" s="1"/>
  <c r="K168" i="9" a="1"/>
  <c r="K168" i="9" s="1"/>
  <c r="B10" i="9" a="1"/>
  <c r="B10" i="9" s="1"/>
  <c r="M7" i="9" a="1"/>
  <c r="M7" i="9" s="1"/>
  <c r="G112" i="9" a="1"/>
  <c r="G112" i="9" s="1"/>
  <c r="H61" i="9" a="1"/>
  <c r="H61" i="9" s="1"/>
  <c r="L117" i="9" a="1"/>
  <c r="L117" i="9" s="1"/>
  <c r="H62" i="9" a="1"/>
  <c r="H62" i="9" s="1"/>
  <c r="C112" i="9" a="1"/>
  <c r="C112" i="9" s="1"/>
  <c r="K57" i="9" a="1"/>
  <c r="K57" i="9" s="1"/>
  <c r="B4" i="9" a="1"/>
  <c r="B4" i="9" s="1"/>
  <c r="I167" i="9" a="1"/>
  <c r="I167" i="9" s="1"/>
  <c r="B13" i="9" a="1"/>
  <c r="B13" i="9" s="1"/>
  <c r="F163" i="9" a="1"/>
  <c r="F163" i="9" s="1"/>
  <c r="L11" i="9" a="1"/>
  <c r="L11" i="9" s="1"/>
  <c r="L165" i="9" a="1"/>
  <c r="L165" i="9" s="1"/>
  <c r="J108" i="9" a="1"/>
  <c r="J108" i="9" s="1"/>
  <c r="C8" i="9" a="1"/>
  <c r="C8" i="9" s="1"/>
  <c r="L13" i="9" a="1"/>
  <c r="L13" i="9" s="1"/>
  <c r="G56" i="9" a="1"/>
  <c r="G56" i="9" s="1"/>
  <c r="G6" i="9" a="1"/>
  <c r="G6" i="9" s="1"/>
  <c r="H9" i="9" a="1"/>
  <c r="H9" i="9" s="1"/>
  <c r="E112" i="9" a="1"/>
  <c r="E112" i="9" s="1"/>
  <c r="I61" i="9" a="1"/>
  <c r="I61" i="9" s="1"/>
  <c r="I115" i="9" a="1"/>
  <c r="I115" i="9" s="1"/>
  <c r="I62" i="9" a="1"/>
  <c r="I62" i="9" s="1"/>
  <c r="G170" i="9" a="1"/>
  <c r="G170" i="9" s="1"/>
  <c r="I57" i="9" a="1"/>
  <c r="I57" i="9" s="1"/>
  <c r="K163" i="9" a="1"/>
  <c r="K163" i="9" s="1"/>
  <c r="I65" i="9" a="1"/>
  <c r="I65" i="9" s="1"/>
  <c r="F13" i="9" a="1"/>
  <c r="F13" i="9" s="1"/>
  <c r="G163" i="9" a="1"/>
  <c r="G163" i="9" s="1"/>
  <c r="M11" i="9" a="1"/>
  <c r="M11" i="9" s="1"/>
  <c r="D118" i="9" a="1"/>
  <c r="D118" i="9" s="1"/>
  <c r="E108" i="9" a="1"/>
  <c r="E108" i="9" s="1"/>
  <c r="F168" i="9" a="1"/>
  <c r="F168" i="9" s="1"/>
  <c r="H14" i="9" a="1"/>
  <c r="H14" i="9" s="1"/>
  <c r="B167" i="9" a="1"/>
  <c r="B167" i="9" s="1"/>
  <c r="H56" i="9" a="1"/>
  <c r="H56" i="9" s="1"/>
  <c r="J166" i="9" a="1"/>
  <c r="J166" i="9" s="1"/>
  <c r="K10" i="9" a="1"/>
  <c r="K10" i="9" s="1"/>
  <c r="I5" i="9" a="1"/>
  <c r="I5" i="9" s="1"/>
  <c r="I161" i="9" a="1"/>
  <c r="I161" i="9" s="1"/>
  <c r="C109" i="9" a="1"/>
  <c r="C109" i="9" s="1"/>
  <c r="F116" i="9" a="1"/>
  <c r="F116" i="9" s="1"/>
  <c r="J65" i="9" a="1"/>
  <c r="J65" i="9" s="1"/>
  <c r="L118" i="9" a="1"/>
  <c r="L118" i="9" s="1"/>
  <c r="J61" i="9" a="1"/>
  <c r="J61" i="9" s="1"/>
  <c r="I164" i="9" a="1"/>
  <c r="I164" i="9" s="1"/>
  <c r="J110" i="9" a="1"/>
  <c r="J110" i="9" s="1"/>
  <c r="M167" i="9" a="1"/>
  <c r="M167" i="9" s="1"/>
  <c r="M110" i="9" a="1"/>
  <c r="M110" i="9" s="1"/>
  <c r="E58" i="9" a="1"/>
  <c r="E58" i="9" s="1"/>
  <c r="I166" i="9" a="1"/>
  <c r="I166" i="9" s="1"/>
  <c r="B12" i="9" a="1"/>
  <c r="B12" i="9" s="1"/>
  <c r="H114" i="9" a="1"/>
  <c r="H114" i="9" s="1"/>
  <c r="L63" i="9" a="1"/>
  <c r="L63" i="9" s="1"/>
  <c r="D114" i="9" a="1"/>
  <c r="D114" i="9" s="1"/>
  <c r="L59" i="9" a="1"/>
  <c r="L59" i="9" s="1"/>
  <c r="C6" i="9" a="1"/>
  <c r="C6" i="9" s="1"/>
  <c r="J116" i="9" a="1"/>
  <c r="J116" i="9" s="1"/>
  <c r="K65" i="9" a="1"/>
  <c r="K65" i="9" s="1"/>
  <c r="D160" i="9" a="1"/>
  <c r="D160" i="9" s="1"/>
  <c r="M66" i="9" a="1"/>
  <c r="M66" i="9" s="1"/>
  <c r="E163" i="9" a="1"/>
  <c r="E163" i="9" s="1"/>
  <c r="C65" i="9" a="1"/>
  <c r="C65" i="9" s="1"/>
  <c r="M56" i="9" a="1"/>
  <c r="M56" i="9" s="1"/>
  <c r="D162" i="9" a="1"/>
  <c r="D162" i="9" s="1"/>
  <c r="M113" i="9" a="1"/>
  <c r="M113" i="9" s="1"/>
  <c r="C110" i="9" a="1"/>
  <c r="C110" i="9" s="1"/>
  <c r="G59" i="9" a="1"/>
  <c r="G59" i="9" s="1"/>
  <c r="C170" i="9" a="1"/>
  <c r="C170" i="9" s="1"/>
  <c r="G14" i="9" a="1"/>
  <c r="G14" i="9" s="1"/>
  <c r="H4" i="9" a="1"/>
  <c r="H4" i="9" s="1"/>
  <c r="B112" i="9" a="1"/>
  <c r="B112" i="9" s="1"/>
  <c r="F61" i="9" a="1"/>
  <c r="F61" i="9" s="1"/>
  <c r="E118" i="9" a="1"/>
  <c r="E118" i="9" s="1"/>
  <c r="I108" i="9" a="1"/>
  <c r="I108" i="9" s="1"/>
  <c r="I162" i="9" a="1"/>
  <c r="I162" i="9" s="1"/>
  <c r="I109" i="9" a="1"/>
  <c r="I109" i="9" s="1"/>
  <c r="E114" i="9" a="1"/>
  <c r="E114" i="9" s="1"/>
  <c r="I63" i="9" a="1"/>
  <c r="I63" i="9" s="1"/>
  <c r="K169" i="9" a="1"/>
  <c r="K169" i="9" s="1"/>
  <c r="L113" i="9" a="1"/>
  <c r="L113" i="9" s="1"/>
  <c r="F60" i="9" a="1"/>
  <c r="F60" i="9" s="1"/>
  <c r="G169" i="9" a="1"/>
  <c r="G169" i="9" s="1"/>
  <c r="M58" i="9" a="1"/>
  <c r="M58" i="9" s="1"/>
  <c r="D165" i="9" a="1"/>
  <c r="D165" i="9" s="1"/>
  <c r="J13" i="9" a="1"/>
  <c r="J13" i="9" s="1"/>
  <c r="B6" i="9" a="1"/>
  <c r="B6" i="9" s="1"/>
  <c r="F115" i="9" a="1"/>
  <c r="F115" i="9" s="1"/>
  <c r="F62" i="9" a="1"/>
  <c r="F62" i="9" s="1"/>
  <c r="B114" i="9" a="1"/>
  <c r="B114" i="9" s="1"/>
  <c r="F63" i="9" a="1"/>
  <c r="F63" i="9" s="1"/>
  <c r="J113" i="9" a="1"/>
  <c r="J113" i="9" s="1"/>
  <c r="F58" i="9" a="1"/>
  <c r="F58" i="9" s="1"/>
  <c r="J5" i="9" a="1"/>
  <c r="J5" i="9" s="1"/>
  <c r="G168" i="9" a="1"/>
  <c r="G168" i="9" s="1"/>
  <c r="M57" i="9" a="1"/>
  <c r="M57" i="9" s="1"/>
  <c r="E166" i="9" a="1"/>
  <c r="E166" i="9" s="1"/>
  <c r="B9" i="9" a="1"/>
  <c r="B9" i="9" s="1"/>
  <c r="J12" i="9" a="1"/>
  <c r="J12" i="9" s="1"/>
  <c r="M12" i="9" a="1"/>
  <c r="M12" i="9" s="1"/>
  <c r="F164" i="9" a="1"/>
  <c r="F164" i="9" s="1"/>
  <c r="K5" i="9" a="1"/>
  <c r="K5" i="9" s="1"/>
  <c r="I163" i="9" a="1"/>
  <c r="I163" i="9" s="1"/>
  <c r="L7" i="9" a="1"/>
  <c r="L7" i="9" s="1"/>
  <c r="H166" i="9" a="1"/>
  <c r="H166" i="9" s="1"/>
  <c r="G4" i="9" a="1"/>
  <c r="G4" i="9" s="1"/>
  <c r="C9" i="9" a="1"/>
  <c r="C9" i="9" s="1"/>
  <c r="B110" i="9" a="1"/>
  <c r="B110" i="9" s="1"/>
  <c r="J6" i="9" a="1"/>
  <c r="J6" i="9" s="1"/>
  <c r="G59" i="8" a="1"/>
  <c r="G59" i="8" s="1"/>
  <c r="E61" i="8"/>
  <c r="F61" i="8" s="1"/>
  <c r="F55" i="9" a="1"/>
  <c r="F55" i="9" s="1"/>
  <c r="I159" i="9" a="1"/>
  <c r="I159" i="9" s="1"/>
  <c r="L3" i="9" a="1"/>
  <c r="L3" i="9" s="1"/>
  <c r="L107" i="9" a="1"/>
  <c r="L107" i="9" s="1"/>
  <c r="B107" i="9" a="1"/>
  <c r="B107" i="9" s="1"/>
  <c r="C55" i="9" a="1"/>
  <c r="C55" i="9" s="1"/>
  <c r="F159" i="9" a="1"/>
  <c r="F159" i="9" s="1"/>
  <c r="I3" i="9" a="1"/>
  <c r="I3" i="9" s="1"/>
  <c r="I107" i="9" a="1"/>
  <c r="I107" i="9" s="1"/>
  <c r="M55" i="9" a="1"/>
  <c r="M55" i="9" s="1"/>
  <c r="M159" i="9" a="1"/>
  <c r="M159" i="9" s="1"/>
  <c r="C159" i="9" a="1"/>
  <c r="C159" i="9" s="1"/>
  <c r="F3" i="9" a="1"/>
  <c r="F3" i="9" s="1"/>
  <c r="F107" i="9" a="1"/>
  <c r="F107" i="9" s="1"/>
  <c r="J55" i="9" a="1"/>
  <c r="J55" i="9" s="1"/>
  <c r="J159" i="9" a="1"/>
  <c r="J159" i="9" s="1"/>
  <c r="M3" i="9" a="1"/>
  <c r="M3" i="9" s="1"/>
  <c r="C3" i="9" a="1"/>
  <c r="C3" i="9" s="1"/>
  <c r="C107" i="9" a="1"/>
  <c r="C107" i="9" s="1"/>
  <c r="G55" i="9" a="1"/>
  <c r="G55" i="9" s="1"/>
  <c r="G159" i="9" a="1"/>
  <c r="G159" i="9" s="1"/>
  <c r="J3" i="9" a="1"/>
  <c r="J3" i="9" s="1"/>
  <c r="M107" i="9" a="1"/>
  <c r="M107" i="9" s="1"/>
  <c r="K55" i="9" a="1"/>
  <c r="K55" i="9" s="1"/>
  <c r="D55" i="9" a="1"/>
  <c r="D55" i="9" s="1"/>
  <c r="D159" i="9" a="1"/>
  <c r="D159" i="9" s="1"/>
  <c r="G3" i="9" a="1"/>
  <c r="G3" i="9" s="1"/>
  <c r="J107" i="9" a="1"/>
  <c r="J107" i="9" s="1"/>
  <c r="H55" i="9" a="1"/>
  <c r="H55" i="9" s="1"/>
  <c r="K159" i="9" a="1"/>
  <c r="K159" i="9" s="1"/>
  <c r="K3" i="9" a="1"/>
  <c r="K3" i="9" s="1"/>
  <c r="D3" i="9" a="1"/>
  <c r="D3" i="9" s="1"/>
  <c r="G107" i="9" a="1"/>
  <c r="G107" i="9" s="1"/>
  <c r="E55" i="9" a="1"/>
  <c r="E55" i="9" s="1"/>
  <c r="H159" i="9" a="1"/>
  <c r="H159" i="9" s="1"/>
  <c r="H3" i="9" a="1"/>
  <c r="H3" i="9" s="1"/>
  <c r="K107" i="9" a="1"/>
  <c r="K107" i="9" s="1"/>
  <c r="L55" i="9" a="1"/>
  <c r="L55" i="9" s="1"/>
  <c r="B55" i="9" a="1"/>
  <c r="B55" i="9" s="1"/>
  <c r="E159" i="9" a="1"/>
  <c r="E159" i="9" s="1"/>
  <c r="E3" i="9" a="1"/>
  <c r="E3" i="9" s="1"/>
  <c r="H107" i="9" a="1"/>
  <c r="H107" i="9" s="1"/>
  <c r="I55" i="9" a="1"/>
  <c r="I55" i="9" s="1"/>
  <c r="L159" i="9" a="1"/>
  <c r="L159" i="9" s="1"/>
  <c r="B159" i="9" a="1"/>
  <c r="B159" i="9" s="1"/>
  <c r="B3" i="9" a="1"/>
  <c r="B3" i="9" s="1"/>
  <c r="E107" i="9" a="1"/>
  <c r="E107" i="9" s="1"/>
  <c r="D107" i="9" a="1"/>
  <c r="D107" i="9" s="1"/>
  <c r="G68" i="8" a="1"/>
  <c r="G68" i="8" s="1"/>
  <c r="G19" i="8" a="1"/>
  <c r="G19" i="8" s="1"/>
  <c r="E12" i="8"/>
  <c r="F12" i="8" s="1"/>
  <c r="G6" i="8" a="1"/>
  <c r="G6" i="8" s="1"/>
  <c r="E7" i="8"/>
  <c r="F7" i="8" s="1"/>
  <c r="E68" i="8"/>
  <c r="F68" i="8" s="1"/>
  <c r="E37" i="8"/>
  <c r="F37" i="8" s="1"/>
  <c r="G79" i="8" a="1"/>
  <c r="G79" i="8" s="1"/>
  <c r="E11" i="8"/>
  <c r="F11" i="8" s="1"/>
  <c r="G53" i="8" a="1"/>
  <c r="G53" i="8" s="1"/>
  <c r="G71" i="8" a="1"/>
  <c r="G71" i="8" s="1"/>
  <c r="E28" i="8"/>
  <c r="F28" i="8" s="1"/>
  <c r="G49" i="8" a="1"/>
  <c r="G49" i="8" s="1"/>
  <c r="G61" i="8" a="1"/>
  <c r="G61" i="8" s="1"/>
  <c r="E36" i="8"/>
  <c r="F36" i="8" s="1"/>
  <c r="G45" i="8" a="1"/>
  <c r="G45" i="8" s="1"/>
  <c r="E17" i="8"/>
  <c r="F17" i="8" s="1"/>
  <c r="E23" i="8"/>
  <c r="F23" i="8" s="1"/>
  <c r="E71" i="8"/>
  <c r="F71" i="8" s="1"/>
  <c r="G28" i="8" a="1"/>
  <c r="G28" i="8" s="1"/>
  <c r="G41" i="8" a="1"/>
  <c r="G41" i="8" s="1"/>
  <c r="G32" i="8" a="1"/>
  <c r="G32" i="8" s="1"/>
  <c r="E66" i="8"/>
  <c r="F66" i="8" s="1"/>
  <c r="G54" i="8" a="1"/>
  <c r="G54" i="8" s="1"/>
  <c r="E45" i="8"/>
  <c r="F45" i="8" s="1"/>
  <c r="E56" i="8" a="1"/>
  <c r="E56" i="8" s="1"/>
  <c r="F56" i="8" s="1"/>
  <c r="G66" i="8" a="1"/>
  <c r="G66" i="8" s="1"/>
  <c r="E59" i="8" a="1"/>
  <c r="E59" i="8" s="1"/>
  <c r="F59" i="8" s="1"/>
  <c r="G25" i="8" a="1"/>
  <c r="G25" i="8" s="1"/>
  <c r="E54" i="8" a="1"/>
  <c r="E54" i="8" s="1"/>
  <c r="F54" i="8" s="1"/>
  <c r="E24" i="8" a="1"/>
  <c r="E24" i="8" s="1"/>
  <c r="F24" i="8" s="1"/>
  <c r="G24" i="8" a="1"/>
  <c r="G24" i="8" s="1"/>
  <c r="G52" i="8" a="1"/>
  <c r="G52" i="8" s="1"/>
  <c r="E33" i="8" a="1"/>
  <c r="E33" i="8" s="1"/>
  <c r="F33" i="8" s="1"/>
  <c r="E77" i="8" a="1"/>
  <c r="E77" i="8" s="1"/>
  <c r="F77" i="8" s="1"/>
  <c r="G46" i="8" a="1"/>
  <c r="G46" i="8" s="1"/>
  <c r="G20" i="8" a="1"/>
  <c r="G20" i="8" s="1"/>
  <c r="E39" i="8" a="1"/>
  <c r="E39" i="8" s="1"/>
  <c r="F39" i="8" s="1"/>
  <c r="G26" i="8" a="1"/>
  <c r="G26" i="8" s="1"/>
  <c r="E38" i="8" a="1"/>
  <c r="E38" i="8" s="1"/>
  <c r="F38" i="8" s="1"/>
  <c r="E13" i="8" a="1"/>
  <c r="E13" i="8" s="1"/>
  <c r="F13" i="8" s="1"/>
  <c r="E62" i="8" a="1"/>
  <c r="E62" i="8" s="1"/>
  <c r="F62" i="8" s="1"/>
  <c r="E19" i="8" a="1"/>
  <c r="E19" i="8" s="1"/>
  <c r="F19" i="8" s="1"/>
  <c r="G12" i="8" a="1"/>
  <c r="G12" i="8" s="1"/>
  <c r="G9" i="8" a="1"/>
  <c r="G9" i="8" s="1"/>
  <c r="E21" i="8" a="1"/>
  <c r="E21" i="8" s="1"/>
  <c r="F21" i="8" s="1"/>
  <c r="G55" i="8" a="1"/>
  <c r="G55" i="8" s="1"/>
  <c r="E84" i="8" a="1"/>
  <c r="E84" i="8" s="1"/>
  <c r="F84" i="8" s="1"/>
  <c r="G87" i="8" a="1"/>
  <c r="G87" i="8" s="1"/>
  <c r="E87" i="8" a="1"/>
  <c r="E87" i="8" s="1"/>
  <c r="F87" i="8" s="1"/>
  <c r="E60" i="8" a="1"/>
  <c r="E60" i="8" s="1"/>
  <c r="F60" i="8" s="1"/>
  <c r="E47" i="8" a="1"/>
  <c r="E47" i="8" s="1"/>
  <c r="F47" i="8" s="1"/>
  <c r="G44" i="8" a="1"/>
  <c r="G44" i="8" s="1"/>
  <c r="G33" i="8" a="1"/>
  <c r="G33" i="8" s="1"/>
  <c r="G13" i="8" a="1"/>
  <c r="G13" i="8" s="1"/>
  <c r="G83" i="8" a="1"/>
  <c r="G83" i="8" s="1"/>
  <c r="G77" i="8" a="1"/>
  <c r="G77" i="8" s="1"/>
  <c r="E85" i="8" a="1"/>
  <c r="E85" i="8" s="1"/>
  <c r="F85" i="8" s="1"/>
  <c r="G60" i="8" a="1"/>
  <c r="G60" i="8" s="1"/>
  <c r="G75" i="8" a="1"/>
  <c r="G75" i="8" s="1"/>
  <c r="E49" i="8" a="1"/>
  <c r="E49" i="8" s="1"/>
  <c r="F49" i="8" s="1"/>
  <c r="E29" i="8" a="1"/>
  <c r="E29" i="8" s="1"/>
  <c r="F29" i="8" s="1"/>
  <c r="E22" i="8" a="1"/>
  <c r="E22" i="8" s="1"/>
  <c r="F22" i="8" s="1"/>
  <c r="I173" i="9"/>
  <c r="E50" i="8" a="1"/>
  <c r="E50" i="8" s="1"/>
  <c r="F50" i="8" s="1"/>
  <c r="G58" i="8" a="1"/>
  <c r="G58" i="8" s="1"/>
  <c r="G36" i="8" a="1"/>
  <c r="G36" i="8" s="1"/>
  <c r="G42" i="8" a="1"/>
  <c r="G42" i="8" s="1"/>
  <c r="E79" i="8" a="1"/>
  <c r="E79" i="8" s="1"/>
  <c r="F79" i="8" s="1"/>
  <c r="E64" i="8" a="1"/>
  <c r="E64" i="8" s="1"/>
  <c r="F64" i="8" s="1"/>
  <c r="E43" i="8" a="1"/>
  <c r="E43" i="8" s="1"/>
  <c r="F43" i="8" s="1"/>
  <c r="E3" i="8" a="1"/>
  <c r="E3" i="8" s="1"/>
  <c r="F3" i="8" s="1"/>
  <c r="E80" i="8" a="1"/>
  <c r="E80" i="8" s="1"/>
  <c r="F80" i="8" s="1"/>
  <c r="G17" i="8" a="1"/>
  <c r="G17" i="8" s="1"/>
  <c r="G30" i="8" a="1"/>
  <c r="G30" i="8" s="1"/>
  <c r="G5" i="8" a="1"/>
  <c r="G5" i="8" s="1"/>
  <c r="E63" i="8" a="1"/>
  <c r="E63" i="8" s="1"/>
  <c r="F63" i="8" s="1"/>
  <c r="G35" i="8" a="1"/>
  <c r="G35" i="8" s="1"/>
  <c r="E35" i="8" a="1"/>
  <c r="E35" i="8" s="1"/>
  <c r="F35" i="8" s="1"/>
  <c r="G70" i="8" a="1"/>
  <c r="G70" i="8" s="1"/>
  <c r="E67" i="8" a="1"/>
  <c r="E67" i="8" s="1"/>
  <c r="F67" i="8" s="1"/>
  <c r="E44" i="8" a="1"/>
  <c r="E44" i="8" s="1"/>
  <c r="F44" i="8" s="1"/>
  <c r="G23" i="8" a="1"/>
  <c r="G23" i="8" s="1"/>
  <c r="G73" i="8" a="1"/>
  <c r="G73" i="8" s="1"/>
  <c r="G4" i="8" a="1"/>
  <c r="G4" i="8" s="1"/>
  <c r="E15" i="8" a="1"/>
  <c r="E15" i="8" s="1"/>
  <c r="F15" i="8" s="1"/>
  <c r="E9" i="8" a="1"/>
  <c r="E9" i="8" s="1"/>
  <c r="F9" i="8" s="1"/>
  <c r="G21" i="8" a="1"/>
  <c r="G21" i="8" s="1"/>
  <c r="E72" i="8" a="1"/>
  <c r="E72" i="8" s="1"/>
  <c r="F72" i="8" s="1"/>
  <c r="E52" i="8" a="1"/>
  <c r="E52" i="8" s="1"/>
  <c r="F52" i="8" s="1"/>
  <c r="G86" i="8" a="1"/>
  <c r="G86" i="8" s="1"/>
  <c r="G65" i="8" a="1"/>
  <c r="G65" i="8" s="1"/>
  <c r="E31" i="8" a="1"/>
  <c r="E31" i="8" s="1"/>
  <c r="F31" i="8" s="1"/>
  <c r="E78" i="8" a="1"/>
  <c r="E78" i="8" s="1"/>
  <c r="F78" i="8" s="1"/>
  <c r="E48" i="8" a="1"/>
  <c r="E48" i="8" s="1"/>
  <c r="F48" i="8" s="1"/>
  <c r="G18" i="8" a="1"/>
  <c r="G18" i="8" s="1"/>
  <c r="E51" i="8" a="1"/>
  <c r="E51" i="8" s="1"/>
  <c r="F51" i="8" s="1"/>
  <c r="G50" i="8" a="1"/>
  <c r="G50" i="8" s="1"/>
  <c r="E6" i="8" a="1"/>
  <c r="E6" i="8" s="1"/>
  <c r="F6" i="8" s="1"/>
  <c r="E73" i="8" a="1"/>
  <c r="E73" i="8" s="1"/>
  <c r="F73" i="8" s="1"/>
  <c r="G84" i="8" a="1"/>
  <c r="G84" i="8" s="1"/>
  <c r="E55" i="8" a="1"/>
  <c r="E55" i="8" s="1"/>
  <c r="F55" i="8" s="1"/>
  <c r="G29" i="8" a="1"/>
  <c r="G29" i="8" s="1"/>
  <c r="E74" i="8" a="1"/>
  <c r="E74" i="8" s="1"/>
  <c r="F74" i="8" s="1"/>
  <c r="G82" i="8" a="1"/>
  <c r="G82" i="8" s="1"/>
  <c r="E8" i="8" a="1"/>
  <c r="E8" i="8" s="1"/>
  <c r="F8" i="8" s="1"/>
  <c r="E42" i="8" a="1"/>
  <c r="E42" i="8" s="1"/>
  <c r="F42" i="8" s="1"/>
  <c r="E18" i="8" a="1"/>
  <c r="E18" i="8" s="1"/>
  <c r="F18" i="8" s="1"/>
  <c r="G7" i="8" a="1"/>
  <c r="G7" i="8" s="1"/>
  <c r="E82" i="8" a="1"/>
  <c r="E82" i="8" s="1"/>
  <c r="F82" i="8" s="1"/>
  <c r="G37" i="8" a="1"/>
  <c r="G37" i="8" s="1"/>
  <c r="E14" i="8" a="1"/>
  <c r="E14" i="8" s="1"/>
  <c r="F14" i="8" s="1"/>
  <c r="E69" i="8" a="1"/>
  <c r="E69" i="8" s="1"/>
  <c r="F69" i="8" s="1"/>
  <c r="E20" i="8" a="1"/>
  <c r="E20" i="8" s="1"/>
  <c r="F20" i="8" s="1"/>
  <c r="G47" i="8" a="1"/>
  <c r="G47" i="8" s="1"/>
  <c r="E65" i="8" a="1"/>
  <c r="E65" i="8" s="1"/>
  <c r="F65" i="8" s="1"/>
  <c r="G63" i="8" a="1"/>
  <c r="G63" i="8" s="1"/>
  <c r="G80" i="8" a="1"/>
  <c r="G80" i="8" s="1"/>
  <c r="E30" i="8" a="1"/>
  <c r="E30" i="8" s="1"/>
  <c r="F30" i="8" s="1"/>
  <c r="E32" i="8" a="1"/>
  <c r="E32" i="8" s="1"/>
  <c r="F32" i="8" s="1"/>
  <c r="G67" i="8" a="1"/>
  <c r="G67" i="8" s="1"/>
  <c r="E10" i="8" a="1"/>
  <c r="E10" i="8" s="1"/>
  <c r="F10" i="8" s="1"/>
  <c r="G31" i="8" a="1"/>
  <c r="G31" i="8" s="1"/>
  <c r="G40" i="8" a="1"/>
  <c r="G40" i="8" s="1"/>
  <c r="E76" i="8" a="1"/>
  <c r="E76" i="8" s="1"/>
  <c r="F76" i="8" s="1"/>
  <c r="G39" i="8" a="1"/>
  <c r="G39" i="8" s="1"/>
  <c r="G78" i="8" a="1"/>
  <c r="G78" i="8" s="1"/>
  <c r="E75" i="8" a="1"/>
  <c r="E75" i="8" s="1"/>
  <c r="F75" i="8" s="1"/>
  <c r="E70" i="8" a="1"/>
  <c r="E70" i="8" s="1"/>
  <c r="F70" i="8" s="1"/>
  <c r="E40" i="8" a="1"/>
  <c r="E40" i="8" s="1"/>
  <c r="F40" i="8" s="1"/>
  <c r="G16" i="8" a="1"/>
  <c r="G16" i="8" s="1"/>
  <c r="G56" i="8" a="1"/>
  <c r="G56" i="8" s="1"/>
  <c r="G43" i="8" a="1"/>
  <c r="G43" i="8" s="1"/>
  <c r="G27" i="8" a="1"/>
  <c r="G27" i="8" s="1"/>
  <c r="E27" i="8" a="1"/>
  <c r="E27" i="8" s="1"/>
  <c r="F27" i="8" s="1"/>
  <c r="E5" i="8" a="1"/>
  <c r="E5" i="8" s="1"/>
  <c r="F5" i="8" s="1"/>
  <c r="G69" i="8" a="1"/>
  <c r="G69" i="8" s="1"/>
  <c r="G38" i="8" a="1"/>
  <c r="G38" i="8" s="1"/>
  <c r="G8" i="8" a="1"/>
  <c r="G8" i="8" s="1"/>
  <c r="G72" i="8" a="1"/>
  <c r="G72" i="8" s="1"/>
  <c r="E46" i="8" a="1"/>
  <c r="E46" i="8" s="1"/>
  <c r="F46" i="8" s="1"/>
  <c r="E83" i="8" a="1"/>
  <c r="E83" i="8" s="1"/>
  <c r="F83" i="8" s="1"/>
  <c r="E81" i="8" a="1"/>
  <c r="E81" i="8" s="1"/>
  <c r="F81" i="8" s="1"/>
  <c r="E41" i="8" a="1"/>
  <c r="E41" i="8" s="1"/>
  <c r="F41" i="8" s="1"/>
  <c r="G62" i="8" a="1"/>
  <c r="G62" i="8" s="1"/>
  <c r="G81" i="8" a="1"/>
  <c r="G81" i="8" s="1"/>
  <c r="G74" i="8" a="1"/>
  <c r="G74" i="8" s="1"/>
  <c r="E25" i="8" a="1"/>
  <c r="E25" i="8" s="1"/>
  <c r="F25" i="8" s="1"/>
  <c r="G14" i="8" a="1"/>
  <c r="G14" i="8" s="1"/>
  <c r="E58" i="8" a="1"/>
  <c r="E58" i="8" s="1"/>
  <c r="F58" i="8" s="1"/>
  <c r="G34" i="8" a="1"/>
  <c r="G34" i="8" s="1"/>
  <c r="G48" i="8" a="1"/>
  <c r="G48" i="8" s="1"/>
  <c r="G64" i="8" a="1"/>
  <c r="G64" i="8" s="1"/>
  <c r="G10" i="8" a="1"/>
  <c r="G10" i="8" s="1"/>
  <c r="G3" i="8" a="1"/>
  <c r="G3" i="8" s="1"/>
  <c r="G57" i="8" a="1"/>
  <c r="G57" i="8" s="1"/>
  <c r="G76" i="8" a="1"/>
  <c r="G76" i="8" s="1"/>
  <c r="E57" i="8" a="1"/>
  <c r="E57" i="8" s="1"/>
  <c r="F57" i="8" s="1"/>
  <c r="E86" i="8" a="1"/>
  <c r="E86" i="8" s="1"/>
  <c r="F86" i="8" s="1"/>
  <c r="G85" i="8" a="1"/>
  <c r="G85" i="8" s="1"/>
  <c r="E26" i="8" a="1"/>
  <c r="E26" i="8" s="1"/>
  <c r="F26" i="8" s="1"/>
  <c r="E53" i="8" a="1"/>
  <c r="E53" i="8" s="1"/>
  <c r="F53" i="8" s="1"/>
  <c r="G11" i="8" a="1"/>
  <c r="G11" i="8" s="1"/>
  <c r="G22" i="8" a="1"/>
  <c r="G22" i="8" s="1"/>
  <c r="G15" i="8" a="1"/>
  <c r="G15" i="8" s="1"/>
  <c r="E4" i="8" a="1"/>
  <c r="E4" i="8" s="1"/>
  <c r="F4" i="8" s="1"/>
  <c r="E34" i="8" a="1"/>
  <c r="E34" i="8" s="1"/>
  <c r="F34" i="8" s="1"/>
  <c r="E16" i="8" a="1"/>
  <c r="E16" i="8" s="1"/>
  <c r="F16" i="8" s="1"/>
  <c r="N16" i="9" l="1"/>
  <c r="N68" i="9"/>
  <c r="N120" i="9"/>
  <c r="N172" i="9"/>
  <c r="N167" i="9"/>
  <c r="N112" i="9"/>
  <c r="N15" i="9"/>
  <c r="N119" i="9"/>
  <c r="N67" i="9"/>
  <c r="N171" i="9"/>
  <c r="N110" i="9"/>
  <c r="N114" i="9"/>
  <c r="N10" i="9"/>
  <c r="N7" i="9"/>
  <c r="N11" i="9"/>
  <c r="N117" i="9"/>
  <c r="N161" i="9"/>
  <c r="N61" i="9"/>
  <c r="N162" i="9"/>
  <c r="N62" i="9"/>
  <c r="N108" i="9"/>
  <c r="N168" i="9"/>
  <c r="N56" i="9"/>
  <c r="N5" i="9"/>
  <c r="N65" i="9"/>
  <c r="N116" i="9"/>
  <c r="N59" i="9"/>
  <c r="N60" i="9"/>
  <c r="N109" i="9"/>
  <c r="N12" i="9"/>
  <c r="N13" i="9"/>
  <c r="N14" i="9"/>
  <c r="N115" i="9"/>
  <c r="N166" i="9"/>
  <c r="N8" i="9"/>
  <c r="N113" i="9"/>
  <c r="N169" i="9"/>
  <c r="N6" i="9"/>
  <c r="N66" i="9"/>
  <c r="N58" i="9"/>
  <c r="N64" i="9"/>
  <c r="N111" i="9"/>
  <c r="N9" i="9"/>
  <c r="N4" i="9"/>
  <c r="N163" i="9"/>
  <c r="N160" i="9"/>
  <c r="N118" i="9"/>
  <c r="N165" i="9"/>
  <c r="N57" i="9"/>
  <c r="N170" i="9"/>
  <c r="N164" i="9"/>
  <c r="N63" i="9"/>
  <c r="N107" i="9"/>
  <c r="N3" i="9"/>
  <c r="N159" i="9"/>
  <c r="N55" i="9"/>
  <c r="K173" i="9"/>
  <c r="G173" i="9"/>
  <c r="H85" i="8"/>
  <c r="J173" i="9"/>
  <c r="D173" i="9"/>
  <c r="F173" i="9"/>
  <c r="H173" i="9"/>
  <c r="H3" i="8"/>
  <c r="E173" i="9"/>
  <c r="L173" i="9"/>
  <c r="D121" i="9"/>
  <c r="M173" i="9"/>
  <c r="F121" i="9"/>
  <c r="G121" i="9"/>
  <c r="K121" i="9"/>
  <c r="I121" i="9"/>
  <c r="C173" i="9"/>
  <c r="M69" i="9"/>
  <c r="M121" i="9"/>
  <c r="H121" i="9"/>
  <c r="L121" i="9"/>
  <c r="B121" i="9"/>
  <c r="C121" i="9"/>
  <c r="E121" i="9"/>
  <c r="J121" i="9"/>
  <c r="M225" i="9"/>
  <c r="E225" i="9"/>
  <c r="C225" i="9"/>
  <c r="H225" i="9"/>
  <c r="I225" i="9"/>
  <c r="F225" i="9"/>
  <c r="G225" i="9"/>
  <c r="L225" i="9"/>
  <c r="J225" i="9"/>
  <c r="K225" i="9"/>
  <c r="D225" i="9"/>
  <c r="B225" i="9"/>
  <c r="B173" i="9"/>
  <c r="H44" i="8"/>
  <c r="H22" i="8"/>
  <c r="H34" i="8"/>
  <c r="G17" i="9"/>
  <c r="H77" i="8"/>
  <c r="H15" i="8"/>
  <c r="H81" i="8"/>
  <c r="H11" i="8"/>
  <c r="H57" i="8"/>
  <c r="H69" i="8"/>
  <c r="H38" i="8"/>
  <c r="E69" i="9"/>
  <c r="G69" i="9"/>
  <c r="B69" i="9"/>
  <c r="D17" i="9"/>
  <c r="H33" i="8"/>
  <c r="K69" i="9"/>
  <c r="H79" i="8"/>
  <c r="L69" i="9"/>
  <c r="C17" i="9"/>
  <c r="F17" i="9"/>
  <c r="H74" i="8"/>
  <c r="D69" i="9"/>
  <c r="I17" i="9"/>
  <c r="K17" i="9"/>
  <c r="E17" i="9"/>
  <c r="H28" i="8"/>
  <c r="H13" i="8"/>
  <c r="H69" i="9"/>
  <c r="H62" i="8"/>
  <c r="H24" i="8"/>
  <c r="H48" i="8"/>
  <c r="B17" i="9"/>
  <c r="H43" i="8"/>
  <c r="H56" i="8"/>
  <c r="H39" i="8"/>
  <c r="H60" i="8"/>
  <c r="C69" i="9"/>
  <c r="H54" i="8"/>
  <c r="H59" i="8"/>
  <c r="J69" i="9"/>
  <c r="H37" i="8"/>
  <c r="H82" i="8"/>
  <c r="H84" i="8"/>
  <c r="H58" i="8"/>
  <c r="H86" i="8"/>
  <c r="H42" i="8"/>
  <c r="I69" i="9"/>
  <c r="H40" i="8"/>
  <c r="F69" i="9"/>
  <c r="H41" i="8"/>
  <c r="H51" i="8"/>
  <c r="J17" i="9"/>
  <c r="H7" i="6"/>
  <c r="G7" i="6" s="1"/>
  <c r="L17" i="9"/>
  <c r="M17" i="9"/>
  <c r="H71" i="8"/>
  <c r="H35" i="8"/>
  <c r="H30" i="8"/>
  <c r="H12" i="8"/>
  <c r="H20" i="8"/>
  <c r="H3" i="6"/>
  <c r="G3" i="6" s="1"/>
  <c r="H14" i="8"/>
  <c r="H72" i="8"/>
  <c r="H8" i="8"/>
  <c r="H9" i="8"/>
  <c r="H31" i="8"/>
  <c r="H63" i="8"/>
  <c r="H47" i="8"/>
  <c r="H52" i="8"/>
  <c r="H32" i="8"/>
  <c r="H53" i="8"/>
  <c r="H7" i="8"/>
  <c r="H61" i="8"/>
  <c r="H18" i="8"/>
  <c r="H83" i="8"/>
  <c r="H55" i="8"/>
  <c r="H19" i="8"/>
  <c r="H10" i="8"/>
  <c r="H27" i="8"/>
  <c r="H45" i="8"/>
  <c r="H68" i="8"/>
  <c r="H67" i="8"/>
  <c r="H87" i="8"/>
  <c r="H50" i="8"/>
  <c r="H17" i="9"/>
  <c r="H25" i="8"/>
  <c r="H5" i="8"/>
  <c r="E5" i="6"/>
  <c r="H26" i="8"/>
  <c r="H76" i="8"/>
  <c r="H64" i="8"/>
  <c r="H46" i="8"/>
  <c r="E7" i="6"/>
  <c r="H65" i="8"/>
  <c r="H21" i="8"/>
  <c r="H4" i="8"/>
  <c r="H23" i="8"/>
  <c r="H70" i="8"/>
  <c r="H16" i="8"/>
  <c r="H78" i="8"/>
  <c r="H80" i="8"/>
  <c r="H75" i="8"/>
  <c r="H49" i="8"/>
  <c r="H29" i="8"/>
  <c r="H36" i="8"/>
  <c r="H66" i="8"/>
  <c r="H73" i="8"/>
  <c r="H17" i="8"/>
  <c r="H6" i="8"/>
  <c r="A19" i="9" l="1"/>
  <c r="N17" i="9"/>
  <c r="A226" i="9"/>
  <c r="A175" i="9"/>
  <c r="A123" i="9"/>
  <c r="A71" i="9"/>
  <c r="N121" i="9"/>
  <c r="N173" i="9"/>
  <c r="N225" i="9"/>
  <c r="D3" i="6"/>
  <c r="H5" i="6"/>
  <c r="G5" i="6" s="1"/>
  <c r="H6" i="6"/>
  <c r="G6" i="6" s="1"/>
  <c r="E4" i="6"/>
  <c r="K4" i="6" s="1"/>
  <c r="J4" i="6" s="1"/>
  <c r="N69" i="9"/>
  <c r="D7" i="6"/>
  <c r="K7" i="6"/>
  <c r="J7" i="6" s="1"/>
  <c r="D5" i="6"/>
  <c r="E6" i="6"/>
  <c r="K5" i="6" l="1"/>
  <c r="J5" i="6" s="1"/>
  <c r="D4" i="6"/>
  <c r="K3" i="6"/>
  <c r="J3" i="6" s="1"/>
  <c r="D6" i="6"/>
  <c r="K6" i="6"/>
  <c r="J6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<sst xmlns="http://schemas.openxmlformats.org/spreadsheetml/2006/main" count="1849" uniqueCount="267">
  <si>
    <t>Тип объекта</t>
  </si>
  <si>
    <t>Объект</t>
  </si>
  <si>
    <t>МСС</t>
  </si>
  <si>
    <t>МПС</t>
  </si>
  <si>
    <t>ООО "Авто-Беркут"</t>
  </si>
  <si>
    <t>Объект захоронения</t>
  </si>
  <si>
    <t>ООО "Новый Свет-ЭКО"</t>
  </si>
  <si>
    <t>ООО "Полигон ТБО"</t>
  </si>
  <si>
    <t>ООО "Эко Плант"</t>
  </si>
  <si>
    <t>АО "УК по обращению с отходами в Ленинградской области"</t>
  </si>
  <si>
    <t>№</t>
  </si>
  <si>
    <t>Годовой лимит 1 полугодие</t>
  </si>
  <si>
    <t>Годовой лимит 2 полугодие</t>
  </si>
  <si>
    <t>Остаток лимита 1 полугодие</t>
  </si>
  <si>
    <t>Остаток лимита 2 полугодие</t>
  </si>
  <si>
    <t>Общий лимит</t>
  </si>
  <si>
    <t>Общий остаток</t>
  </si>
  <si>
    <t>Ввезено 1 полугодие</t>
  </si>
  <si>
    <t>Ввезено 2 полугодие</t>
  </si>
  <si>
    <t>Ввезено всего</t>
  </si>
  <si>
    <t>Среднесуточный ввоз</t>
  </si>
  <si>
    <t>Дата</t>
  </si>
  <si>
    <t>Итог Февраль</t>
  </si>
  <si>
    <t>Итог Март</t>
  </si>
  <si>
    <t>Итог Апрель</t>
  </si>
  <si>
    <t>Итог Май</t>
  </si>
  <si>
    <t>Итог Июнь</t>
  </si>
  <si>
    <t>Итог Июль</t>
  </si>
  <si>
    <t>Итог Август</t>
  </si>
  <si>
    <t>Итог Сентябрь</t>
  </si>
  <si>
    <t>Итог Октябрь</t>
  </si>
  <si>
    <t>Итог Ноябрь</t>
  </si>
  <si>
    <t>Итог Декабрь</t>
  </si>
  <si>
    <t xml:space="preserve">Итог Январь </t>
  </si>
  <si>
    <t>1 полугодие</t>
  </si>
  <si>
    <t>2 полугодие</t>
  </si>
  <si>
    <t>Год</t>
  </si>
  <si>
    <t>Итог</t>
  </si>
  <si>
    <t>Итог Год</t>
  </si>
  <si>
    <t>ООО "РАСЭМ"</t>
  </si>
  <si>
    <t>Волхонка</t>
  </si>
  <si>
    <t>Грузовой</t>
  </si>
  <si>
    <t>Парнас</t>
  </si>
  <si>
    <t>Предпортовый</t>
  </si>
  <si>
    <t>Рыбацкое</t>
  </si>
  <si>
    <t>Софийская</t>
  </si>
  <si>
    <t>Старообрядческая</t>
  </si>
  <si>
    <t>ТЭК</t>
  </si>
  <si>
    <t>Бронка</t>
  </si>
  <si>
    <t>Ржевка</t>
  </si>
  <si>
    <t>РАСЭМ</t>
  </si>
  <si>
    <t>ТБО</t>
  </si>
  <si>
    <t>УКЛО</t>
  </si>
  <si>
    <t>БТС</t>
  </si>
  <si>
    <t>Куда</t>
  </si>
  <si>
    <t>Куда: Полигон</t>
  </si>
  <si>
    <t>Полигон</t>
  </si>
  <si>
    <t>Место разгрузки (Полигон)</t>
  </si>
  <si>
    <t>Вес на погрузке</t>
  </si>
  <si>
    <t>Вес на разгрузке</t>
  </si>
  <si>
    <t>Вес</t>
  </si>
  <si>
    <t>Вес полигона</t>
  </si>
  <si>
    <t>Вес при выезде</t>
  </si>
  <si>
    <t>Вес на полигоне</t>
  </si>
  <si>
    <t>Масса нетто, кг</t>
  </si>
  <si>
    <t>ВЕС ПОЛИГОНА</t>
  </si>
  <si>
    <t>Масса нетто (УЗ),
т</t>
  </si>
  <si>
    <t>Масса нетто (Полигон),
т</t>
  </si>
  <si>
    <t>Масса нетто,
т</t>
  </si>
  <si>
    <t xml:space="preserve">Место разгрузки (Полигон) </t>
  </si>
  <si>
    <t>—</t>
  </si>
  <si>
    <t>АВТО-БЕРКУТ</t>
  </si>
  <si>
    <t>Эко Плант</t>
  </si>
  <si>
    <t>Новый Свет</t>
  </si>
  <si>
    <t>Новый Свет -ЭКО_Рыбацкое_ВЭЙСТ-ТРАНС</t>
  </si>
  <si>
    <t>Новый Свет -ЭКО_Рыбацкое_РАТЭ</t>
  </si>
  <si>
    <t>Новый Свет -ЭКО_Софийская_РАТЭ</t>
  </si>
  <si>
    <t>Новый Свет -ЭКО_Софийская_ВЭЙСТ-ТРАНС</t>
  </si>
  <si>
    <t>4 лот РАСЭМ</t>
  </si>
  <si>
    <t>2 лот РАСЭМ</t>
  </si>
  <si>
    <t>3 лот РАСЭМ</t>
  </si>
  <si>
    <t>Расэм_Парнас_ЭЛэнд</t>
  </si>
  <si>
    <t>Полигон ТБО, ООО "РАСЭМ"</t>
  </si>
  <si>
    <t>Полигон ТБО, Новый Свет</t>
  </si>
  <si>
    <t>Полигон ТБО, ООО "Авто-Беркут"</t>
  </si>
  <si>
    <t>Новый Свет-ЭКО (полигон)</t>
  </si>
  <si>
    <t>Волхонка АО "Невский экологический оператор"</t>
  </si>
  <si>
    <t>Грузовой АО "Автопарк №1 Спецтранс"</t>
  </si>
  <si>
    <t>ООО "ТЭК"</t>
  </si>
  <si>
    <t>ООО "Эко Лэнд"</t>
  </si>
  <si>
    <t>Парнас ООО "Эковаст"</t>
  </si>
  <si>
    <t>Предпортовый ООО "Новый Свет.ЭКО"</t>
  </si>
  <si>
    <t>Старообрядческая ООО "Новый Свет-ЭКО"</t>
  </si>
  <si>
    <t>Полигон ТБО, ООО «РАСЭМ»</t>
  </si>
  <si>
    <t>Полигон ТБО, ООО «Авто-Беркут»</t>
  </si>
  <si>
    <t>Правильное наименование</t>
  </si>
  <si>
    <t>Наименование перевозчиков</t>
  </si>
  <si>
    <t>Объект загрузки</t>
  </si>
  <si>
    <t>Прямой вывоз</t>
  </si>
  <si>
    <t>Рыбацкое ООО "Эковаст"</t>
  </si>
  <si>
    <t>Софийская ООО "Эковаст"</t>
  </si>
  <si>
    <t>Уманский ООО "ПСК "Ржевка"</t>
  </si>
  <si>
    <t>Уткина заводь ООО "Гамма"</t>
  </si>
  <si>
    <t>Данные на</t>
  </si>
  <si>
    <t>Софийка</t>
  </si>
  <si>
    <t>Софа</t>
  </si>
  <si>
    <t>Полигон ТБО (Лепсари)</t>
  </si>
  <si>
    <t>Эко-ПЛАНТ</t>
  </si>
  <si>
    <t>НОВЫЙ СВЕТ-ЭКО</t>
  </si>
  <si>
    <t>Полигон ТБО, дер. Лепсари</t>
  </si>
  <si>
    <t>Полигон ТБО, Эко ПЛАНТ</t>
  </si>
  <si>
    <t>2 лот Новый Свет-ЭКО</t>
  </si>
  <si>
    <t>4 лот Новый Свет-ЭКО</t>
  </si>
  <si>
    <t>3 лот Новый Свет-ЭКО</t>
  </si>
  <si>
    <t>*Новый Свет -ЭКО Софийская ЭВАСТ 24</t>
  </si>
  <si>
    <t>*Новый Свет -ЭКО Софийская РАТЭ 24</t>
  </si>
  <si>
    <t>*Новый Свет -ЭКО Рыбацкое РАТЭ 24</t>
  </si>
  <si>
    <t>*Новый Свет -ЭКО Рыбацкое ЭВАСТ 24</t>
  </si>
  <si>
    <t>*Лепсари Парнас ЭЛЭНД 24</t>
  </si>
  <si>
    <t>*Новый Свет -ЭКО Парнас ЭЛЭНД 24</t>
  </si>
  <si>
    <t>Эко ПЛАНТ</t>
  </si>
  <si>
    <t>*ЭкоПлант Софийская РАТЭ 24</t>
  </si>
  <si>
    <t>%</t>
  </si>
  <si>
    <t>Масса, т</t>
  </si>
  <si>
    <t>Масса итог, т</t>
  </si>
  <si>
    <t>Объекты</t>
  </si>
  <si>
    <t>Итого</t>
  </si>
  <si>
    <t>Масса объекта</t>
  </si>
  <si>
    <t>Масса полигона</t>
  </si>
  <si>
    <t>Суточная масса, т</t>
  </si>
  <si>
    <t>Полигоны</t>
  </si>
  <si>
    <t>МСС / МПС</t>
  </si>
  <si>
    <t>Волхонка АО "Невский экологический оператор"ООО "Новый Свет-ЭКО"МСС</t>
  </si>
  <si>
    <t>Волхонка АО "Невский экологический оператор"ООО "Полигон ТБО"МСС</t>
  </si>
  <si>
    <t>Волхонка АО "Невский экологический оператор"ООО "Авто-Беркут"МСС</t>
  </si>
  <si>
    <t>Волхонка АО "Невский экологический оператор"ООО "Эко Плант"МСС</t>
  </si>
  <si>
    <t>Волхонка АО "Невский экологический оператор"АО "УК по обращению с отходами в Ленинградской области"МСС</t>
  </si>
  <si>
    <t>Грузовой АО "Автопарк №1 Спецтранс"ООО "Новый Свет-ЭКО"МСС</t>
  </si>
  <si>
    <t>Грузовой АО "Автопарк №1 Спецтранс"ООО "Полигон ТБО"МСС</t>
  </si>
  <si>
    <t>Грузовой АО "Автопарк №1 Спецтранс"ООО "Авто-Беркут"МСС</t>
  </si>
  <si>
    <t>Грузовой АО "Автопарк №1 Спецтранс"ООО "Эко Плант"МСС</t>
  </si>
  <si>
    <t>Грузовой АО "Автопарк №1 Спецтранс"АО "УК по обращению с отходами в Ленинградской области"МСС</t>
  </si>
  <si>
    <t>ООО "ТЭК"ООО "Новый Свет-ЭКО"МСС</t>
  </si>
  <si>
    <t>ООО "ТЭК"ООО "Полигон ТБО"МСС</t>
  </si>
  <si>
    <t>ООО "ТЭК"ООО "Авто-Беркут"МСС</t>
  </si>
  <si>
    <t>ООО "ТЭК"ООО "Эко Плант"МСС</t>
  </si>
  <si>
    <t>ООО "ТЭК"АО "УК по обращению с отходами в Ленинградской области"МСС</t>
  </si>
  <si>
    <t>ООО "Эко Лэнд"ООО "Новый Свет-ЭКО"МСС</t>
  </si>
  <si>
    <t>ООО "Эко Лэнд"ООО "Полигон ТБО"МСС</t>
  </si>
  <si>
    <t>ООО "Эко Лэнд"ООО "Авто-Беркут"МСС</t>
  </si>
  <si>
    <t>ООО "Эко Лэнд"ООО "Эко Плант"МСС</t>
  </si>
  <si>
    <t>ООО "Эко Лэнд"АО "УК по обращению с отходами в Ленинградской области"МСС</t>
  </si>
  <si>
    <t>ООО "Эко Лэнд"ООО "Новый Свет-ЭКО"МПС</t>
  </si>
  <si>
    <t>ООО "Эко Лэнд"ООО "Полигон ТБО"МПС</t>
  </si>
  <si>
    <t>ООО "Эко Лэнд"ООО "Авто-Беркут"МПС</t>
  </si>
  <si>
    <t>ООО "Эко Лэнд"ООО "Эко Плант"МПС</t>
  </si>
  <si>
    <t>ООО "Эко Лэнд"АО "УК по обращению с отходами в Ленинградской области"МПС</t>
  </si>
  <si>
    <t>Парнас ООО "Эковаст"ООО "Новый Свет-ЭКО"МСС</t>
  </si>
  <si>
    <t>Парнас ООО "Эковаст"ООО "Полигон ТБО"МСС</t>
  </si>
  <si>
    <t>Парнас ООО "Эковаст"ООО "Авто-Беркут"МСС</t>
  </si>
  <si>
    <t>Парнас ООО "Эковаст"ООО "Эко Плант"МСС</t>
  </si>
  <si>
    <t>Парнас ООО "Эковаст"АО "УК по обращению с отходами в Ленинградской области"МСС</t>
  </si>
  <si>
    <t>Парнас ООО "Эковаст"ООО "Новый Свет-ЭКО"МПС</t>
  </si>
  <si>
    <t>Парнас ООО "Эковаст"ООО "Полигон ТБО"МПС</t>
  </si>
  <si>
    <t>Парнас ООО "Эковаст"ООО "Авто-Беркут"МПС</t>
  </si>
  <si>
    <t>Парнас ООО "Эковаст"ООО "Эко Плант"МПС</t>
  </si>
  <si>
    <t>Парнас ООО "Эковаст"АО "УК по обращению с отходами в Ленинградской области"МПС</t>
  </si>
  <si>
    <t>Предпортовый ООО "Новый Свет.ЭКО"ООО "Новый Свет-ЭКО"МСС</t>
  </si>
  <si>
    <t>Предпортовый ООО "Новый Свет.ЭКО"ООО "Полигон ТБО"МСС</t>
  </si>
  <si>
    <t>Предпортовый ООО "Новый Свет.ЭКО"ООО "Авто-Беркут"МСС</t>
  </si>
  <si>
    <t>Предпортовый ООО "Новый Свет.ЭКО"ООО "Эко Плант"МСС</t>
  </si>
  <si>
    <t>Предпортовый ООО "Новый Свет.ЭКО"АО "УК по обращению с отходами в Ленинградской области"МСС</t>
  </si>
  <si>
    <t>Предпортовый ООО "Новый Свет.ЭКО"ООО "Новый Свет-ЭКО"МПС</t>
  </si>
  <si>
    <t>Предпортовый ООО "Новый Свет.ЭКО"ООО "Полигон ТБО"МПС</t>
  </si>
  <si>
    <t>Предпортовый ООО "Новый Свет.ЭКО"ООО "Авто-Беркут"МПС</t>
  </si>
  <si>
    <t>Предпортовый ООО "Новый Свет.ЭКО"ООО "Эко Плант"МПС</t>
  </si>
  <si>
    <t>Предпортовый ООО "Новый Свет.ЭКО"АО "УК по обращению с отходами в Ленинградской области"МПС</t>
  </si>
  <si>
    <t>Рыбацкое ООО "Эковаст"ООО "Новый Свет-ЭКО"МСС</t>
  </si>
  <si>
    <t>Рыбацкое ООО "Эковаст"ООО "Полигон ТБО"МСС</t>
  </si>
  <si>
    <t>Рыбацкое ООО "Эковаст"ООО "Авто-Беркут"МСС</t>
  </si>
  <si>
    <t>Рыбацкое ООО "Эковаст"ООО "Эко Плант"МСС</t>
  </si>
  <si>
    <t>Рыбацкое ООО "Эковаст"АО "УК по обращению с отходами в Ленинградской области"МСС</t>
  </si>
  <si>
    <t>Софийская ООО "Эковаст"ООО "Новый Свет-ЭКО"МСС</t>
  </si>
  <si>
    <t>Софийская ООО "Эковаст"ООО "Полигон ТБО"МСС</t>
  </si>
  <si>
    <t>Софийская ООО "Эковаст"ООО "Авто-Беркут"МСС</t>
  </si>
  <si>
    <t>Софийская ООО "Эковаст"ООО "Эко Плант"МСС</t>
  </si>
  <si>
    <t>Софийская ООО "Эковаст"АО "УК по обращению с отходами в Ленинградской области"МСС</t>
  </si>
  <si>
    <t>Старообрядческая ООО "Новый Свет-ЭКО"ООО "Новый Свет-ЭКО"МСС</t>
  </si>
  <si>
    <t>Старообрядческая ООО "Новый Свет-ЭКО"ООО "Полигон ТБО"МСС</t>
  </si>
  <si>
    <t>Старообрядческая ООО "Новый Свет-ЭКО"ООО "Авто-Беркут"МСС</t>
  </si>
  <si>
    <t>Старообрядческая ООО "Новый Свет-ЭКО"ООО "Эко Плант"МСС</t>
  </si>
  <si>
    <t>Старообрядческая ООО "Новый Свет-ЭКО"АО "УК по обращению с отходами в Ленинградской области"МСС</t>
  </si>
  <si>
    <t>Уманский ООО "ПСК "Ржевка"ООО "Новый Свет-ЭКО"МПС</t>
  </si>
  <si>
    <t>Уманский ООО "ПСК "Ржевка"ООО "Полигон ТБО"МПС</t>
  </si>
  <si>
    <t>Уманский ООО "ПСК "Ржевка"ООО "Авто-Беркут"МПС</t>
  </si>
  <si>
    <t>Уманский ООО "ПСК "Ржевка"ООО "Эко Плант"МПС</t>
  </si>
  <si>
    <t>Уманский ООО "ПСК "Ржевка"АО "УК по обращению с отходами в Ленинградской области"МПС</t>
  </si>
  <si>
    <t>Уткина заводь ООО "Гамма"ООО "Новый Свет-ЭКО"МПС</t>
  </si>
  <si>
    <t>Уткина заводь ООО "Гамма"ООО "Полигон ТБО"МПС</t>
  </si>
  <si>
    <t>Уткина заводь ООО "Гамма"ООО "Авто-Беркут"МПС</t>
  </si>
  <si>
    <t>Уткина заводь ООО "Гамма"ООО "Эко Плант"МПС</t>
  </si>
  <si>
    <t>Уткина заводь ООО "Гамма"АО "УК по обращению с отходами в Ленинградской области"МПС</t>
  </si>
  <si>
    <t>Прямой вывозООО "Новый Свет-ЭКО"МПС</t>
  </si>
  <si>
    <t>Прямой вывозООО "Полигон ТБО"МПС</t>
  </si>
  <si>
    <t>Прямой вывозООО "Авто-Беркут"МПС</t>
  </si>
  <si>
    <t>Прямой вывозООО "Эко Плант"МПС</t>
  </si>
  <si>
    <t>Прямой вывозАО "УК по обращению с отходами в Ленинградской области"МПС</t>
  </si>
  <si>
    <t>Волхонка АО "Невский экологический оператор"ООО "Новый Свет-ЭКО"МПС</t>
  </si>
  <si>
    <t>Волхонка АО "Невский экологический оператор"ООО "Полигон ТБО"МПС</t>
  </si>
  <si>
    <t>Волхонка АО "Невский экологический оператор"ООО "Авто-Беркут"МПС</t>
  </si>
  <si>
    <t>Волхонка АО "Невский экологический оператор"ООО "Эко Плант"МПС</t>
  </si>
  <si>
    <t>Волхонка АО "Невский экологический оператор"АО "УК по обращению с отходами в Ленинградской области"МПС</t>
  </si>
  <si>
    <t>ИтогМПС</t>
  </si>
  <si>
    <t>Грузовой АО "Автопарк №1 Спецтранс"ООО "Новый Свет-ЭКО"МПС</t>
  </si>
  <si>
    <t>Грузовой АО "Автопарк №1 Спецтранс"ООО "Полигон ТБО"МПС</t>
  </si>
  <si>
    <t>Грузовой АО "Автопарк №1 Спецтранс"ООО "Авто-Беркут"МПС</t>
  </si>
  <si>
    <t>Грузовой АО "Автопарк №1 Спецтранс"ООО "Эко Плант"МПС</t>
  </si>
  <si>
    <t>Грузовой АО "Автопарк №1 Спецтранс"АО "УК по обращению с отходами в Ленинградской области"МПС</t>
  </si>
  <si>
    <t>ООО "ТЭК"ООО "Новый Свет-ЭКО"МПС</t>
  </si>
  <si>
    <t>ООО "ТЭК"ООО "Полигон ТБО"МПС</t>
  </si>
  <si>
    <t>ООО "ТЭК"ООО "Авто-Беркут"МПС</t>
  </si>
  <si>
    <t>ООО "ТЭК"ООО "Эко Плант"МПС</t>
  </si>
  <si>
    <t>ООО "ТЭК"АО "УК по обращению с отходами в Ленинградской области"МПС</t>
  </si>
  <si>
    <t>ИтогМСС</t>
  </si>
  <si>
    <t>Рыбацкое ООО "Эковаст"ООО "Новый Свет-ЭКО"МПС</t>
  </si>
  <si>
    <t>Рыбацкое ООО "Эковаст"ООО "Полигон ТБО"МПС</t>
  </si>
  <si>
    <t>Рыбацкое ООО "Эковаст"ООО "Авто-Беркут"МПС</t>
  </si>
  <si>
    <t>Рыбацкое ООО "Эковаст"ООО "Эко Плант"МПС</t>
  </si>
  <si>
    <t>Рыбацкое ООО "Эковаст"АО "УК по обращению с отходами в Ленинградской области"МПС</t>
  </si>
  <si>
    <t>Софийская ООО "Эковаст"ООО "Новый Свет-ЭКО"МПС</t>
  </si>
  <si>
    <t>Софийская ООО "Эковаст"ООО "Полигон ТБО"МПС</t>
  </si>
  <si>
    <t>Софийская ООО "Эковаст"ООО "Авто-Беркут"МПС</t>
  </si>
  <si>
    <t>Софийская ООО "Эковаст"ООО "Эко Плант"МПС</t>
  </si>
  <si>
    <t>Софийская ООО "Эковаст"АО "УК по обращению с отходами в Ленинградской области"МПС</t>
  </si>
  <si>
    <t>Старообрядческая ООО "Новый Свет-ЭКО"ООО "Новый Свет-ЭКО"МПС</t>
  </si>
  <si>
    <t>Старообрядческая ООО "Новый Свет-ЭКО"ООО "Полигон ТБО"МПС</t>
  </si>
  <si>
    <t>Старообрядческая ООО "Новый Свет-ЭКО"ООО "Авто-Беркут"МПС</t>
  </si>
  <si>
    <t>Старообрядческая ООО "Новый Свет-ЭКО"ООО "Эко Плант"МПС</t>
  </si>
  <si>
    <t>Старообрядческая ООО "Новый Свет-ЭКО"АО "УК по обращению с отходами в Ленинградской области"МПС</t>
  </si>
  <si>
    <t>Прямой вывозООО "Новый Свет-ЭКО"—</t>
  </si>
  <si>
    <t>Прямой вывозООО "Полигон ТБО"—</t>
  </si>
  <si>
    <t>*ЭкоПлант Софийская ЭВАСТ 24</t>
  </si>
  <si>
    <t>Максимальная масса (лимит), т</t>
  </si>
  <si>
    <t>Остаток массы, т</t>
  </si>
  <si>
    <t>Обухово</t>
  </si>
  <si>
    <t>Предпортовая</t>
  </si>
  <si>
    <t>Новый Свет.ЭКО</t>
  </si>
  <si>
    <t>*ЭкоПлант Рыбацкое ЭВАСТ 24</t>
  </si>
  <si>
    <t>*ЭкоПлант Рыбацкое РАТЭ 24</t>
  </si>
  <si>
    <t>Итог Январь</t>
  </si>
  <si>
    <t>*ЭкоПлант Парнас ЭЛЭНД 24</t>
  </si>
  <si>
    <t>Для графиков</t>
  </si>
  <si>
    <t>ВвозНовыйСвет</t>
  </si>
  <si>
    <t>ВвозПолигонТБО</t>
  </si>
  <si>
    <t>ВвозАвтоБеркут</t>
  </si>
  <si>
    <t>ВвозЭкоПлант</t>
  </si>
  <si>
    <t>ВвозУКЛО</t>
  </si>
  <si>
    <t>Статистика ввоза на ООО "Новый Свет-ЭКО"</t>
  </si>
  <si>
    <t>Статистика ввоза на ООО "Полигон ТБО"</t>
  </si>
  <si>
    <t>Статистика ввоза на ООО "Авто-Беркут"</t>
  </si>
  <si>
    <t>Статистика ввоза на ООО "Эко Плант"</t>
  </si>
  <si>
    <t>Статистика ввоза на АО "УК по обращению с отходами в Ленинградской области"</t>
  </si>
  <si>
    <t>2 лот Авто-Беркут</t>
  </si>
  <si>
    <t>Фактическая вывезенная масса, т</t>
  </si>
  <si>
    <t>ООО "Новый Свет-ЭКО", Гатчинский р-н, вблизи пос. Новый свет, уч №2</t>
  </si>
  <si>
    <t>4 лот Авто-Беркут</t>
  </si>
  <si>
    <t>ЗАО "ЭкоПлант", Ленинградская область, Тосненский р-он, д. Кунголово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</si>
</sst>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0.0"/>
    <numFmt numFmtId="165" formatCode="#\ ##,000"/>
  </numFmts>
  <fonts count="2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FF97"/>
        <bgColor indexed="64"/>
      </patternFill>
    </fill>
    <fill>
      <patternFill patternType="solid">
        <fgColor rgb="FF6199FF"/>
        <bgColor indexed="64"/>
      </patternFill>
    </fill>
  </fills>
  <borders count="6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191">
    <xf numFmtId="0" fontId="0" fillId="0" borderId="0" xfId="0"/>
    <xf numFmtId="0" fontId="5" fillId="0" borderId="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" fontId="8" fillId="0" borderId="4" xfId="0" applyNumberFormat="1" applyFont="1" applyBorder="1" applyAlignment="1">
      <alignment horizontal="center" vertical="center"/>
    </xf>
    <xf numFmtId="4" fontId="7" fillId="0" borderId="4" xfId="0" applyNumberFormat="1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left" vertical="center"/>
    </xf>
    <xf numFmtId="4" fontId="7" fillId="0" borderId="9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left" vertical="center"/>
    </xf>
    <xf numFmtId="4" fontId="8" fillId="0" borderId="6" xfId="0" applyNumberFormat="1" applyFont="1" applyBorder="1" applyAlignment="1">
      <alignment horizontal="center" vertical="center"/>
    </xf>
    <xf numFmtId="4" fontId="8" fillId="0" borderId="8" xfId="0" applyNumberFormat="1" applyFont="1" applyBorder="1" applyAlignment="1">
      <alignment horizontal="center" vertical="center"/>
    </xf>
    <xf numFmtId="14" fontId="5" fillId="0" borderId="13" xfId="0" applyNumberFormat="1" applyFont="1" applyBorder="1" applyAlignment="1">
      <alignment horizontal="left" vertical="center"/>
    </xf>
    <xf numFmtId="4" fontId="7" fillId="0" borderId="14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 wrapText="1"/>
    </xf>
    <xf numFmtId="4" fontId="0" fillId="0" borderId="0" xfId="0" applyNumberFormat="1"/>
    <xf numFmtId="0" fontId="0" fillId="0" borderId="23" xfId="0" applyBorder="1"/>
    <xf numFmtId="0" fontId="6" fillId="0" borderId="22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4" fontId="6" fillId="0" borderId="2" xfId="0" applyNumberFormat="1" applyFont="1" applyBorder="1" applyAlignment="1">
      <alignment horizontal="center" vertical="center"/>
    </xf>
    <xf numFmtId="4" fontId="6" fillId="0" borderId="7" xfId="0" applyNumberFormat="1" applyFont="1" applyBorder="1" applyAlignment="1">
      <alignment horizontal="center" vertical="center"/>
    </xf>
    <xf numFmtId="4" fontId="6" fillId="0" borderId="4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6" xfId="0" applyNumberFormat="1" applyFont="1" applyBorder="1" applyAlignment="1">
      <alignment horizontal="center" vertical="center"/>
    </xf>
    <xf numFmtId="4" fontId="6" fillId="0" borderId="8" xfId="0" applyNumberFormat="1" applyFont="1" applyBorder="1" applyAlignment="1">
      <alignment horizontal="center" vertical="center"/>
    </xf>
    <xf numFmtId="0" fontId="0" fillId="0" borderId="12" xfId="0" applyBorder="1"/>
    <xf numFmtId="0" fontId="8" fillId="0" borderId="35" xfId="0" applyFont="1" applyBorder="1" applyAlignment="1">
      <alignment horizontal="center" vertical="center"/>
    </xf>
    <xf numFmtId="4" fontId="6" fillId="0" borderId="32" xfId="0" applyNumberFormat="1" applyFont="1" applyBorder="1" applyAlignment="1">
      <alignment horizontal="center" vertical="center"/>
    </xf>
    <xf numFmtId="4" fontId="6" fillId="0" borderId="34" xfId="0" applyNumberFormat="1" applyFont="1" applyBorder="1" applyAlignment="1">
      <alignment horizontal="center" vertical="center"/>
    </xf>
    <xf numFmtId="4" fontId="6" fillId="0" borderId="33" xfId="0" applyNumberFormat="1" applyFont="1" applyBorder="1" applyAlignment="1">
      <alignment horizontal="center" vertical="center"/>
    </xf>
    <xf numFmtId="4" fontId="8" fillId="0" borderId="35" xfId="0" applyNumberFormat="1" applyFont="1" applyBorder="1" applyAlignment="1">
      <alignment horizontal="center" vertical="center"/>
    </xf>
    <xf numFmtId="4" fontId="8" fillId="0" borderId="17" xfId="0" applyNumberFormat="1" applyFont="1" applyBorder="1" applyAlignment="1">
      <alignment horizontal="center" vertical="center"/>
    </xf>
    <xf numFmtId="4" fontId="8" fillId="0" borderId="16" xfId="0" applyNumberFormat="1" applyFont="1" applyBorder="1" applyAlignment="1">
      <alignment horizontal="center" vertical="center" wrapText="1"/>
    </xf>
    <xf numFmtId="4" fontId="6" fillId="0" borderId="1" xfId="0" applyNumberFormat="1" applyFont="1" applyBorder="1" applyAlignment="1">
      <alignment horizontal="center" vertical="center"/>
    </xf>
    <xf numFmtId="4" fontId="6" fillId="0" borderId="3" xfId="0" applyNumberFormat="1" applyFont="1" applyBorder="1" applyAlignment="1">
      <alignment horizontal="center" vertical="center"/>
    </xf>
    <xf numFmtId="4" fontId="6" fillId="0" borderId="5" xfId="0" applyNumberFormat="1" applyFont="1" applyBorder="1" applyAlignment="1">
      <alignment horizontal="center" vertical="center"/>
    </xf>
    <xf numFmtId="4" fontId="6" fillId="0" borderId="20" xfId="0" applyNumberFormat="1" applyFont="1" applyBorder="1" applyAlignment="1">
      <alignment horizontal="center" vertical="center"/>
    </xf>
    <xf numFmtId="4" fontId="6" fillId="0" borderId="21" xfId="0" applyNumberFormat="1" applyFont="1" applyBorder="1" applyAlignment="1">
      <alignment horizontal="center" vertical="center"/>
    </xf>
    <xf numFmtId="4" fontId="5" fillId="0" borderId="6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6" fillId="0" borderId="30" xfId="0" applyNumberFormat="1" applyFont="1" applyBorder="1" applyAlignment="1">
      <alignment horizontal="center" vertical="center"/>
    </xf>
    <xf numFmtId="4" fontId="6" fillId="0" borderId="40" xfId="0" applyNumberFormat="1" applyFont="1" applyBorder="1" applyAlignment="1">
      <alignment horizontal="center" vertical="center"/>
    </xf>
    <xf numFmtId="4" fontId="6" fillId="0" borderId="28" xfId="0" applyNumberFormat="1" applyFont="1" applyBorder="1" applyAlignment="1">
      <alignment horizontal="center" vertical="center"/>
    </xf>
    <xf numFmtId="4" fontId="6" fillId="0" borderId="0" xfId="0" applyNumberFormat="1" applyFont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4" fontId="6" fillId="0" borderId="3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4" fontId="5" fillId="0" borderId="8" xfId="0" applyNumberFormat="1" applyFont="1" applyBorder="1" applyAlignment="1">
      <alignment horizontal="center" vertical="center"/>
    </xf>
    <xf numFmtId="4" fontId="6" fillId="0" borderId="31" xfId="0" applyNumberFormat="1" applyFont="1" applyBorder="1" applyAlignment="1">
      <alignment horizontal="center" vertical="center"/>
    </xf>
    <xf numFmtId="4" fontId="6" fillId="0" borderId="29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14" fontId="5" fillId="0" borderId="2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14" fontId="5" fillId="0" borderId="32" xfId="0" applyNumberFormat="1" applyFont="1" applyBorder="1" applyAlignment="1">
      <alignment horizontal="center" vertical="center"/>
    </xf>
    <xf numFmtId="14" fontId="5" fillId="0" borderId="1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4" fontId="6" fillId="0" borderId="32" xfId="0" applyNumberFormat="1" applyFont="1" applyBorder="1" applyAlignment="1">
      <alignment vertical="center"/>
    </xf>
    <xf numFmtId="4" fontId="6" fillId="0" borderId="2" xfId="0" applyNumberFormat="1" applyFont="1" applyBorder="1" applyAlignment="1">
      <alignment vertical="center"/>
    </xf>
    <xf numFmtId="4" fontId="6" fillId="0" borderId="34" xfId="0" applyNumberFormat="1" applyFont="1" applyBorder="1" applyAlignment="1">
      <alignment vertical="center"/>
    </xf>
    <xf numFmtId="4" fontId="6" fillId="0" borderId="4" xfId="0" applyNumberFormat="1" applyFont="1" applyBorder="1" applyAlignment="1">
      <alignment vertical="center"/>
    </xf>
    <xf numFmtId="4" fontId="6" fillId="0" borderId="36" xfId="0" applyNumberFormat="1" applyFont="1" applyBorder="1" applyAlignment="1">
      <alignment vertical="center"/>
    </xf>
    <xf numFmtId="4" fontId="6" fillId="0" borderId="28" xfId="0" applyNumberFormat="1" applyFont="1" applyBorder="1" applyAlignment="1">
      <alignment vertical="center"/>
    </xf>
    <xf numFmtId="0" fontId="6" fillId="0" borderId="2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64" fontId="7" fillId="0" borderId="4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14" fontId="5" fillId="0" borderId="2" xfId="0" applyNumberFormat="1" applyFont="1" applyBorder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8" fillId="0" borderId="20" xfId="0" applyFont="1" applyBorder="1" applyAlignment="1">
      <alignment horizontal="center" vertical="center" wrapText="1"/>
    </xf>
    <xf numFmtId="9" fontId="7" fillId="0" borderId="4" xfId="0" applyNumberFormat="1" applyFont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 wrapText="1"/>
    </xf>
    <xf numFmtId="4" fontId="6" fillId="0" borderId="37" xfId="0" applyNumberFormat="1" applyFont="1" applyBorder="1" applyAlignment="1">
      <alignment vertical="center"/>
    </xf>
    <xf numFmtId="4" fontId="6" fillId="0" borderId="20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4" fontId="6" fillId="0" borderId="0" xfId="1" applyNumberFormat="1" applyFont="1" applyAlignment="1">
      <alignment vertical="center"/>
    </xf>
    <xf numFmtId="0" fontId="0" fillId="0" borderId="0" xfId="0" applyAlignment="1">
      <alignment horizontal="center"/>
    </xf>
    <xf numFmtId="16" fontId="6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0" fontId="13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 wrapText="1"/>
    </xf>
    <xf numFmtId="0" fontId="12" fillId="0" borderId="45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4" fontId="0" fillId="0" borderId="0" xfId="0" applyNumberFormat="1" applyAlignment="1">
      <alignment horizontal="center"/>
    </xf>
    <xf numFmtId="4" fontId="7" fillId="0" borderId="44" xfId="0" applyNumberFormat="1" applyFont="1" applyBorder="1" applyAlignment="1">
      <alignment horizontal="center" vertical="center"/>
    </xf>
    <xf numFmtId="9" fontId="7" fillId="0" borderId="44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 wrapText="1"/>
    </xf>
    <xf numFmtId="4" fontId="7" fillId="0" borderId="58" xfId="0" applyNumberFormat="1" applyFont="1" applyBorder="1" applyAlignment="1">
      <alignment horizontal="center" vertical="center"/>
    </xf>
    <xf numFmtId="9" fontId="7" fillId="0" borderId="58" xfId="0" applyNumberFormat="1" applyFont="1" applyBorder="1" applyAlignment="1">
      <alignment horizontal="center" vertical="center"/>
    </xf>
    <xf numFmtId="164" fontId="7" fillId="0" borderId="58" xfId="0" applyNumberFormat="1" applyFont="1" applyBorder="1" applyAlignment="1">
      <alignment horizontal="center" vertical="center" wrapText="1"/>
    </xf>
    <xf numFmtId="0" fontId="5" fillId="2" borderId="57" xfId="0" applyFont="1" applyFill="1" applyBorder="1" applyAlignment="1">
      <alignment horizontal="centerContinuous" vertical="center"/>
    </xf>
    <xf numFmtId="0" fontId="6" fillId="2" borderId="57" xfId="0" applyFont="1" applyFill="1" applyBorder="1" applyAlignment="1">
      <alignment horizontal="centerContinuous" vertical="center"/>
    </xf>
    <xf numFmtId="14" fontId="5" fillId="2" borderId="0" xfId="0" applyNumberFormat="1" applyFont="1" applyFill="1" applyAlignment="1">
      <alignment horizontal="left" vertical="center"/>
    </xf>
    <xf numFmtId="0" fontId="16" fillId="0" borderId="0" xfId="0" applyFont="1"/>
    <xf numFmtId="0" fontId="7" fillId="0" borderId="0" xfId="0" applyFont="1" applyAlignment="1">
      <alignment horizontal="center" vertical="center"/>
    </xf>
    <xf numFmtId="4" fontId="16" fillId="0" borderId="0" xfId="0" applyNumberFormat="1" applyFont="1"/>
    <xf numFmtId="164" fontId="2" fillId="0" borderId="12" xfId="0" applyNumberFormat="1" applyFont="1" applyBorder="1" applyAlignment="1">
      <alignment horizontal="center" vertical="center" wrapText="1"/>
    </xf>
    <xf numFmtId="164" fontId="2" fillId="0" borderId="24" xfId="0" applyNumberFormat="1" applyFont="1" applyBorder="1" applyAlignment="1">
      <alignment horizontal="center" vertical="center" wrapText="1"/>
    </xf>
    <xf numFmtId="164" fontId="2" fillId="0" borderId="18" xfId="0" applyNumberFormat="1" applyFont="1" applyBorder="1" applyAlignment="1">
      <alignment horizontal="center" vertical="center" wrapText="1"/>
    </xf>
    <xf numFmtId="4" fontId="0" fillId="0" borderId="0" xfId="0" quotePrefix="1" applyNumberFormat="1"/>
    <xf numFmtId="0" fontId="0" fillId="0" borderId="0" xfId="0" applyAlignment="1">
      <alignment horizontal="right" vertical="center" wrapText="1"/>
    </xf>
    <xf numFmtId="4" fontId="7" fillId="0" borderId="60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7" fillId="0" borderId="46" xfId="0" applyNumberFormat="1" applyFont="1" applyBorder="1" applyAlignment="1">
      <alignment horizontal="center" vertical="center"/>
    </xf>
    <xf numFmtId="14" fontId="17" fillId="0" borderId="34" xfId="0" applyNumberFormat="1" applyFont="1" applyBorder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0" fontId="17" fillId="3" borderId="0" xfId="0" applyFont="1" applyFill="1" applyAlignment="1">
      <alignment vertic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4" fontId="18" fillId="0" borderId="4" xfId="0" applyNumberFormat="1" applyFont="1" applyBorder="1" applyAlignment="1">
      <alignment horizontal="center" vertical="center"/>
    </xf>
    <xf numFmtId="4" fontId="13" fillId="0" borderId="46" xfId="0" applyNumberFormat="1" applyFont="1" applyBorder="1" applyAlignment="1">
      <alignment horizontal="center" vertical="center"/>
    </xf>
    <xf numFmtId="4" fontId="17" fillId="0" borderId="4" xfId="0" applyNumberFormat="1" applyFont="1" applyBorder="1" applyAlignment="1">
      <alignment horizontal="center" vertical="center"/>
    </xf>
    <xf numFmtId="14" fontId="19" fillId="0" borderId="34" xfId="0" applyNumberFormat="1" applyFont="1" applyBorder="1" applyAlignment="1">
      <alignment horizontal="center" vertical="center"/>
    </xf>
    <xf numFmtId="4" fontId="19" fillId="0" borderId="4" xfId="0" applyNumberFormat="1" applyFont="1" applyBorder="1" applyAlignment="1">
      <alignment horizontal="center" vertical="center"/>
    </xf>
    <xf numFmtId="4" fontId="19" fillId="0" borderId="46" xfId="0" applyNumberFormat="1" applyFont="1" applyBorder="1" applyAlignment="1">
      <alignment horizontal="center" vertical="center"/>
    </xf>
    <xf numFmtId="4" fontId="20" fillId="0" borderId="4" xfId="0" applyNumberFormat="1" applyFont="1" applyBorder="1" applyAlignment="1">
      <alignment horizontal="center" vertical="center"/>
    </xf>
    <xf numFmtId="14" fontId="21" fillId="0" borderId="34" xfId="0" applyNumberFormat="1" applyFont="1" applyBorder="1" applyAlignment="1">
      <alignment horizontal="center" vertical="center"/>
    </xf>
    <xf numFmtId="4" fontId="21" fillId="0" borderId="4" xfId="0" applyNumberFormat="1" applyFont="1" applyBorder="1" applyAlignment="1">
      <alignment horizontal="center" vertical="center"/>
    </xf>
    <xf numFmtId="4" fontId="21" fillId="0" borderId="46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164" fontId="10" fillId="0" borderId="25" xfId="0" applyNumberFormat="1" applyFont="1" applyBorder="1" applyAlignment="1">
      <alignment horizontal="center" vertical="center" wrapText="1"/>
    </xf>
    <xf numFmtId="164" fontId="10" fillId="0" borderId="26" xfId="0" applyNumberFormat="1" applyFont="1" applyBorder="1" applyAlignment="1">
      <alignment horizontal="center" vertical="center" wrapText="1"/>
    </xf>
    <xf numFmtId="164" fontId="10" fillId="0" borderId="27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64" fontId="2" fillId="0" borderId="41" xfId="0" applyNumberFormat="1" applyFont="1" applyBorder="1" applyAlignment="1">
      <alignment horizontal="center" vertical="center" wrapText="1"/>
    </xf>
    <xf numFmtId="164" fontId="2" fillId="0" borderId="42" xfId="0" applyNumberFormat="1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4" fontId="4" fillId="0" borderId="41" xfId="0" applyNumberFormat="1" applyFont="1" applyBorder="1" applyAlignment="1">
      <alignment horizontal="center" vertical="center" wrapText="1"/>
    </xf>
    <xf numFmtId="4" fontId="4" fillId="0" borderId="42" xfId="0" applyNumberFormat="1" applyFont="1" applyBorder="1" applyAlignment="1">
      <alignment horizontal="center" vertical="center" wrapText="1"/>
    </xf>
    <xf numFmtId="4" fontId="4" fillId="0" borderId="56" xfId="0" applyNumberFormat="1" applyFont="1" applyBorder="1" applyAlignment="1">
      <alignment horizontal="center" vertical="center" wrapText="1"/>
    </xf>
    <xf numFmtId="4" fontId="1" fillId="0" borderId="30" xfId="0" applyNumberFormat="1" applyFont="1" applyBorder="1" applyAlignment="1">
      <alignment horizontal="center" vertical="center"/>
    </xf>
    <xf numFmtId="4" fontId="1" fillId="0" borderId="53" xfId="0" applyNumberFormat="1" applyFont="1" applyBorder="1" applyAlignment="1">
      <alignment horizontal="center" vertical="center"/>
    </xf>
    <xf numFmtId="4" fontId="1" fillId="0" borderId="44" xfId="0" applyNumberFormat="1" applyFont="1" applyBorder="1" applyAlignment="1">
      <alignment horizontal="center" vertical="center"/>
    </xf>
    <xf numFmtId="4" fontId="1" fillId="0" borderId="28" xfId="0" applyNumberFormat="1" applyFont="1" applyBorder="1" applyAlignment="1">
      <alignment horizontal="center" vertical="center"/>
    </xf>
    <xf numFmtId="4" fontId="1" fillId="0" borderId="54" xfId="0" applyNumberFormat="1" applyFont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 wrapText="1"/>
    </xf>
    <xf numFmtId="164" fontId="2" fillId="0" borderId="5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4" fontId="9" fillId="0" borderId="49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 wrapText="1"/>
    </xf>
    <xf numFmtId="4" fontId="9" fillId="0" borderId="39" xfId="0" applyNumberFormat="1" applyFont="1" applyBorder="1" applyAlignment="1">
      <alignment horizontal="center" vertical="center" wrapText="1"/>
    </xf>
    <xf numFmtId="4" fontId="9" fillId="0" borderId="50" xfId="0" applyNumberFormat="1" applyFont="1" applyBorder="1" applyAlignment="1">
      <alignment horizontal="center" vertical="center" wrapText="1"/>
    </xf>
    <xf numFmtId="4" fontId="9" fillId="0" borderId="51" xfId="0" applyNumberFormat="1" applyFont="1" applyBorder="1" applyAlignment="1">
      <alignment horizontal="center" vertical="center" wrapText="1"/>
    </xf>
    <xf numFmtId="4" fontId="9" fillId="0" borderId="52" xfId="0" applyNumberFormat="1" applyFont="1" applyBorder="1" applyAlignment="1">
      <alignment horizontal="center" vertical="center" wrapText="1"/>
    </xf>
    <xf numFmtId="4" fontId="9" fillId="0" borderId="48" xfId="0" applyNumberFormat="1" applyFont="1" applyBorder="1" applyAlignment="1">
      <alignment horizontal="center" vertical="center" wrapText="1"/>
    </xf>
    <xf numFmtId="4" fontId="9" fillId="0" borderId="23" xfId="0" applyNumberFormat="1" applyFont="1" applyBorder="1" applyAlignment="1">
      <alignment horizontal="center" vertical="center" wrapText="1"/>
    </xf>
    <xf numFmtId="4" fontId="9" fillId="0" borderId="24" xfId="0" applyNumberFormat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4" fontId="6" fillId="0" borderId="28" xfId="0" applyNumberFormat="1" applyFont="1" applyBorder="1" applyAlignment="1">
      <alignment horizontal="center" vertical="center"/>
    </xf>
    <xf numFmtId="4" fontId="6" fillId="0" borderId="53" xfId="0" applyNumberFormat="1" applyFont="1" applyBorder="1" applyAlignment="1">
      <alignment horizontal="center" vertical="center"/>
    </xf>
    <xf numFmtId="4" fontId="6" fillId="0" borderId="44" xfId="0" applyNumberFormat="1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8" xfId="0" applyFont="1" applyBorder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/>
    </xf>
    <xf numFmtId="14" fontId="23" fillId="0" borderId="34" xfId="0" applyNumberFormat="1" applyFont="1" applyFill="1" applyBorder="1" applyAlignment="1">
      <alignment horizontal="center" vertical="center"/>
    </xf>
    <xf numFmtId="4" fontId="23" fillId="0" borderId="4" xfId="0" applyNumberFormat="1" applyFont="1" applyFill="1" applyBorder="1" applyAlignment="1">
      <alignment horizontal="center" vertical="center"/>
    </xf>
    <xf numFmtId="4" fontId="23" fillId="0" borderId="46" xfId="0" applyNumberFormat="1" applyFont="1" applyFill="1" applyBorder="1" applyAlignment="1">
      <alignment horizontal="center" vertical="center"/>
    </xf>
    <xf numFmtId="4" fontId="23" fillId="0" borderId="4" xfId="0" applyNumberFormat="1" applyFont="1" applyBorder="1" applyAlignment="1">
      <alignment horizontal="center" vertical="center"/>
    </xf>
    <xf numFmtId="4" fontId="23" fillId="0" borderId="46" xfId="0" applyNumberFormat="1" applyFont="1" applyBorder="1" applyAlignment="1">
      <alignment horizontal="center" vertical="center"/>
    </xf>
    <xf numFmtId="4" fontId="24" fillId="0" borderId="4" xfId="0" applyNumberFormat="1" applyFont="1" applyBorder="1" applyAlignment="1">
      <alignment horizontal="center" vertical="center"/>
    </xf>
  </cellXfs>
  <cellStyles count="2">
    <cellStyle name="Обычный" xfId="0" builtinId="0"/>
    <cellStyle name="Процентный" xfId="1" builtinId="5"/>
  </cellStyles>
  <dxfs count="3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03C3C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5757"/>
        </patternFill>
      </fill>
    </dxf>
    <dxf>
      <font>
        <color rgb="FF540004"/>
      </font>
      <fill>
        <patternFill>
          <bgColor rgb="FFFF7585"/>
        </patternFill>
      </fill>
    </dxf>
    <dxf>
      <font>
        <strike/>
        <color theme="0" tint="-0.24994659260841701"/>
      </font>
    </dxf>
    <dxf>
      <font>
        <color rgb="FF540004"/>
      </font>
      <fill>
        <patternFill>
          <bgColor rgb="FFFF7585"/>
        </patternFill>
      </fill>
    </dxf>
    <dxf>
      <font>
        <strike/>
        <color theme="0" tint="-0.24994659260841701"/>
      </font>
    </dxf>
    <dxf>
      <font>
        <color rgb="FF540004"/>
      </font>
      <fill>
        <patternFill>
          <bgColor rgb="FFFF7585"/>
        </patternFill>
      </fill>
    </dxf>
    <dxf>
      <font>
        <strike/>
        <color theme="0" tint="-0.24994659260841701"/>
      </font>
    </dxf>
    <dxf>
      <font>
        <strike/>
        <color theme="0" tint="-0.24994659260841701"/>
      </font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ill>
        <patternFill>
          <bgColor rgb="FFB1B1FF"/>
        </patternFill>
      </fill>
    </dxf>
    <dxf>
      <fill>
        <patternFill>
          <bgColor rgb="FFE8FCAA"/>
        </patternFill>
      </fill>
    </dxf>
    <dxf>
      <fill>
        <patternFill>
          <bgColor rgb="FFA4B5B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808000"/>
      <color rgb="FFF8FAB4"/>
      <color rgb="FFFFCCFF"/>
      <color rgb="FF009900"/>
      <color rgb="FF6199FF"/>
      <color rgb="FFFF33CC"/>
      <color rgb="FF6600CC"/>
      <color rgb="FFFF5757"/>
      <color rgb="FFD0FF97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Статистика ввоза на ООО "Полигон ТБО"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Графики!$B$54</c:f>
              <c:strCache>
                <c:ptCount val="1"/>
                <c:pt idx="0">
                  <c:v>Волхонка АО "Невский экологический оператор"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Графики!$B$55:$B$68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172.09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1C-41D3-B81E-0850F4307324}"/>
            </c:ext>
          </c:extLst>
        </c:ser>
        <c:ser>
          <c:idx val="1"/>
          <c:order val="1"/>
          <c:tx>
            <c:strRef>
              <c:f>Графики!$C$54</c:f>
              <c:strCache>
                <c:ptCount val="1"/>
                <c:pt idx="0">
                  <c:v>Грузовой АО "Автопарк №1 Спецтранс"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Графики!$C$55:$C$68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1C-41D3-B81E-0850F4307324}"/>
            </c:ext>
          </c:extLst>
        </c:ser>
        <c:ser>
          <c:idx val="2"/>
          <c:order val="2"/>
          <c:tx>
            <c:strRef>
              <c:f>Графики!$D$54</c:f>
              <c:strCache>
                <c:ptCount val="1"/>
                <c:pt idx="0">
                  <c:v>ООО "ТЭК"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Графики!$D$55:$D$68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1C-41D3-B81E-0850F4307324}"/>
            </c:ext>
          </c:extLst>
        </c:ser>
        <c:ser>
          <c:idx val="3"/>
          <c:order val="3"/>
          <c:tx>
            <c:strRef>
              <c:f>Графики!$E$54</c:f>
              <c:strCache>
                <c:ptCount val="1"/>
                <c:pt idx="0">
                  <c:v>ООО "Эко Лэнд"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Графики!$E$55:$E$68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1C-41D3-B81E-0850F4307324}"/>
            </c:ext>
          </c:extLst>
        </c:ser>
        <c:ser>
          <c:idx val="4"/>
          <c:order val="4"/>
          <c:tx>
            <c:strRef>
              <c:f>Графики!$F$54</c:f>
              <c:strCache>
                <c:ptCount val="1"/>
                <c:pt idx="0">
                  <c:v>Парнас ООО "Эковаст"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Графики!$F$55:$F$68</c:f>
              <c:numCache>
                <c:formatCode>#,##0.00</c:formatCode>
                <c:ptCount val="14"/>
                <c:pt idx="0">
                  <c:v>87.98</c:v>
                </c:pt>
                <c:pt idx="1">
                  <c:v>158.35999999999999</c:v>
                </c:pt>
                <c:pt idx="2">
                  <c:v>80.8</c:v>
                </c:pt>
                <c:pt idx="3">
                  <c:v>#N/A</c:v>
                </c:pt>
                <c:pt idx="4">
                  <c:v>#N/A</c:v>
                </c:pt>
                <c:pt idx="5">
                  <c:v>19.8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23.28</c:v>
                </c:pt>
                <c:pt idx="10">
                  <c:v>#N/A</c:v>
                </c:pt>
                <c:pt idx="11">
                  <c:v>21.32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1C-41D3-B81E-0850F4307324}"/>
            </c:ext>
          </c:extLst>
        </c:ser>
        <c:ser>
          <c:idx val="5"/>
          <c:order val="5"/>
          <c:tx>
            <c:strRef>
              <c:f>Графики!$G$54</c:f>
              <c:strCache>
                <c:ptCount val="1"/>
                <c:pt idx="0">
                  <c:v>Предпортовый ООО "Новый Свет.ЭКО"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Графики!$G$55:$G$68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1C-41D3-B81E-0850F4307324}"/>
            </c:ext>
          </c:extLst>
        </c:ser>
        <c:ser>
          <c:idx val="6"/>
          <c:order val="6"/>
          <c:tx>
            <c:strRef>
              <c:f>Графики!$H$54</c:f>
              <c:strCache>
                <c:ptCount val="1"/>
                <c:pt idx="0">
                  <c:v>Рыбацкое ООО "Эковаст"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Графики!$H$55:$H$68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1C-41D3-B81E-0850F4307324}"/>
            </c:ext>
          </c:extLst>
        </c:ser>
        <c:ser>
          <c:idx val="7"/>
          <c:order val="7"/>
          <c:tx>
            <c:strRef>
              <c:f>Графики!$I$54</c:f>
              <c:strCache>
                <c:ptCount val="1"/>
                <c:pt idx="0">
                  <c:v>Софийская ООО "Эковаст"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Графики!$I$55:$I$68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1C-41D3-B81E-0850F4307324}"/>
            </c:ext>
          </c:extLst>
        </c:ser>
        <c:ser>
          <c:idx val="8"/>
          <c:order val="8"/>
          <c:tx>
            <c:strRef>
              <c:f>Графики!$J$54</c:f>
              <c:strCache>
                <c:ptCount val="1"/>
                <c:pt idx="0">
                  <c:v>Старообрядческая ООО "Новый Свет-ЭКО"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Графики!$J$55:$J$68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1C-41D3-B81E-0850F4307324}"/>
            </c:ext>
          </c:extLst>
        </c:ser>
        <c:ser>
          <c:idx val="9"/>
          <c:order val="9"/>
          <c:tx>
            <c:strRef>
              <c:f>Графики!$K$54</c:f>
              <c:strCache>
                <c:ptCount val="1"/>
                <c:pt idx="0">
                  <c:v>Уманский ООО "ПСК "Ржевка"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Графики!$K$55:$K$68</c:f>
              <c:numCache>
                <c:formatCode>#,##0.00</c:formatCode>
                <c:ptCount val="14"/>
                <c:pt idx="0">
                  <c:v>396.22000000000008</c:v>
                </c:pt>
                <c:pt idx="1">
                  <c:v>329.67999999999995</c:v>
                </c:pt>
                <c:pt idx="2">
                  <c:v>423.94000000000005</c:v>
                </c:pt>
                <c:pt idx="3">
                  <c:v>345.31999999999994</c:v>
                </c:pt>
                <c:pt idx="4">
                  <c:v>327.7399999999999</c:v>
                </c:pt>
                <c:pt idx="5">
                  <c:v>368.3</c:v>
                </c:pt>
                <c:pt idx="6">
                  <c:v>430.47999999999996</c:v>
                </c:pt>
                <c:pt idx="7">
                  <c:v>281.02000000000004</c:v>
                </c:pt>
                <c:pt idx="8">
                  <c:v>356.06000000000006</c:v>
                </c:pt>
                <c:pt idx="9">
                  <c:v>387.7999999999999</c:v>
                </c:pt>
                <c:pt idx="10">
                  <c:v>381.01999999999992</c:v>
                </c:pt>
                <c:pt idx="11">
                  <c:v>267.08000000000004</c:v>
                </c:pt>
                <c:pt idx="12">
                  <c:v>381.9</c:v>
                </c:pt>
                <c:pt idx="13">
                  <c:v>208.31999999999996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1C-41D3-B81E-0850F4307324}"/>
            </c:ext>
          </c:extLst>
        </c:ser>
        <c:ser>
          <c:idx val="10"/>
          <c:order val="10"/>
          <c:tx>
            <c:strRef>
              <c:f>Графики!$L$54</c:f>
              <c:strCache>
                <c:ptCount val="1"/>
                <c:pt idx="0">
                  <c:v>Уткина заводь ООО "Гамма"</c:v>
                </c:pt>
              </c:strCache>
            </c:strRef>
          </c:tx>
          <c:spPr>
            <a:solidFill>
              <a:srgbClr val="FFCC66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Графики!$L$55:$L$68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1C-41D3-B81E-0850F43073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739992159"/>
        <c:axId val="744997615"/>
      </c:barChart>
      <c:lineChart>
        <c:grouping val="standard"/>
        <c:varyColors val="0"/>
        <c:ser>
          <c:idx val="11"/>
          <c:order val="11"/>
          <c:tx>
            <c:strRef>
              <c:f>Графики!$M$54</c:f>
              <c:strCache>
                <c:ptCount val="1"/>
                <c:pt idx="0">
                  <c:v>Прямой вывоз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Графики!$M$55:$M$68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B1C-41D3-B81E-0850F4307324}"/>
            </c:ext>
          </c:extLst>
        </c:ser>
        <c:ser>
          <c:idx val="12"/>
          <c:order val="12"/>
          <c:tx>
            <c:strRef>
              <c:f>Графики!$N$54</c:f>
              <c:strCache>
                <c:ptCount val="1"/>
                <c:pt idx="0">
                  <c:v>Итого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Графики!$A$55:$A$68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Графики!$N$55:$N$68</c:f>
              <c:numCache>
                <c:formatCode>#,##0.00</c:formatCode>
                <c:ptCount val="14"/>
                <c:pt idx="0">
                  <c:v>484.2000000000001</c:v>
                </c:pt>
                <c:pt idx="1">
                  <c:v>488.03999999999996</c:v>
                </c:pt>
                <c:pt idx="2">
                  <c:v>504.74000000000007</c:v>
                </c:pt>
                <c:pt idx="3">
                  <c:v>345.31999999999994</c:v>
                </c:pt>
                <c:pt idx="4">
                  <c:v>327.7399999999999</c:v>
                </c:pt>
                <c:pt idx="5">
                  <c:v>388.1</c:v>
                </c:pt>
                <c:pt idx="6">
                  <c:v>430.47999999999996</c:v>
                </c:pt>
                <c:pt idx="7">
                  <c:v>281.02000000000004</c:v>
                </c:pt>
                <c:pt idx="8">
                  <c:v>356.06000000000006</c:v>
                </c:pt>
                <c:pt idx="9">
                  <c:v>411.07999999999993</c:v>
                </c:pt>
                <c:pt idx="10">
                  <c:v>381.01999999999992</c:v>
                </c:pt>
                <c:pt idx="11">
                  <c:v>288.40000000000003</c:v>
                </c:pt>
                <c:pt idx="12">
                  <c:v>381.9</c:v>
                </c:pt>
                <c:pt idx="13">
                  <c:v>380.40999999999997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0-43DB-95EE-A6DA4EE144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9992159"/>
        <c:axId val="744997615"/>
      </c:lineChart>
      <c:dateAx>
        <c:axId val="739992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4997615"/>
        <c:crosses val="autoZero"/>
        <c:auto val="1"/>
        <c:lblOffset val="100"/>
        <c:baseTimeUnit val="days"/>
      </c:dateAx>
      <c:valAx>
        <c:axId val="744997615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Масса, 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999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  <a:alpha val="94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Статистика ввоза на ООО "Эко Плант"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Графики!$B$158</c:f>
              <c:strCache>
                <c:ptCount val="1"/>
                <c:pt idx="0">
                  <c:v>Волхонка АО "Невский экологический оператор"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Графики!$B$159:$B$172</c:f>
              <c:numCache>
                <c:formatCode>#,##0.00</c:formatCode>
                <c:ptCount val="14"/>
                <c:pt idx="0">
                  <c:v>550.94000000000005</c:v>
                </c:pt>
                <c:pt idx="1">
                  <c:v>459.83000000000004</c:v>
                </c:pt>
                <c:pt idx="2">
                  <c:v>510.38</c:v>
                </c:pt>
                <c:pt idx="3">
                  <c:v>511.93</c:v>
                </c:pt>
                <c:pt idx="4">
                  <c:v>627.56000000000006</c:v>
                </c:pt>
                <c:pt idx="5">
                  <c:v>538.41</c:v>
                </c:pt>
                <c:pt idx="6">
                  <c:v>556.26</c:v>
                </c:pt>
                <c:pt idx="7">
                  <c:v>526.69999999999993</c:v>
                </c:pt>
                <c:pt idx="8">
                  <c:v>384.85000000000008</c:v>
                </c:pt>
                <c:pt idx="9">
                  <c:v>496.88999999999993</c:v>
                </c:pt>
                <c:pt idx="10">
                  <c:v>528.91999999999996</c:v>
                </c:pt>
                <c:pt idx="11">
                  <c:v>570.83000000000004</c:v>
                </c:pt>
                <c:pt idx="12">
                  <c:v>594.58000000000004</c:v>
                </c:pt>
                <c:pt idx="13">
                  <c:v>100.67000000000002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3-456D-B864-54D93BC6A585}"/>
            </c:ext>
          </c:extLst>
        </c:ser>
        <c:ser>
          <c:idx val="1"/>
          <c:order val="1"/>
          <c:tx>
            <c:strRef>
              <c:f>Графики!$C$158</c:f>
              <c:strCache>
                <c:ptCount val="1"/>
                <c:pt idx="0">
                  <c:v>Грузовой АО "Автопарк №1 Спецтранс"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Графики!$C$159:$C$172</c:f>
              <c:numCache>
                <c:formatCode>#,##0.00</c:formatCode>
                <c:ptCount val="14"/>
                <c:pt idx="0">
                  <c:v>183.95</c:v>
                </c:pt>
                <c:pt idx="1">
                  <c:v>55.45</c:v>
                </c:pt>
                <c:pt idx="2">
                  <c:v>117.95</c:v>
                </c:pt>
                <c:pt idx="3">
                  <c:v>254.6</c:v>
                </c:pt>
                <c:pt idx="4">
                  <c:v>212</c:v>
                </c:pt>
                <c:pt idx="5">
                  <c:v>233.17</c:v>
                </c:pt>
                <c:pt idx="6">
                  <c:v>235.96</c:v>
                </c:pt>
                <c:pt idx="7">
                  <c:v>193.17</c:v>
                </c:pt>
                <c:pt idx="8">
                  <c:v>141.33000000000001</c:v>
                </c:pt>
                <c:pt idx="9">
                  <c:v>235.56</c:v>
                </c:pt>
                <c:pt idx="10">
                  <c:v>208.19</c:v>
                </c:pt>
                <c:pt idx="11">
                  <c:v>118.65</c:v>
                </c:pt>
                <c:pt idx="12">
                  <c:v>165.85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B3-456D-B864-54D93BC6A585}"/>
            </c:ext>
          </c:extLst>
        </c:ser>
        <c:ser>
          <c:idx val="2"/>
          <c:order val="2"/>
          <c:tx>
            <c:strRef>
              <c:f>Графики!$D$158</c:f>
              <c:strCache>
                <c:ptCount val="1"/>
                <c:pt idx="0">
                  <c:v>ООО "ТЭК"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Графики!$D$159:$D$172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B3-456D-B864-54D93BC6A585}"/>
            </c:ext>
          </c:extLst>
        </c:ser>
        <c:ser>
          <c:idx val="3"/>
          <c:order val="3"/>
          <c:tx>
            <c:strRef>
              <c:f>Графики!$E$158</c:f>
              <c:strCache>
                <c:ptCount val="1"/>
                <c:pt idx="0">
                  <c:v>ООО "Эко Лэнд"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Графики!$E$159:$E$172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B3-456D-B864-54D93BC6A585}"/>
            </c:ext>
          </c:extLst>
        </c:ser>
        <c:ser>
          <c:idx val="4"/>
          <c:order val="4"/>
          <c:tx>
            <c:strRef>
              <c:f>Графики!$F$158</c:f>
              <c:strCache>
                <c:ptCount val="1"/>
                <c:pt idx="0">
                  <c:v>Парнас ООО "Эковаст"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Графики!$F$159:$F$172</c:f>
              <c:numCache>
                <c:formatCode>#,##0.00</c:formatCode>
                <c:ptCount val="14"/>
                <c:pt idx="0">
                  <c:v>303.40999999999997</c:v>
                </c:pt>
                <c:pt idx="1">
                  <c:v>243.74</c:v>
                </c:pt>
                <c:pt idx="2">
                  <c:v>257.32000000000005</c:v>
                </c:pt>
                <c:pt idx="3">
                  <c:v>212</c:v>
                </c:pt>
                <c:pt idx="4">
                  <c:v>120.96</c:v>
                </c:pt>
                <c:pt idx="5">
                  <c:v>208.09999999999997</c:v>
                </c:pt>
                <c:pt idx="6">
                  <c:v>217.3</c:v>
                </c:pt>
                <c:pt idx="7">
                  <c:v>249.94</c:v>
                </c:pt>
                <c:pt idx="8">
                  <c:v>177.18</c:v>
                </c:pt>
                <c:pt idx="9">
                  <c:v>211.36</c:v>
                </c:pt>
                <c:pt idx="10">
                  <c:v>203.82000000000002</c:v>
                </c:pt>
                <c:pt idx="11">
                  <c:v>212.13</c:v>
                </c:pt>
                <c:pt idx="12">
                  <c:v>165.76</c:v>
                </c:pt>
                <c:pt idx="13">
                  <c:v>168.06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B3-456D-B864-54D93BC6A585}"/>
            </c:ext>
          </c:extLst>
        </c:ser>
        <c:ser>
          <c:idx val="5"/>
          <c:order val="5"/>
          <c:tx>
            <c:strRef>
              <c:f>Графики!$G$158</c:f>
              <c:strCache>
                <c:ptCount val="1"/>
                <c:pt idx="0">
                  <c:v>Предпортовый ООО "Новый Свет.ЭКО"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Графики!$G$159:$G$172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B3-456D-B864-54D93BC6A585}"/>
            </c:ext>
          </c:extLst>
        </c:ser>
        <c:ser>
          <c:idx val="6"/>
          <c:order val="6"/>
          <c:tx>
            <c:strRef>
              <c:f>Графики!$H$158</c:f>
              <c:strCache>
                <c:ptCount val="1"/>
                <c:pt idx="0">
                  <c:v>Рыбацкое ООО "Эковаст"</c:v>
                </c:pt>
              </c:strCache>
            </c:strRef>
          </c:tx>
          <c:spPr>
            <a:solidFill>
              <a:srgbClr val="FFCCFF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rgbClr val="FFCC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Графики!$H$159:$H$172</c:f>
              <c:numCache>
                <c:formatCode>#,##0.00</c:formatCode>
                <c:ptCount val="14"/>
                <c:pt idx="0">
                  <c:v>53.18</c:v>
                </c:pt>
                <c:pt idx="1">
                  <c:v>51.14</c:v>
                </c:pt>
                <c:pt idx="2">
                  <c:v>28.35</c:v>
                </c:pt>
                <c:pt idx="3">
                  <c:v>57.3</c:v>
                </c:pt>
                <c:pt idx="4">
                  <c:v>83.86</c:v>
                </c:pt>
                <c:pt idx="5">
                  <c:v>56.44</c:v>
                </c:pt>
                <c:pt idx="6">
                  <c:v>52.41</c:v>
                </c:pt>
                <c:pt idx="7">
                  <c:v>80.540000000000006</c:v>
                </c:pt>
                <c:pt idx="8">
                  <c:v>84.42</c:v>
                </c:pt>
                <c:pt idx="9">
                  <c:v>54.28</c:v>
                </c:pt>
                <c:pt idx="10">
                  <c:v>78.5</c:v>
                </c:pt>
                <c:pt idx="11">
                  <c:v>27.91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B3-456D-B864-54D93BC6A585}"/>
            </c:ext>
          </c:extLst>
        </c:ser>
        <c:ser>
          <c:idx val="7"/>
          <c:order val="7"/>
          <c:tx>
            <c:strRef>
              <c:f>Графики!$I$158</c:f>
              <c:strCache>
                <c:ptCount val="1"/>
                <c:pt idx="0">
                  <c:v>Софийская ООО "Эковаст"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Графики!$I$159:$I$172</c:f>
              <c:numCache>
                <c:formatCode>#,##0.00</c:formatCode>
                <c:ptCount val="14"/>
                <c:pt idx="0">
                  <c:v>86.039999999999992</c:v>
                </c:pt>
                <c:pt idx="1">
                  <c:v>80.569999999999993</c:v>
                </c:pt>
                <c:pt idx="2">
                  <c:v>52.66</c:v>
                </c:pt>
                <c:pt idx="3">
                  <c:v>138.72</c:v>
                </c:pt>
                <c:pt idx="4">
                  <c:v>77.56</c:v>
                </c:pt>
                <c:pt idx="5">
                  <c:v>81.7</c:v>
                </c:pt>
                <c:pt idx="6">
                  <c:v>82.3</c:v>
                </c:pt>
                <c:pt idx="7">
                  <c:v>57.379999999999995</c:v>
                </c:pt>
                <c:pt idx="8">
                  <c:v>51.68</c:v>
                </c:pt>
                <c:pt idx="9">
                  <c:v>85.63</c:v>
                </c:pt>
                <c:pt idx="10">
                  <c:v>113</c:v>
                </c:pt>
                <c:pt idx="11">
                  <c:v>110</c:v>
                </c:pt>
                <c:pt idx="12">
                  <c:v>143.30000000000001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B3-456D-B864-54D93BC6A585}"/>
            </c:ext>
          </c:extLst>
        </c:ser>
        <c:ser>
          <c:idx val="8"/>
          <c:order val="8"/>
          <c:tx>
            <c:strRef>
              <c:f>Графики!$J$158</c:f>
              <c:strCache>
                <c:ptCount val="1"/>
                <c:pt idx="0">
                  <c:v>Старообрядческая ООО "Новый Свет-ЭКО"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Графики!$J$159:$J$172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39.64</c:v>
                </c:pt>
                <c:pt idx="4">
                  <c:v>#N/A</c:v>
                </c:pt>
                <c:pt idx="5">
                  <c:v>#N/A</c:v>
                </c:pt>
                <c:pt idx="6">
                  <c:v>28</c:v>
                </c:pt>
                <c:pt idx="7">
                  <c:v>41.58</c:v>
                </c:pt>
                <c:pt idx="8">
                  <c:v>35.32</c:v>
                </c:pt>
                <c:pt idx="9">
                  <c:v>36.86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B3-456D-B864-54D93BC6A585}"/>
            </c:ext>
          </c:extLst>
        </c:ser>
        <c:ser>
          <c:idx val="9"/>
          <c:order val="9"/>
          <c:tx>
            <c:strRef>
              <c:f>Графики!$K$158</c:f>
              <c:strCache>
                <c:ptCount val="1"/>
                <c:pt idx="0">
                  <c:v>Уманский ООО "ПСК "Ржевка"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Графики!$K$159:$K$172</c:f>
              <c:numCache>
                <c:formatCode>#,##0.00</c:formatCode>
                <c:ptCount val="14"/>
                <c:pt idx="0">
                  <c:v>60.679999999999993</c:v>
                </c:pt>
                <c:pt idx="1">
                  <c:v>#N/A</c:v>
                </c:pt>
                <c:pt idx="2">
                  <c:v>76.52</c:v>
                </c:pt>
                <c:pt idx="3">
                  <c:v>18.96</c:v>
                </c:pt>
                <c:pt idx="4">
                  <c:v>#N/A</c:v>
                </c:pt>
                <c:pt idx="5">
                  <c:v>15.48</c:v>
                </c:pt>
                <c:pt idx="6">
                  <c:v>30.64</c:v>
                </c:pt>
                <c:pt idx="7">
                  <c:v>16.899999999999999</c:v>
                </c:pt>
                <c:pt idx="8">
                  <c:v>84.98</c:v>
                </c:pt>
                <c:pt idx="9">
                  <c:v>15.6</c:v>
                </c:pt>
                <c:pt idx="10">
                  <c:v>14.64</c:v>
                </c:pt>
                <c:pt idx="11">
                  <c:v>#N/A</c:v>
                </c:pt>
                <c:pt idx="12">
                  <c:v>18.899999999999999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B3-456D-B864-54D93BC6A585}"/>
            </c:ext>
          </c:extLst>
        </c:ser>
        <c:ser>
          <c:idx val="10"/>
          <c:order val="10"/>
          <c:tx>
            <c:strRef>
              <c:f>Графики!$L$158</c:f>
              <c:strCache>
                <c:ptCount val="1"/>
                <c:pt idx="0">
                  <c:v>Уткина заводь ООО "Гамма"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Графики!$L$159:$L$172</c:f>
              <c:numCache>
                <c:formatCode>#,##0.00</c:formatCode>
                <c:ptCount val="14"/>
                <c:pt idx="0">
                  <c:v>796.55000000000018</c:v>
                </c:pt>
                <c:pt idx="1">
                  <c:v>681.6</c:v>
                </c:pt>
                <c:pt idx="2">
                  <c:v>623.94999999999993</c:v>
                </c:pt>
                <c:pt idx="3">
                  <c:v>584.1</c:v>
                </c:pt>
                <c:pt idx="4">
                  <c:v>598.94999999999993</c:v>
                </c:pt>
                <c:pt idx="5">
                  <c:v>617.20000000000005</c:v>
                </c:pt>
                <c:pt idx="6">
                  <c:v>630.54999999999995</c:v>
                </c:pt>
                <c:pt idx="7">
                  <c:v>467.44999999999993</c:v>
                </c:pt>
                <c:pt idx="8">
                  <c:v>367.75000000000006</c:v>
                </c:pt>
                <c:pt idx="9">
                  <c:v>843.00000000000023</c:v>
                </c:pt>
                <c:pt idx="10">
                  <c:v>552.45000000000005</c:v>
                </c:pt>
                <c:pt idx="11">
                  <c:v>855.50000000000011</c:v>
                </c:pt>
                <c:pt idx="12">
                  <c:v>422.74999999999994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B3-456D-B864-54D93BC6A5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739992159"/>
        <c:axId val="744997615"/>
      </c:barChart>
      <c:lineChart>
        <c:grouping val="standard"/>
        <c:varyColors val="0"/>
        <c:ser>
          <c:idx val="11"/>
          <c:order val="11"/>
          <c:tx>
            <c:strRef>
              <c:f>Графики!$M$158</c:f>
              <c:strCache>
                <c:ptCount val="1"/>
                <c:pt idx="0">
                  <c:v>Прямой вывоз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Графики!$M$159:$M$172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0B3-456D-B864-54D93BC6A585}"/>
            </c:ext>
          </c:extLst>
        </c:ser>
        <c:ser>
          <c:idx val="12"/>
          <c:order val="12"/>
          <c:tx>
            <c:strRef>
              <c:f>Графики!$N$158</c:f>
              <c:strCache>
                <c:ptCount val="1"/>
                <c:pt idx="0">
                  <c:v>Итого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Графики!$A$159:$A$172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Графики!$N$159:$N$172</c:f>
              <c:numCache>
                <c:formatCode>#,##0.00</c:formatCode>
                <c:ptCount val="14"/>
                <c:pt idx="0">
                  <c:v>2034.7500000000005</c:v>
                </c:pt>
                <c:pt idx="1">
                  <c:v>1572.33</c:v>
                </c:pt>
                <c:pt idx="2">
                  <c:v>1667.13</c:v>
                </c:pt>
                <c:pt idx="3">
                  <c:v>1817.25</c:v>
                </c:pt>
                <c:pt idx="4">
                  <c:v>1720.8899999999999</c:v>
                </c:pt>
                <c:pt idx="5">
                  <c:v>1750.5</c:v>
                </c:pt>
                <c:pt idx="6">
                  <c:v>1833.42</c:v>
                </c:pt>
                <c:pt idx="7">
                  <c:v>1633.6599999999999</c:v>
                </c:pt>
                <c:pt idx="8">
                  <c:v>1327.5100000000002</c:v>
                </c:pt>
                <c:pt idx="9">
                  <c:v>1979.1799999999998</c:v>
                </c:pt>
                <c:pt idx="10">
                  <c:v>1699.52</c:v>
                </c:pt>
                <c:pt idx="11">
                  <c:v>1895.02</c:v>
                </c:pt>
                <c:pt idx="12">
                  <c:v>1511.14</c:v>
                </c:pt>
                <c:pt idx="13">
                  <c:v>268.73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E1-41AB-B819-A21F29B6A2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9992159"/>
        <c:axId val="744997615"/>
      </c:lineChart>
      <c:dateAx>
        <c:axId val="739992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4997615"/>
        <c:crosses val="autoZero"/>
        <c:auto val="1"/>
        <c:lblOffset val="100"/>
        <c:baseTimeUnit val="days"/>
      </c:dateAx>
      <c:valAx>
        <c:axId val="744997615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Масса, 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999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  <a:alpha val="94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Статистика ввоза на АО "УК по обращению с отходами в Ленинградской области"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Графики!$B$210</c:f>
              <c:strCache>
                <c:ptCount val="1"/>
                <c:pt idx="0">
                  <c:v>Волхонка АО "Невский экологический оператор"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Графики!$B$211:$B$224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D6C5-4438-BA0F-80AEC79989D8}"/>
            </c:ext>
          </c:extLst>
        </c:ser>
        <c:ser>
          <c:idx val="1"/>
          <c:order val="1"/>
          <c:tx>
            <c:strRef>
              <c:f>Графики!$C$210</c:f>
              <c:strCache>
                <c:ptCount val="1"/>
                <c:pt idx="0">
                  <c:v>Грузовой АО "Автопарк №1 Спецтранс"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Графики!$C$211:$C$224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D6C5-4438-BA0F-80AEC79989D8}"/>
            </c:ext>
          </c:extLst>
        </c:ser>
        <c:ser>
          <c:idx val="2"/>
          <c:order val="2"/>
          <c:tx>
            <c:strRef>
              <c:f>Графики!$D$210</c:f>
              <c:strCache>
                <c:ptCount val="1"/>
                <c:pt idx="0">
                  <c:v>ООО "ТЭК"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Графики!$D$211:$D$224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D6C5-4438-BA0F-80AEC79989D8}"/>
            </c:ext>
          </c:extLst>
        </c:ser>
        <c:ser>
          <c:idx val="3"/>
          <c:order val="3"/>
          <c:tx>
            <c:strRef>
              <c:f>Графики!$E$210</c:f>
              <c:strCache>
                <c:ptCount val="1"/>
                <c:pt idx="0">
                  <c:v>ООО "Эко Лэнд"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Графики!$E$211:$E$224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D6C5-4438-BA0F-80AEC79989D8}"/>
            </c:ext>
          </c:extLst>
        </c:ser>
        <c:ser>
          <c:idx val="4"/>
          <c:order val="4"/>
          <c:tx>
            <c:strRef>
              <c:f>Графики!$F$210</c:f>
              <c:strCache>
                <c:ptCount val="1"/>
                <c:pt idx="0">
                  <c:v>Парнас ООО "Эковаст"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Графики!$F$211:$F$224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D6C5-4438-BA0F-80AEC79989D8}"/>
            </c:ext>
          </c:extLst>
        </c:ser>
        <c:ser>
          <c:idx val="5"/>
          <c:order val="5"/>
          <c:tx>
            <c:strRef>
              <c:f>Графики!$G$210</c:f>
              <c:strCache>
                <c:ptCount val="1"/>
                <c:pt idx="0">
                  <c:v>Предпортовый ООО "Новый Свет.ЭКО"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Графики!$G$211:$G$224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D6C5-4438-BA0F-80AEC79989D8}"/>
            </c:ext>
          </c:extLst>
        </c:ser>
        <c:ser>
          <c:idx val="6"/>
          <c:order val="6"/>
          <c:tx>
            <c:strRef>
              <c:f>Графики!$H$210</c:f>
              <c:strCache>
                <c:ptCount val="1"/>
                <c:pt idx="0">
                  <c:v>Рыбацкое ООО "Эковаст"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Графики!$H$211:$H$224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D6C5-4438-BA0F-80AEC79989D8}"/>
            </c:ext>
          </c:extLst>
        </c:ser>
        <c:ser>
          <c:idx val="7"/>
          <c:order val="7"/>
          <c:tx>
            <c:strRef>
              <c:f>Графики!$I$210</c:f>
              <c:strCache>
                <c:ptCount val="1"/>
                <c:pt idx="0">
                  <c:v>Софийская ООО "Эковаст"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Графики!$I$211:$I$224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D6C5-4438-BA0F-80AEC79989D8}"/>
            </c:ext>
          </c:extLst>
        </c:ser>
        <c:ser>
          <c:idx val="8"/>
          <c:order val="8"/>
          <c:tx>
            <c:strRef>
              <c:f>Графики!$J$210</c:f>
              <c:strCache>
                <c:ptCount val="1"/>
                <c:pt idx="0">
                  <c:v>Старообрядческая ООО "Новый Свет-ЭКО"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Графики!$J$211:$J$224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D6C5-4438-BA0F-80AEC79989D8}"/>
            </c:ext>
          </c:extLst>
        </c:ser>
        <c:ser>
          <c:idx val="9"/>
          <c:order val="9"/>
          <c:tx>
            <c:strRef>
              <c:f>Графики!$K$210</c:f>
              <c:strCache>
                <c:ptCount val="1"/>
                <c:pt idx="0">
                  <c:v>Уманский ООО "ПСК "Ржевка"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Графики!$K$211:$K$224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D6C5-4438-BA0F-80AEC79989D8}"/>
            </c:ext>
          </c:extLst>
        </c:ser>
        <c:ser>
          <c:idx val="10"/>
          <c:order val="10"/>
          <c:tx>
            <c:strRef>
              <c:f>Графики!$L$210</c:f>
              <c:strCache>
                <c:ptCount val="1"/>
                <c:pt idx="0">
                  <c:v>Уткина заводь ООО "Гамма"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Графики!$L$211:$L$224</c:f>
              <c:numCache>
                <c:formatCode>#,##0.00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D6C5-4438-BA0F-80AEC79989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739992159"/>
        <c:axId val="744997615"/>
      </c:barChart>
      <c:lineChart>
        <c:grouping val="standard"/>
        <c:varyColors val="0"/>
        <c:ser>
          <c:idx val="11"/>
          <c:order val="11"/>
          <c:tx>
            <c:strRef>
              <c:f>Графики!$M$210</c:f>
              <c:strCache>
                <c:ptCount val="1"/>
                <c:pt idx="0">
                  <c:v>Прямой вывоз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Графики!$M$211:$M$224</c:f>
              <c:numCache>
                <c:formatCode>#,##0.00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6C5-4438-BA0F-80AEC79989D8}"/>
            </c:ext>
          </c:extLst>
        </c:ser>
        <c:ser>
          <c:idx val="12"/>
          <c:order val="12"/>
          <c:tx>
            <c:strRef>
              <c:f>Графики!$N$210</c:f>
              <c:strCache>
                <c:ptCount val="1"/>
                <c:pt idx="0">
                  <c:v>Итого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Графики!$A$211:$A$224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Графики!$N$211:$N$224</c:f>
              <c:numCache>
                <c:formatCode>#,##0.00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B-4499-8A71-AE5CDB2753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9992159"/>
        <c:axId val="744997615"/>
      </c:lineChart>
      <c:dateAx>
        <c:axId val="739992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4997615"/>
        <c:crosses val="autoZero"/>
        <c:auto val="1"/>
        <c:lblOffset val="100"/>
        <c:baseTimeUnit val="days"/>
      </c:dateAx>
      <c:valAx>
        <c:axId val="744997615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Масса, 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9992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  <a:alpha val="94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Статистика ввоза на ООО "Авто-Беркут"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Графики!$B$106</c:f>
              <c:strCache>
                <c:ptCount val="1"/>
                <c:pt idx="0">
                  <c:v>Волхонка АО "Невский экологический оператор"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Графики!$B$107:$B$120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05-4CE1-B20E-B1993CF542AD}"/>
            </c:ext>
          </c:extLst>
        </c:ser>
        <c:ser>
          <c:idx val="1"/>
          <c:order val="1"/>
          <c:tx>
            <c:strRef>
              <c:f>Графики!$C$106</c:f>
              <c:strCache>
                <c:ptCount val="1"/>
                <c:pt idx="0">
                  <c:v>Грузовой АО "Автопарк №1 Спецтранс"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Графики!$C$107:$C$120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05-4CE1-B20E-B1993CF542AD}"/>
            </c:ext>
          </c:extLst>
        </c:ser>
        <c:ser>
          <c:idx val="2"/>
          <c:order val="2"/>
          <c:tx>
            <c:strRef>
              <c:f>Графики!$D$106</c:f>
              <c:strCache>
                <c:ptCount val="1"/>
                <c:pt idx="0">
                  <c:v>ООО "ТЭК"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Графики!$D$107:$D$120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05-4CE1-B20E-B1993CF542AD}"/>
            </c:ext>
          </c:extLst>
        </c:ser>
        <c:ser>
          <c:idx val="3"/>
          <c:order val="3"/>
          <c:tx>
            <c:strRef>
              <c:f>Графики!$E$106</c:f>
              <c:strCache>
                <c:ptCount val="1"/>
                <c:pt idx="0">
                  <c:v>ООО "Эко Лэнд"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Графики!$E$107:$E$120</c:f>
              <c:numCache>
                <c:formatCode>#,##0.00</c:formatCode>
                <c:ptCount val="14"/>
                <c:pt idx="0">
                  <c:v>224.80000000000004</c:v>
                </c:pt>
                <c:pt idx="1">
                  <c:v>310.95</c:v>
                </c:pt>
                <c:pt idx="2">
                  <c:v>352.84999999999997</c:v>
                </c:pt>
                <c:pt idx="3">
                  <c:v>254.65000000000003</c:v>
                </c:pt>
                <c:pt idx="4">
                  <c:v>353.8</c:v>
                </c:pt>
                <c:pt idx="5">
                  <c:v>231.49999999999997</c:v>
                </c:pt>
                <c:pt idx="6">
                  <c:v>260.75</c:v>
                </c:pt>
                <c:pt idx="7">
                  <c:v>217.85000000000002</c:v>
                </c:pt>
                <c:pt idx="8">
                  <c:v>400.09999999999997</c:v>
                </c:pt>
                <c:pt idx="9">
                  <c:v>220.5</c:v>
                </c:pt>
                <c:pt idx="10">
                  <c:v>378.54999999999995</c:v>
                </c:pt>
                <c:pt idx="11">
                  <c:v>203.40000000000003</c:v>
                </c:pt>
                <c:pt idx="12">
                  <c:v>197.95000000000002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05-4CE1-B20E-B1993CF542AD}"/>
            </c:ext>
          </c:extLst>
        </c:ser>
        <c:ser>
          <c:idx val="4"/>
          <c:order val="4"/>
          <c:tx>
            <c:strRef>
              <c:f>Графики!$F$106</c:f>
              <c:strCache>
                <c:ptCount val="1"/>
                <c:pt idx="0">
                  <c:v>Парнас ООО "Эковаст"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Графики!$F$107:$F$120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05-4CE1-B20E-B1993CF542AD}"/>
            </c:ext>
          </c:extLst>
        </c:ser>
        <c:ser>
          <c:idx val="5"/>
          <c:order val="5"/>
          <c:tx>
            <c:strRef>
              <c:f>Графики!$G$106</c:f>
              <c:strCache>
                <c:ptCount val="1"/>
                <c:pt idx="0">
                  <c:v>Предпортовый ООО "Новый Свет.ЭКО"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Графики!$G$107:$G$120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05-4CE1-B20E-B1993CF542AD}"/>
            </c:ext>
          </c:extLst>
        </c:ser>
        <c:ser>
          <c:idx val="6"/>
          <c:order val="6"/>
          <c:tx>
            <c:strRef>
              <c:f>Графики!$H$106</c:f>
              <c:strCache>
                <c:ptCount val="1"/>
                <c:pt idx="0">
                  <c:v>Рыбацкое ООО "Эковаст"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Графики!$H$107:$H$120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05-4CE1-B20E-B1993CF542AD}"/>
            </c:ext>
          </c:extLst>
        </c:ser>
        <c:ser>
          <c:idx val="7"/>
          <c:order val="7"/>
          <c:tx>
            <c:strRef>
              <c:f>Графики!$I$106</c:f>
              <c:strCache>
                <c:ptCount val="1"/>
                <c:pt idx="0">
                  <c:v>Софийская ООО "Эковаст"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Графики!$I$107:$I$120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05-4CE1-B20E-B1993CF542AD}"/>
            </c:ext>
          </c:extLst>
        </c:ser>
        <c:ser>
          <c:idx val="8"/>
          <c:order val="8"/>
          <c:tx>
            <c:strRef>
              <c:f>Графики!$J$106</c:f>
              <c:strCache>
                <c:ptCount val="1"/>
                <c:pt idx="0">
                  <c:v>Старообрядческая ООО "Новый Свет-ЭКО"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Графики!$J$107:$J$120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05-4CE1-B20E-B1993CF542AD}"/>
            </c:ext>
          </c:extLst>
        </c:ser>
        <c:ser>
          <c:idx val="9"/>
          <c:order val="9"/>
          <c:tx>
            <c:strRef>
              <c:f>Графики!$K$106</c:f>
              <c:strCache>
                <c:ptCount val="1"/>
                <c:pt idx="0">
                  <c:v>Уманский ООО "ПСК "Ржевка"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Графики!$K$107:$K$120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05-4CE1-B20E-B1993CF542AD}"/>
            </c:ext>
          </c:extLst>
        </c:ser>
        <c:ser>
          <c:idx val="10"/>
          <c:order val="10"/>
          <c:tx>
            <c:strRef>
              <c:f>Графики!$L$106</c:f>
              <c:strCache>
                <c:ptCount val="1"/>
                <c:pt idx="0">
                  <c:v>Уткина заводь ООО "Гамма"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Графики!$L$107:$L$120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05-4CE1-B20E-B1993CF542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39992159"/>
        <c:axId val="744997615"/>
      </c:barChart>
      <c:lineChart>
        <c:grouping val="standard"/>
        <c:varyColors val="0"/>
        <c:ser>
          <c:idx val="11"/>
          <c:order val="11"/>
          <c:tx>
            <c:strRef>
              <c:f>Графики!$M$106</c:f>
              <c:strCache>
                <c:ptCount val="1"/>
                <c:pt idx="0">
                  <c:v>Прямой вывоз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Графики!$M$107:$M$120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05-4CE1-B20E-B1993CF542AD}"/>
            </c:ext>
          </c:extLst>
        </c:ser>
        <c:ser>
          <c:idx val="12"/>
          <c:order val="12"/>
          <c:tx>
            <c:strRef>
              <c:f>Графики!$N$106</c:f>
              <c:strCache>
                <c:ptCount val="1"/>
                <c:pt idx="0">
                  <c:v>Итого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Графики!$A$107:$A$120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Графики!$N$107:$N$120</c:f>
              <c:numCache>
                <c:formatCode>#,##0.00</c:formatCode>
                <c:ptCount val="14"/>
                <c:pt idx="0">
                  <c:v>224.80000000000004</c:v>
                </c:pt>
                <c:pt idx="1">
                  <c:v>310.95</c:v>
                </c:pt>
                <c:pt idx="2">
                  <c:v>352.84999999999997</c:v>
                </c:pt>
                <c:pt idx="3">
                  <c:v>254.65000000000003</c:v>
                </c:pt>
                <c:pt idx="4">
                  <c:v>353.8</c:v>
                </c:pt>
                <c:pt idx="5">
                  <c:v>231.49999999999997</c:v>
                </c:pt>
                <c:pt idx="6">
                  <c:v>260.75</c:v>
                </c:pt>
                <c:pt idx="7">
                  <c:v>217.85000000000002</c:v>
                </c:pt>
                <c:pt idx="8">
                  <c:v>400.09999999999997</c:v>
                </c:pt>
                <c:pt idx="9">
                  <c:v>220.5</c:v>
                </c:pt>
                <c:pt idx="10">
                  <c:v>378.54999999999995</c:v>
                </c:pt>
                <c:pt idx="11">
                  <c:v>203.40000000000003</c:v>
                </c:pt>
                <c:pt idx="12">
                  <c:v>197.95000000000002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45-4E71-8BEF-B64AF562563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9992159"/>
        <c:axId val="744997615"/>
      </c:lineChart>
      <c:dateAx>
        <c:axId val="739992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4997615"/>
        <c:crosses val="autoZero"/>
        <c:auto val="1"/>
        <c:lblOffset val="100"/>
        <c:baseTimeUnit val="days"/>
      </c:dateAx>
      <c:valAx>
        <c:axId val="744997615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Масса, 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999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  <a:alpha val="94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Статистика ввоза на ООО "Новый Свет-ЭКО"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Графики!$B$2</c:f>
              <c:strCache>
                <c:ptCount val="1"/>
                <c:pt idx="0">
                  <c:v>Волхонка АО "Невский экологический оператор"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Графики!$B$3:$B$16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231.38000000000002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E-48B1-8DD8-9EF3A8BCFA7C}"/>
            </c:ext>
          </c:extLst>
        </c:ser>
        <c:ser>
          <c:idx val="1"/>
          <c:order val="1"/>
          <c:tx>
            <c:strRef>
              <c:f>Графики!$C$2</c:f>
              <c:strCache>
                <c:ptCount val="1"/>
                <c:pt idx="0">
                  <c:v>Грузовой АО "Автопарк №1 Спецтранс"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Графики!$C$3:$C$16</c:f>
              <c:numCache>
                <c:formatCode>#,##0.00</c:formatCode>
                <c:ptCount val="14"/>
                <c:pt idx="0">
                  <c:v>635.78</c:v>
                </c:pt>
                <c:pt idx="1">
                  <c:v>728.6</c:v>
                </c:pt>
                <c:pt idx="2">
                  <c:v>732.91</c:v>
                </c:pt>
                <c:pt idx="3">
                  <c:v>734.93</c:v>
                </c:pt>
                <c:pt idx="4">
                  <c:v>402.08</c:v>
                </c:pt>
                <c:pt idx="5">
                  <c:v>430.24</c:v>
                </c:pt>
                <c:pt idx="6">
                  <c:v>443.18</c:v>
                </c:pt>
                <c:pt idx="7">
                  <c:v>490.46</c:v>
                </c:pt>
                <c:pt idx="8">
                  <c:v>620.88</c:v>
                </c:pt>
                <c:pt idx="9">
                  <c:v>614.16</c:v>
                </c:pt>
                <c:pt idx="10">
                  <c:v>477.72</c:v>
                </c:pt>
                <c:pt idx="11">
                  <c:v>321.83999999999997</c:v>
                </c:pt>
                <c:pt idx="12">
                  <c:v>356.64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6E-48B1-8DD8-9EF3A8BCFA7C}"/>
            </c:ext>
          </c:extLst>
        </c:ser>
        <c:ser>
          <c:idx val="2"/>
          <c:order val="2"/>
          <c:tx>
            <c:strRef>
              <c:f>Графики!$D$2</c:f>
              <c:strCache>
                <c:ptCount val="1"/>
                <c:pt idx="0">
                  <c:v>ООО "ТЭК"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Графики!$D$3:$D$16</c:f>
              <c:numCache>
                <c:formatCode>#,##0.00</c:formatCode>
                <c:ptCount val="14"/>
                <c:pt idx="0">
                  <c:v>255.29999999999998</c:v>
                </c:pt>
                <c:pt idx="1">
                  <c:v>271.60999999999996</c:v>
                </c:pt>
                <c:pt idx="2">
                  <c:v>348.84</c:v>
                </c:pt>
                <c:pt idx="3">
                  <c:v>248.09</c:v>
                </c:pt>
                <c:pt idx="4">
                  <c:v>398.40999999999997</c:v>
                </c:pt>
                <c:pt idx="5">
                  <c:v>402.6</c:v>
                </c:pt>
                <c:pt idx="6">
                  <c:v>189.73999999999998</c:v>
                </c:pt>
                <c:pt idx="7">
                  <c:v>289.05</c:v>
                </c:pt>
                <c:pt idx="8">
                  <c:v>281.20999999999998</c:v>
                </c:pt>
                <c:pt idx="9">
                  <c:v>275.45999999999998</c:v>
                </c:pt>
                <c:pt idx="10">
                  <c:v>318.64999999999998</c:v>
                </c:pt>
                <c:pt idx="11">
                  <c:v>382.12</c:v>
                </c:pt>
                <c:pt idx="12">
                  <c:v>284.75</c:v>
                </c:pt>
                <c:pt idx="13">
                  <c:v>107.78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6E-48B1-8DD8-9EF3A8BCFA7C}"/>
            </c:ext>
          </c:extLst>
        </c:ser>
        <c:ser>
          <c:idx val="3"/>
          <c:order val="3"/>
          <c:tx>
            <c:strRef>
              <c:f>Графики!$E$2</c:f>
              <c:strCache>
                <c:ptCount val="1"/>
                <c:pt idx="0">
                  <c:v>ООО "Эко Лэнд"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Графики!$E$3:$E$16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6E-48B1-8DD8-9EF3A8BCFA7C}"/>
            </c:ext>
          </c:extLst>
        </c:ser>
        <c:ser>
          <c:idx val="4"/>
          <c:order val="4"/>
          <c:tx>
            <c:strRef>
              <c:f>Графики!$F$2</c:f>
              <c:strCache>
                <c:ptCount val="1"/>
                <c:pt idx="0">
                  <c:v>Парнас ООО "Эковаст"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Графики!$F$3:$F$16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6E-48B1-8DD8-9EF3A8BCFA7C}"/>
            </c:ext>
          </c:extLst>
        </c:ser>
        <c:ser>
          <c:idx val="5"/>
          <c:order val="5"/>
          <c:tx>
            <c:strRef>
              <c:f>Графики!$G$2</c:f>
              <c:strCache>
                <c:ptCount val="1"/>
                <c:pt idx="0">
                  <c:v>Предпортовый ООО "Новый Свет.ЭКО"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Графики!$G$3:$G$16</c:f>
              <c:numCache>
                <c:formatCode>#,##0.00</c:formatCode>
                <c:ptCount val="14"/>
                <c:pt idx="0">
                  <c:v>262.24</c:v>
                </c:pt>
                <c:pt idx="1">
                  <c:v>238.33999999999997</c:v>
                </c:pt>
                <c:pt idx="2">
                  <c:v>277.08000000000004</c:v>
                </c:pt>
                <c:pt idx="3">
                  <c:v>373.88000000000005</c:v>
                </c:pt>
                <c:pt idx="4">
                  <c:v>259.56</c:v>
                </c:pt>
                <c:pt idx="5">
                  <c:v>247.2</c:v>
                </c:pt>
                <c:pt idx="6">
                  <c:v>184.70000000000002</c:v>
                </c:pt>
                <c:pt idx="7">
                  <c:v>293.77999999999997</c:v>
                </c:pt>
                <c:pt idx="8">
                  <c:v>237.36</c:v>
                </c:pt>
                <c:pt idx="9">
                  <c:v>280.47999999999996</c:v>
                </c:pt>
                <c:pt idx="10">
                  <c:v>187.78</c:v>
                </c:pt>
                <c:pt idx="11">
                  <c:v>306.38000000000005</c:v>
                </c:pt>
                <c:pt idx="12">
                  <c:v>235.18000000000004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6E-48B1-8DD8-9EF3A8BCFA7C}"/>
            </c:ext>
          </c:extLst>
        </c:ser>
        <c:ser>
          <c:idx val="6"/>
          <c:order val="6"/>
          <c:tx>
            <c:strRef>
              <c:f>Графики!$H$2</c:f>
              <c:strCache>
                <c:ptCount val="1"/>
                <c:pt idx="0">
                  <c:v>Рыбацкое ООО "Эковаст"</c:v>
                </c:pt>
              </c:strCache>
            </c:strRef>
          </c:tx>
          <c:spPr>
            <a:solidFill>
              <a:srgbClr val="FFCCFF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Графики!$H$3:$H$16</c:f>
              <c:numCache>
                <c:formatCode>#,##0.00</c:formatCode>
                <c:ptCount val="14"/>
                <c:pt idx="0">
                  <c:v>104.23</c:v>
                </c:pt>
                <c:pt idx="1">
                  <c:v>85.19</c:v>
                </c:pt>
                <c:pt idx="2">
                  <c:v>81.319999999999993</c:v>
                </c:pt>
                <c:pt idx="3">
                  <c:v>54.04</c:v>
                </c:pt>
                <c:pt idx="4">
                  <c:v>81.650000000000006</c:v>
                </c:pt>
                <c:pt idx="5">
                  <c:v>108.28</c:v>
                </c:pt>
                <c:pt idx="6">
                  <c:v>26.08</c:v>
                </c:pt>
                <c:pt idx="7">
                  <c:v>58.33</c:v>
                </c:pt>
                <c:pt idx="8">
                  <c:v>51.56</c:v>
                </c:pt>
                <c:pt idx="9">
                  <c:v>56.59</c:v>
                </c:pt>
                <c:pt idx="10">
                  <c:v>111.25</c:v>
                </c:pt>
                <c:pt idx="11">
                  <c:v>55.01</c:v>
                </c:pt>
                <c:pt idx="12">
                  <c:v>108.99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6E-48B1-8DD8-9EF3A8BCFA7C}"/>
            </c:ext>
          </c:extLst>
        </c:ser>
        <c:ser>
          <c:idx val="7"/>
          <c:order val="7"/>
          <c:tx>
            <c:strRef>
              <c:f>Графики!$I$2</c:f>
              <c:strCache>
                <c:ptCount val="1"/>
                <c:pt idx="0">
                  <c:v>Софийская ООО "Эковаст"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Графики!$I$3:$I$16</c:f>
              <c:numCache>
                <c:formatCode>#,##0.00</c:formatCode>
                <c:ptCount val="14"/>
                <c:pt idx="0">
                  <c:v>108.41000000000001</c:v>
                </c:pt>
                <c:pt idx="1">
                  <c:v>111.88</c:v>
                </c:pt>
                <c:pt idx="2">
                  <c:v>82.34</c:v>
                </c:pt>
                <c:pt idx="3">
                  <c:v>28.94</c:v>
                </c:pt>
                <c:pt idx="4">
                  <c:v>25.46</c:v>
                </c:pt>
                <c:pt idx="5">
                  <c:v>83.86</c:v>
                </c:pt>
                <c:pt idx="6">
                  <c:v>108.9</c:v>
                </c:pt>
                <c:pt idx="7">
                  <c:v>60.18</c:v>
                </c:pt>
                <c:pt idx="8">
                  <c:v>#N/A</c:v>
                </c:pt>
                <c:pt idx="9">
                  <c:v>89.679999999999993</c:v>
                </c:pt>
                <c:pt idx="10">
                  <c:v>25.28</c:v>
                </c:pt>
                <c:pt idx="11">
                  <c:v>24.3</c:v>
                </c:pt>
                <c:pt idx="12">
                  <c:v>29.42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6E-48B1-8DD8-9EF3A8BCFA7C}"/>
            </c:ext>
          </c:extLst>
        </c:ser>
        <c:ser>
          <c:idx val="8"/>
          <c:order val="8"/>
          <c:tx>
            <c:strRef>
              <c:f>Графики!$J$2</c:f>
              <c:strCache>
                <c:ptCount val="1"/>
                <c:pt idx="0">
                  <c:v>Старообрядческая ООО "Новый Свет-ЭКО"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Графики!$J$3:$J$16</c:f>
              <c:numCache>
                <c:formatCode>#,##0.00</c:formatCode>
                <c:ptCount val="14"/>
                <c:pt idx="0">
                  <c:v>234.77999999999997</c:v>
                </c:pt>
                <c:pt idx="1">
                  <c:v>205.66</c:v>
                </c:pt>
                <c:pt idx="2">
                  <c:v>543.70000000000005</c:v>
                </c:pt>
                <c:pt idx="3">
                  <c:v>202.83999999999997</c:v>
                </c:pt>
                <c:pt idx="4">
                  <c:v>204.08</c:v>
                </c:pt>
                <c:pt idx="5">
                  <c:v>201.22</c:v>
                </c:pt>
                <c:pt idx="6">
                  <c:v>306.10000000000002</c:v>
                </c:pt>
                <c:pt idx="7">
                  <c:v>229.08</c:v>
                </c:pt>
                <c:pt idx="8">
                  <c:v>175.52</c:v>
                </c:pt>
                <c:pt idx="9">
                  <c:v>228.68</c:v>
                </c:pt>
                <c:pt idx="10">
                  <c:v>250.75</c:v>
                </c:pt>
                <c:pt idx="11">
                  <c:v>132.19999999999999</c:v>
                </c:pt>
                <c:pt idx="12">
                  <c:v>180.56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6E-48B1-8DD8-9EF3A8BCFA7C}"/>
            </c:ext>
          </c:extLst>
        </c:ser>
        <c:ser>
          <c:idx val="9"/>
          <c:order val="9"/>
          <c:tx>
            <c:strRef>
              <c:f>Графики!$K$2</c:f>
              <c:strCache>
                <c:ptCount val="1"/>
                <c:pt idx="0">
                  <c:v>Уманский ООО "ПСК "Ржевка"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Графики!$K$3:$K$16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6E-48B1-8DD8-9EF3A8BCFA7C}"/>
            </c:ext>
          </c:extLst>
        </c:ser>
        <c:ser>
          <c:idx val="10"/>
          <c:order val="10"/>
          <c:tx>
            <c:strRef>
              <c:f>Графики!$L$2</c:f>
              <c:strCache>
                <c:ptCount val="1"/>
                <c:pt idx="0">
                  <c:v>Уткина заводь ООО "Гамма"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Графики!$L$3:$L$16</c:f>
              <c:numCache>
                <c:formatCode>#,##0.00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6E-48B1-8DD8-9EF3A8BCFA7C}"/>
            </c:ext>
          </c:extLst>
        </c:ser>
        <c:ser>
          <c:idx val="11"/>
          <c:order val="11"/>
          <c:tx>
            <c:strRef>
              <c:f>Графики!$M$2</c:f>
              <c:strCache>
                <c:ptCount val="1"/>
                <c:pt idx="0">
                  <c:v>Прямой вывоз</c:v>
                </c:pt>
              </c:strCache>
            </c:strRef>
          </c:tx>
          <c:spPr>
            <a:solidFill>
              <a:srgbClr val="F8FAB4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Графики!$M$3:$M$16</c:f>
              <c:numCache>
                <c:formatCode>#,##0.00</c:formatCode>
                <c:ptCount val="14"/>
                <c:pt idx="0">
                  <c:v>440.54580821917801</c:v>
                </c:pt>
                <c:pt idx="1">
                  <c:v>440.54580821917801</c:v>
                </c:pt>
                <c:pt idx="2">
                  <c:v>440.54580821917801</c:v>
                </c:pt>
                <c:pt idx="3">
                  <c:v>440.54580821917801</c:v>
                </c:pt>
                <c:pt idx="4">
                  <c:v>440.54580821917801</c:v>
                </c:pt>
                <c:pt idx="5">
                  <c:v>440.54580821917801</c:v>
                </c:pt>
                <c:pt idx="6">
                  <c:v>440.54580821917801</c:v>
                </c:pt>
                <c:pt idx="7">
                  <c:v>440.54580821917801</c:v>
                </c:pt>
                <c:pt idx="8">
                  <c:v>440.54580821917801</c:v>
                </c:pt>
                <c:pt idx="9">
                  <c:v>440.54580821917801</c:v>
                </c:pt>
                <c:pt idx="10">
                  <c:v>440.54580821917801</c:v>
                </c:pt>
                <c:pt idx="11">
                  <c:v>440.54580821917801</c:v>
                </c:pt>
                <c:pt idx="12">
                  <c:v>440.54580821917801</c:v>
                </c:pt>
                <c:pt idx="13">
                  <c:v>440.54580821917801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E6E-48B1-8DD8-9EF3A8BCF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39992159"/>
        <c:axId val="744997615"/>
      </c:barChart>
      <c:lineChart>
        <c:grouping val="standard"/>
        <c:varyColors val="0"/>
        <c:ser>
          <c:idx val="12"/>
          <c:order val="12"/>
          <c:tx>
            <c:strRef>
              <c:f>Графики!$N$2</c:f>
              <c:strCache>
                <c:ptCount val="1"/>
                <c:pt idx="0">
                  <c:v>Итого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Графики!$A$3:$A$16</c:f>
              <c:numCache>
                <c:formatCode>m/d/yyyy</c:formatCode>
                <c:ptCount val="14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</c:numCache>
            </c:numRef>
          </c:cat>
          <c:val>
            <c:numRef>
              <c:f>Графики!$N$3:$N$16</c:f>
              <c:numCache>
                <c:formatCode>#,##0.00</c:formatCode>
                <c:ptCount val="14"/>
                <c:pt idx="0">
                  <c:v>2041.2858082191781</c:v>
                </c:pt>
                <c:pt idx="1">
                  <c:v>2081.8258082191778</c:v>
                </c:pt>
                <c:pt idx="2">
                  <c:v>2506.7358082191777</c:v>
                </c:pt>
                <c:pt idx="3">
                  <c:v>2083.2658082191779</c:v>
                </c:pt>
                <c:pt idx="4">
                  <c:v>1811.7858082191781</c:v>
                </c:pt>
                <c:pt idx="5">
                  <c:v>1913.9458082191779</c:v>
                </c:pt>
                <c:pt idx="6">
                  <c:v>1699.2458082191781</c:v>
                </c:pt>
                <c:pt idx="7">
                  <c:v>1861.425808219178</c:v>
                </c:pt>
                <c:pt idx="8">
                  <c:v>1807.0758082191778</c:v>
                </c:pt>
                <c:pt idx="9">
                  <c:v>1985.595808219178</c:v>
                </c:pt>
                <c:pt idx="10">
                  <c:v>1811.9758082191781</c:v>
                </c:pt>
                <c:pt idx="11">
                  <c:v>1662.3958082191782</c:v>
                </c:pt>
                <c:pt idx="12">
                  <c:v>1636.085808219178</c:v>
                </c:pt>
                <c:pt idx="13">
                  <c:v>779.70580821917804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E6E-48B1-8DD8-9EF3A8BCFA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9992159"/>
        <c:axId val="744997615"/>
      </c:lineChart>
      <c:dateAx>
        <c:axId val="739992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4997615"/>
        <c:crosses val="autoZero"/>
        <c:auto val="1"/>
        <c:lblOffset val="100"/>
        <c:baseTimeUnit val="days"/>
      </c:dateAx>
      <c:valAx>
        <c:axId val="744997615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Масса, 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999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  <a:alpha val="94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53</xdr:row>
      <xdr:rowOff>0</xdr:rowOff>
    </xdr:from>
    <xdr:to>
      <xdr:col>30</xdr:col>
      <xdr:colOff>146050</xdr:colOff>
      <xdr:row>85</xdr:row>
      <xdr:rowOff>0</xdr:rowOff>
    </xdr:to>
    <xdr:graphicFrame macro="">
      <xdr:nvGraphicFramePr>
        <xdr:cNvPr id="13" name="Диаграмма 5">
          <a:extLst>
            <a:ext uri="{FF2B5EF4-FFF2-40B4-BE49-F238E27FC236}">
              <a16:creationId xmlns:a16="http://schemas.microsoft.com/office/drawing/2014/main" id="{5691804D-F0A5-46A1-BB73-1B30FFB43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157</xdr:row>
      <xdr:rowOff>0</xdr:rowOff>
    </xdr:from>
    <xdr:to>
      <xdr:col>30</xdr:col>
      <xdr:colOff>146050</xdr:colOff>
      <xdr:row>189</xdr:row>
      <xdr:rowOff>0</xdr:rowOff>
    </xdr:to>
    <xdr:graphicFrame macro="">
      <xdr:nvGraphicFramePr>
        <xdr:cNvPr id="14" name="Диаграмма 4">
          <a:extLst>
            <a:ext uri="{FF2B5EF4-FFF2-40B4-BE49-F238E27FC236}">
              <a16:creationId xmlns:a16="http://schemas.microsoft.com/office/drawing/2014/main" id="{DFC9CDF5-7607-483A-96A7-EB629CB34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209</xdr:row>
      <xdr:rowOff>0</xdr:rowOff>
    </xdr:from>
    <xdr:to>
      <xdr:col>30</xdr:col>
      <xdr:colOff>146050</xdr:colOff>
      <xdr:row>241</xdr:row>
      <xdr:rowOff>0</xdr:rowOff>
    </xdr:to>
    <xdr:graphicFrame macro="">
      <xdr:nvGraphicFramePr>
        <xdr:cNvPr id="15" name="Диаграмма 3">
          <a:extLst>
            <a:ext uri="{FF2B5EF4-FFF2-40B4-BE49-F238E27FC236}">
              <a16:creationId xmlns:a16="http://schemas.microsoft.com/office/drawing/2014/main" id="{2AEFD1A5-1CE5-4C27-8AD3-C7F7F46F6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105</xdr:row>
      <xdr:rowOff>0</xdr:rowOff>
    </xdr:from>
    <xdr:to>
      <xdr:col>30</xdr:col>
      <xdr:colOff>146050</xdr:colOff>
      <xdr:row>137</xdr:row>
      <xdr:rowOff>0</xdr:rowOff>
    </xdr:to>
    <xdr:graphicFrame macro="">
      <xdr:nvGraphicFramePr>
        <xdr:cNvPr id="16" name="Диаграмма 2">
          <a:extLst>
            <a:ext uri="{FF2B5EF4-FFF2-40B4-BE49-F238E27FC236}">
              <a16:creationId xmlns:a16="http://schemas.microsoft.com/office/drawing/2014/main" id="{887225E2-A5C8-4941-BA99-727BBE9AC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30</xdr:col>
      <xdr:colOff>146050</xdr:colOff>
      <xdr:row>33</xdr:row>
      <xdr:rowOff>0</xdr:rowOff>
    </xdr:to>
    <xdr:graphicFrame macro="">
      <xdr:nvGraphicFramePr>
        <xdr:cNvPr id="17" name="Диаграмма 1">
          <a:extLst>
            <a:ext uri="{FF2B5EF4-FFF2-40B4-BE49-F238E27FC236}">
              <a16:creationId xmlns:a16="http://schemas.microsoft.com/office/drawing/2014/main" id="{F690ED9C-CDD7-4E44-94A2-1A1246033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0000000}" name="ВвозНовыйСвет" displayName="ВвозНовыйСвет" ref="A2:N17" totalsRowCount="1" headerRowDxfId="330" dataDxfId="328" headerRowBorderDxfId="329" tableBorderDxfId="327" totalsRowBorderDxfId="326">
  <autoFilter ref="A2:N16" xr:uid="{00000000-0009-0000-0100-00000B000000}"/>
  <tableColumns count="14">
    <tableColumn id="1" xr3:uid="{00000000-0010-0000-0000-000001000000}" name="Дата" totalsRowLabel="Итог" dataDxfId="325" totalsRowDxfId="213"/>
    <tableColumn id="2" xr3:uid="{00000000-0010-0000-0000-000002000000}" name="Волхонка АО &quot;Невский экологический оператор&quot;" totalsRowFunction="custom" dataDxfId="324" totalsRowDxfId="212">
      <calculatedColumnFormula array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calculatedColumnFormula>
      <totalsRowFormula>SUMIF(ВвозНовыйСвет[Волхонка АО "Невский экологический оператор"],"&lt;&gt;#Н/Д",ВвозНовыйСвет[Волхонка АО "Невский экологический оператор"])</totalsRowFormula>
    </tableColumn>
    <tableColumn id="3" xr3:uid="{00000000-0010-0000-0000-000003000000}" name="Грузовой АО &quot;Автопарк №1 Спецтранс&quot;" totalsRowFunction="custom" dataDxfId="323" totalsRowDxfId="211">
      <calculatedColumnFormula array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calculatedColumnFormula>
      <totalsRowFormula>SUMIF(ВвозНовыйСвет[Грузовой АО "Автопарк №1 Спецтранс"],"&lt;&gt;#Н/Д",ВвозНовыйСвет[Грузовой АО "Автопарк №1 Спецтранс"])</totalsRowFormula>
    </tableColumn>
    <tableColumn id="4" xr3:uid="{00000000-0010-0000-0000-000004000000}" name="ООО &quot;ТЭК&quot;" totalsRowFunction="custom" dataDxfId="322" totalsRowDxfId="210">
      <calculatedColumnFormula array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calculatedColumnFormula>
      <totalsRowFormula>SUMIF(ВвозНовыйСвет[ООО "ТЭК"],"&lt;&gt;#Н/Д",ВвозНовыйСвет[ООО "ТЭК"])</totalsRowFormula>
    </tableColumn>
    <tableColumn id="5" xr3:uid="{00000000-0010-0000-0000-000005000000}" name="ООО &quot;Эко Лэнд&quot;" totalsRowFunction="custom" dataDxfId="321" totalsRowDxfId="209">
      <calculatedColumnFormula array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calculatedColumnFormula>
      <totalsRowFormula>SUMIF(ВвозНовыйСвет[ООО "Эко Лэнд"],"&lt;&gt;#Н/Д",ВвозНовыйСвет[ООО "Эко Лэнд"])</totalsRowFormula>
    </tableColumn>
    <tableColumn id="6" xr3:uid="{00000000-0010-0000-0000-000006000000}" name="Парнас ООО &quot;Эковаст&quot;" totalsRowFunction="custom" dataDxfId="320" totalsRowDxfId="208">
      <calculatedColumnFormula array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calculatedColumnFormula>
      <totalsRowFormula>SUMIF(ВвозНовыйСвет[Парнас ООО "Эковаст"],"&lt;&gt;#Н/Д",ВвозНовыйСвет[Парнас ООО "Эковаст"])</totalsRowFormula>
    </tableColumn>
    <tableColumn id="7" xr3:uid="{00000000-0010-0000-0000-000007000000}" name="Предпортовый ООО &quot;Новый Свет.ЭКО&quot;" totalsRowFunction="custom" dataDxfId="319" totalsRowDxfId="207">
      <calculatedColumnFormula array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calculatedColumnFormula>
      <totalsRowFormula>SUMIF(ВвозНовыйСвет[Предпортовый ООО "Новый Свет.ЭКО"],"&lt;&gt;#Н/Д",ВвозНовыйСвет[Предпортовый ООО "Новый Свет.ЭКО"])</totalsRowFormula>
    </tableColumn>
    <tableColumn id="8" xr3:uid="{00000000-0010-0000-0000-000008000000}" name="Рыбацкое ООО &quot;Эковаст&quot;" totalsRowFunction="custom" dataDxfId="318" totalsRowDxfId="206">
      <calculatedColumnFormula array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calculatedColumnFormula>
      <totalsRowFormula>SUMIF(ВвозНовыйСвет[Рыбацкое ООО "Эковаст"],"&lt;&gt;#Н/Д",ВвозНовыйСвет[Рыбацкое ООО "Эковаст"])</totalsRowFormula>
    </tableColumn>
    <tableColumn id="9" xr3:uid="{00000000-0010-0000-0000-000009000000}" name="Софийская ООО &quot;Эковаст&quot;" totalsRowFunction="custom" dataDxfId="317" totalsRowDxfId="205">
      <calculatedColumnFormula array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calculatedColumnFormula>
      <totalsRowFormula>SUMIF(ВвозНовыйСвет[Софийская ООО "Эковаст"],"&lt;&gt;#Н/Д",ВвозНовыйСвет[Софийская ООО "Эковаст"])</totalsRowFormula>
    </tableColumn>
    <tableColumn id="10" xr3:uid="{00000000-0010-0000-0000-00000A000000}" name="Старообрядческая ООО &quot;Новый Свет-ЭКО&quot;" totalsRowFunction="custom" dataDxfId="316" totalsRowDxfId="204">
      <calculatedColumnFormula array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calculatedColumnFormula>
      <totalsRowFormula>SUMIF(ВвозНовыйСвет[Старообрядческая ООО "Новый Свет-ЭКО"],"&lt;&gt;#Н/Д",ВвозНовыйСвет[Старообрядческая ООО "Новый Свет-ЭКО"])</totalsRowFormula>
    </tableColumn>
    <tableColumn id="11" xr3:uid="{00000000-0010-0000-0000-00000B000000}" name="Уманский ООО &quot;ПСК &quot;Ржевка&quot;" totalsRowFunction="custom" dataDxfId="315" totalsRowDxfId="203">
      <calculatedColumnFormula array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calculatedColumnFormula>
      <totalsRowFormula>SUMIF(ВвозНовыйСвет[Уманский ООО "ПСК "Ржевка"],"&lt;&gt;#Н/Д",ВвозНовыйСвет[Уманский ООО "ПСК "Ржевка"])</totalsRowFormula>
    </tableColumn>
    <tableColumn id="12" xr3:uid="{00000000-0010-0000-0000-00000C000000}" name="Уткина заводь ООО &quot;Гамма&quot;" totalsRowFunction="custom" dataDxfId="314" totalsRowDxfId="202">
      <calculatedColumnFormula array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calculatedColumnFormula>
      <totalsRowFormula>SUMIF(ВвозНовыйСвет[Уткина заводь ООО "Гамма"],"&lt;&gt;#Н/Д",ВвозНовыйСвет[Уткина заводь ООО "Гамма"])</totalsRowFormula>
    </tableColumn>
    <tableColumn id="14" xr3:uid="{00000000-0010-0000-0000-00000E000000}" name="Прямой вывоз" totalsRowFunction="custom" dataDxfId="313" totalsRowDxfId="201">
      <calculatedColumnFormula array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calculatedColumnFormula>
      <totalsRowFormula>SUMIF(ВвозНовыйСвет[Прямой вывоз],"&lt;&gt;#Н/Д",ВвозНовыйСвет[Прямой вывоз])</totalsRowFormula>
    </tableColumn>
    <tableColumn id="13" xr3:uid="{00000000-0010-0000-0000-00000D000000}" name="Итого" totalsRowFunction="custom" dataDxfId="312" totalsRowDxfId="200">
      <calculatedColumnFormula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calculatedColumnFormula>
      <totalsRowFormula>SUM(ВвозНовыйСвет[Итого])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ВвозПолигонТБО" displayName="ВвозПолигонТБО" ref="A54:N69" totalsRowCount="1" headerRowDxfId="311" dataDxfId="309" headerRowBorderDxfId="310" tableBorderDxfId="308" totalsRowBorderDxfId="307">
  <autoFilter ref="A54:N68" xr:uid="{00000000-0009-0000-0100-00000C000000}"/>
  <tableColumns count="14">
    <tableColumn id="1" xr3:uid="{00000000-0010-0000-0100-000001000000}" name="Дата" totalsRowLabel="Итог" dataDxfId="306" totalsRowDxfId="199"/>
    <tableColumn id="2" xr3:uid="{00000000-0010-0000-0100-000002000000}" name="Волхонка АО &quot;Невский экологический оператор&quot;" totalsRowFunction="custom" dataDxfId="305" totalsRowDxfId="198">
      <calculatedColumnFormula array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calculatedColumnFormula>
      <totalsRowFormula>SUMIF(ВвозПолигонТБО[Волхонка АО "Невский экологический оператор"],"&lt;&gt;#Н/Д",ВвозПолигонТБО[Волхонка АО "Невский экологический оператор"])</totalsRowFormula>
    </tableColumn>
    <tableColumn id="3" xr3:uid="{00000000-0010-0000-0100-000003000000}" name="Грузовой АО &quot;Автопарк №1 Спецтранс&quot;" totalsRowFunction="custom" dataDxfId="304" totalsRowDxfId="197">
      <calculatedColumnFormula array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calculatedColumnFormula>
      <totalsRowFormula>SUMIF(ВвозПолигонТБО[Грузовой АО "Автопарк №1 Спецтранс"],"&lt;&gt;#Н/Д",ВвозПолигонТБО[Грузовой АО "Автопарк №1 Спецтранс"])</totalsRowFormula>
    </tableColumn>
    <tableColumn id="4" xr3:uid="{00000000-0010-0000-0100-000004000000}" name="ООО &quot;ТЭК&quot;" totalsRowFunction="custom" dataDxfId="303" totalsRowDxfId="196">
      <calculatedColumnFormula array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calculatedColumnFormula>
      <totalsRowFormula>SUMIF(ВвозПолигонТБО[ООО "ТЭК"],"&lt;&gt;#Н/Д",ВвозПолигонТБО[ООО "ТЭК"])</totalsRowFormula>
    </tableColumn>
    <tableColumn id="5" xr3:uid="{00000000-0010-0000-0100-000005000000}" name="ООО &quot;Эко Лэнд&quot;" totalsRowFunction="custom" dataDxfId="302" totalsRowDxfId="195">
      <calculatedColumnFormula array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calculatedColumnFormula>
      <totalsRowFormula>SUMIF(ВвозПолигонТБО[ООО "Эко Лэнд"],"&lt;&gt;#Н/Д",ВвозПолигонТБО[ООО "Эко Лэнд"])</totalsRowFormula>
    </tableColumn>
    <tableColumn id="6" xr3:uid="{00000000-0010-0000-0100-000006000000}" name="Парнас ООО &quot;Эковаст&quot;" totalsRowFunction="custom" dataDxfId="301" totalsRowDxfId="194">
      <calculatedColumnFormula array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calculatedColumnFormula>
      <totalsRowFormula>SUMIF(ВвозПолигонТБО[Парнас ООО "Эковаст"],"&lt;&gt;#Н/Д",ВвозПолигонТБО[Парнас ООО "Эковаст"])</totalsRowFormula>
    </tableColumn>
    <tableColumn id="7" xr3:uid="{00000000-0010-0000-0100-000007000000}" name="Предпортовый ООО &quot;Новый Свет.ЭКО&quot;" totalsRowFunction="custom" dataDxfId="300" totalsRowDxfId="193">
      <calculatedColumnFormula array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calculatedColumnFormula>
      <totalsRowFormula>SUMIF(ВвозПолигонТБО[Предпортовый ООО "Новый Свет.ЭКО"],"&lt;&gt;#Н/Д",ВвозПолигонТБО[Предпортовый ООО "Новый Свет.ЭКО"])</totalsRowFormula>
    </tableColumn>
    <tableColumn id="8" xr3:uid="{00000000-0010-0000-0100-000008000000}" name="Рыбацкое ООО &quot;Эковаст&quot;" totalsRowFunction="custom" dataDxfId="299" totalsRowDxfId="192">
      <calculatedColumnFormula array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calculatedColumnFormula>
      <totalsRowFormula>SUMIF(ВвозПолигонТБО[Рыбацкое ООО "Эковаст"],"&lt;&gt;#Н/Д",ВвозПолигонТБО[Рыбацкое ООО "Эковаст"])</totalsRowFormula>
    </tableColumn>
    <tableColumn id="9" xr3:uid="{00000000-0010-0000-0100-000009000000}" name="Софийская ООО &quot;Эковаст&quot;" totalsRowFunction="custom" dataDxfId="298" totalsRowDxfId="191">
      <calculatedColumnFormula array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calculatedColumnFormula>
      <totalsRowFormula>SUMIF(ВвозПолигонТБО[Софийская ООО "Эковаст"],"&lt;&gt;#Н/Д",ВвозПолигонТБО[Софийская ООО "Эковаст"])</totalsRowFormula>
    </tableColumn>
    <tableColumn id="10" xr3:uid="{00000000-0010-0000-0100-00000A000000}" name="Старообрядческая ООО &quot;Новый Свет-ЭКО&quot;" totalsRowFunction="custom" dataDxfId="297" totalsRowDxfId="190">
      <calculatedColumnFormula array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calculatedColumnFormula>
      <totalsRowFormula>SUMIF(ВвозПолигонТБО[Старообрядческая ООО "Новый Свет-ЭКО"],"&lt;&gt;#Н/Д",ВвозПолигонТБО[Старообрядческая ООО "Новый Свет-ЭКО"])</totalsRowFormula>
    </tableColumn>
    <tableColumn id="11" xr3:uid="{00000000-0010-0000-0100-00000B000000}" name="Уманский ООО &quot;ПСК &quot;Ржевка&quot;" totalsRowFunction="custom" dataDxfId="296" totalsRowDxfId="189">
      <calculatedColumnFormula array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calculatedColumnFormula>
      <totalsRowFormula>SUMIF(ВвозПолигонТБО[Уманский ООО "ПСК "Ржевка"],"&lt;&gt;#Н/Д",ВвозПолигонТБО[Уманский ООО "ПСК "Ржевка"])</totalsRowFormula>
    </tableColumn>
    <tableColumn id="12" xr3:uid="{00000000-0010-0000-0100-00000C000000}" name="Уткина заводь ООО &quot;Гамма&quot;" totalsRowFunction="custom" dataDxfId="295" totalsRowDxfId="188">
      <calculatedColumnFormula array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calculatedColumnFormula>
      <totalsRowFormula>SUMIF(ВвозПолигонТБО[Уткина заводь ООО "Гамма"],"&lt;&gt;#Н/Д",ВвозПолигонТБО[Уткина заводь ООО "Гамма"])</totalsRowFormula>
    </tableColumn>
    <tableColumn id="14" xr3:uid="{00000000-0010-0000-0100-00000E000000}" name="Прямой вывоз" totalsRowFunction="custom" dataDxfId="294" totalsRowDxfId="187">
      <calculatedColumnFormula array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calculatedColumnFormula>
      <totalsRowFormula>SUMIF(ВвозПолигонТБО[Прямой вывоз],"&lt;&gt;#Н/Д",ВвозПолигонТБО[Прямой вывоз])</totalsRowFormula>
    </tableColumn>
    <tableColumn id="13" xr3:uid="{00000000-0010-0000-0100-00000D000000}" name="Итого" totalsRowFunction="sum" dataDxfId="293" totalsRowDxfId="186">
      <calculatedColumnFormula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ВвозАвтоБеркут" displayName="ВвозАвтоБеркут" ref="A106:N121" totalsRowCount="1" headerRowDxfId="292" dataDxfId="290" headerRowBorderDxfId="291" tableBorderDxfId="289" totalsRowBorderDxfId="288">
  <autoFilter ref="A106:N120" xr:uid="{00000000-0009-0000-0100-00000F000000}"/>
  <tableColumns count="14">
    <tableColumn id="1" xr3:uid="{00000000-0010-0000-0200-000001000000}" name="Дата" totalsRowLabel="Итог" dataDxfId="287" totalsRowDxfId="185"/>
    <tableColumn id="2" xr3:uid="{00000000-0010-0000-0200-000002000000}" name="Волхонка АО &quot;Невский экологический оператор&quot;" totalsRowFunction="custom" dataDxfId="286" totalsRowDxfId="184">
      <calculatedColumnFormula array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calculatedColumnFormula>
      <totalsRowFormula>SUMIF(ВвозАвтоБеркут[Волхонка АО "Невский экологический оператор"],"&lt;&gt;#Н/Д",ВвозАвтоБеркут[Волхонка АО "Невский экологический оператор"])</totalsRowFormula>
    </tableColumn>
    <tableColumn id="3" xr3:uid="{00000000-0010-0000-0200-000003000000}" name="Грузовой АО &quot;Автопарк №1 Спецтранс&quot;" totalsRowFunction="custom" dataDxfId="285" totalsRowDxfId="183">
      <calculatedColumnFormula array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calculatedColumnFormula>
      <totalsRowFormula>SUMIF(ВвозАвтоБеркут[Грузовой АО "Автопарк №1 Спецтранс"],"&lt;&gt;#Н/Д",ВвозАвтоБеркут[Грузовой АО "Автопарк №1 Спецтранс"])</totalsRowFormula>
    </tableColumn>
    <tableColumn id="4" xr3:uid="{00000000-0010-0000-0200-000004000000}" name="ООО &quot;ТЭК&quot;" totalsRowFunction="custom" dataDxfId="284" totalsRowDxfId="182">
      <calculatedColumnFormula array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calculatedColumnFormula>
      <totalsRowFormula>SUMIF(ВвозАвтоБеркут[ООО "ТЭК"],"&lt;&gt;#Н/Д",ВвозАвтоБеркут[ООО "ТЭК"])</totalsRowFormula>
    </tableColumn>
    <tableColumn id="5" xr3:uid="{00000000-0010-0000-0200-000005000000}" name="ООО &quot;Эко Лэнд&quot;" totalsRowFunction="custom" dataDxfId="283" totalsRowDxfId="181">
      <calculatedColumnFormula array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calculatedColumnFormula>
      <totalsRowFormula>SUMIF(ВвозАвтоБеркут[ООО "Эко Лэнд"],"&lt;&gt;#Н/Д",ВвозАвтоБеркут[ООО "Эко Лэнд"])</totalsRowFormula>
    </tableColumn>
    <tableColumn id="6" xr3:uid="{00000000-0010-0000-0200-000006000000}" name="Парнас ООО &quot;Эковаст&quot;" totalsRowFunction="custom" dataDxfId="282" totalsRowDxfId="180">
      <calculatedColumnFormula array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calculatedColumnFormula>
      <totalsRowFormula>SUMIF(ВвозАвтоБеркут[Парнас ООО "Эковаст"],"&lt;&gt;#Н/Д",ВвозАвтоБеркут[Парнас ООО "Эковаст"])</totalsRowFormula>
    </tableColumn>
    <tableColumn id="7" xr3:uid="{00000000-0010-0000-0200-000007000000}" name="Предпортовый ООО &quot;Новый Свет.ЭКО&quot;" totalsRowFunction="custom" dataDxfId="281" totalsRowDxfId="179">
      <calculatedColumnFormula array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calculatedColumnFormula>
      <totalsRowFormula>SUMIF(ВвозАвтоБеркут[Предпортовый ООО "Новый Свет.ЭКО"],"&lt;&gt;#Н/Д",ВвозАвтоБеркут[Предпортовый ООО "Новый Свет.ЭКО"])</totalsRowFormula>
    </tableColumn>
    <tableColumn id="8" xr3:uid="{00000000-0010-0000-0200-000008000000}" name="Рыбацкое ООО &quot;Эковаст&quot;" totalsRowFunction="custom" dataDxfId="280" totalsRowDxfId="178">
      <calculatedColumnFormula array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calculatedColumnFormula>
      <totalsRowFormula>SUMIF(ВвозАвтоБеркут[Рыбацкое ООО "Эковаст"],"&lt;&gt;#Н/Д",ВвозАвтоБеркут[Рыбацкое ООО "Эковаст"])</totalsRowFormula>
    </tableColumn>
    <tableColumn id="9" xr3:uid="{00000000-0010-0000-0200-000009000000}" name="Софийская ООО &quot;Эковаст&quot;" totalsRowFunction="custom" dataDxfId="279" totalsRowDxfId="177">
      <calculatedColumnFormula array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calculatedColumnFormula>
      <totalsRowFormula>SUMIF(ВвозАвтоБеркут[Софийская ООО "Эковаст"],"&lt;&gt;#Н/Д",ВвозАвтоБеркут[Софийская ООО "Эковаст"])</totalsRowFormula>
    </tableColumn>
    <tableColumn id="10" xr3:uid="{00000000-0010-0000-0200-00000A000000}" name="Старообрядческая ООО &quot;Новый Свет-ЭКО&quot;" totalsRowFunction="custom" dataDxfId="278" totalsRowDxfId="176">
      <calculatedColumnFormula array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calculatedColumnFormula>
      <totalsRowFormula>SUMIF(ВвозАвтоБеркут[Старообрядческая ООО "Новый Свет-ЭКО"],"&lt;&gt;#Н/Д",ВвозАвтоБеркут[Старообрядческая ООО "Новый Свет-ЭКО"])</totalsRowFormula>
    </tableColumn>
    <tableColumn id="11" xr3:uid="{00000000-0010-0000-0200-00000B000000}" name="Уманский ООО &quot;ПСК &quot;Ржевка&quot;" totalsRowFunction="custom" dataDxfId="277" totalsRowDxfId="175">
      <calculatedColumnFormula array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calculatedColumnFormula>
      <totalsRowFormula>SUMIF(ВвозАвтоБеркут[Уманский ООО "ПСК "Ржевка"],"&lt;&gt;#Н/Д",ВвозАвтоБеркут[Уманский ООО "ПСК "Ржевка"])</totalsRowFormula>
    </tableColumn>
    <tableColumn id="12" xr3:uid="{00000000-0010-0000-0200-00000C000000}" name="Уткина заводь ООО &quot;Гамма&quot;" totalsRowFunction="custom" dataDxfId="276" totalsRowDxfId="174">
      <calculatedColumnFormula array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calculatedColumnFormula>
      <totalsRowFormula>SUMIF(ВвозАвтоБеркут[Уткина заводь ООО "Гамма"],"&lt;&gt;#Н/Д",ВвозАвтоБеркут[Уткина заводь ООО "Гамма"])</totalsRowFormula>
    </tableColumn>
    <tableColumn id="14" xr3:uid="{00000000-0010-0000-0200-00000E000000}" name="Прямой вывоз" totalsRowFunction="custom" dataDxfId="275" totalsRowDxfId="173">
      <calculatedColumnFormula array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calculatedColumnFormula>
      <totalsRowFormula>SUMIF(ВвозАвтоБеркут[Прямой вывоз],"&lt;&gt;#Н/Д",ВвозАвтоБеркут[Прямой вывоз])</totalsRowFormula>
    </tableColumn>
    <tableColumn id="13" xr3:uid="{00000000-0010-0000-0200-00000D000000}" name="Итого" totalsRowFunction="sum" dataDxfId="274" totalsRowDxfId="172">
      <calculatedColumnFormula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ВвозЭкоПлант" displayName="ВвозЭкоПлант" ref="A158:N173" totalsRowCount="1" headerRowDxfId="273" dataDxfId="271" headerRowBorderDxfId="272" tableBorderDxfId="270" totalsRowBorderDxfId="269">
  <autoFilter ref="A158:N172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300-000001000000}" name="Дата" totalsRowLabel="Итог" dataDxfId="268" totalsRowDxfId="171"/>
    <tableColumn id="2" xr3:uid="{00000000-0010-0000-0300-000002000000}" name="Волхонка АО &quot;Невский экологический оператор&quot;" totalsRowFunction="custom" dataDxfId="267" totalsRowDxfId="170">
      <calculatedColumnFormula array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calculatedColumnFormula>
      <totalsRowFormula>SUMIF(ВвозЭкоПлант[Волхонка АО "Невский экологический оператор"],"&lt;&gt;#Н/Д",ВвозЭкоПлант[Волхонка АО "Невский экологический оператор"])</totalsRowFormula>
    </tableColumn>
    <tableColumn id="3" xr3:uid="{00000000-0010-0000-0300-000003000000}" name="Грузовой АО &quot;Автопарк №1 Спецтранс&quot;" totalsRowFunction="custom" dataDxfId="266" totalsRowDxfId="169">
      <calculatedColumnFormula array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calculatedColumnFormula>
      <totalsRowFormula>SUMIF(ВвозЭкоПлант[Грузовой АО "Автопарк №1 Спецтранс"],"&lt;&gt;#Н/Д",ВвозЭкоПлант[Грузовой АО "Автопарк №1 Спецтранс"])</totalsRowFormula>
    </tableColumn>
    <tableColumn id="4" xr3:uid="{00000000-0010-0000-0300-000004000000}" name="ООО &quot;ТЭК&quot;" totalsRowFunction="custom" dataDxfId="265" totalsRowDxfId="168">
      <calculatedColumnFormula array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calculatedColumnFormula>
      <totalsRowFormula>SUMIF(ВвозЭкоПлант[ООО "ТЭК"],"&lt;&gt;#Н/Д",ВвозЭкоПлант[ООО "ТЭК"])</totalsRowFormula>
    </tableColumn>
    <tableColumn id="5" xr3:uid="{00000000-0010-0000-0300-000005000000}" name="ООО &quot;Эко Лэнд&quot;" totalsRowFunction="custom" dataDxfId="264" totalsRowDxfId="167">
      <calculatedColumnFormula array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calculatedColumnFormula>
      <totalsRowFormula>SUMIF(ВвозЭкоПлант[ООО "Эко Лэнд"],"&lt;&gt;#Н/Д",ВвозЭкоПлант[ООО "Эко Лэнд"])</totalsRowFormula>
    </tableColumn>
    <tableColumn id="6" xr3:uid="{00000000-0010-0000-0300-000006000000}" name="Парнас ООО &quot;Эковаст&quot;" totalsRowFunction="custom" dataDxfId="263" totalsRowDxfId="166">
      <calculatedColumnFormula array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calculatedColumnFormula>
      <totalsRowFormula>SUMIF(ВвозЭкоПлант[Парнас ООО "Эковаст"],"&lt;&gt;#Н/Д",ВвозЭкоПлант[Парнас ООО "Эковаст"])</totalsRowFormula>
    </tableColumn>
    <tableColumn id="7" xr3:uid="{00000000-0010-0000-0300-000007000000}" name="Предпортовый ООО &quot;Новый Свет.ЭКО&quot;" totalsRowFunction="custom" dataDxfId="262" totalsRowDxfId="165">
      <calculatedColumnFormula array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calculatedColumnFormula>
      <totalsRowFormula>SUMIF(ВвозЭкоПлант[Предпортовый ООО "Новый Свет.ЭКО"],"&lt;&gt;#Н/Д",ВвозЭкоПлант[Предпортовый ООО "Новый Свет.ЭКО"])</totalsRowFormula>
    </tableColumn>
    <tableColumn id="8" xr3:uid="{00000000-0010-0000-0300-000008000000}" name="Рыбацкое ООО &quot;Эковаст&quot;" totalsRowFunction="custom" dataDxfId="261" totalsRowDxfId="164">
      <calculatedColumnFormula array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calculatedColumnFormula>
      <totalsRowFormula>SUMIF(ВвозЭкоПлант[Рыбацкое ООО "Эковаст"],"&lt;&gt;#Н/Д",ВвозЭкоПлант[Рыбацкое ООО "Эковаст"])</totalsRowFormula>
    </tableColumn>
    <tableColumn id="9" xr3:uid="{00000000-0010-0000-0300-000009000000}" name="Софийская ООО &quot;Эковаст&quot;" totalsRowFunction="custom" dataDxfId="260" totalsRowDxfId="163">
      <calculatedColumnFormula array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calculatedColumnFormula>
      <totalsRowFormula>SUMIF(ВвозЭкоПлант[Софийская ООО "Эковаст"],"&lt;&gt;#Н/Д",ВвозЭкоПлант[Софийская ООО "Эковаст"])</totalsRowFormula>
    </tableColumn>
    <tableColumn id="10" xr3:uid="{00000000-0010-0000-0300-00000A000000}" name="Старообрядческая ООО &quot;Новый Свет-ЭКО&quot;" totalsRowFunction="custom" dataDxfId="259" totalsRowDxfId="162">
      <calculatedColumnFormula array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calculatedColumnFormula>
      <totalsRowFormula>SUMIF(ВвозЭкоПлант[Старообрядческая ООО "Новый Свет-ЭКО"],"&lt;&gt;#Н/Д",ВвозЭкоПлант[Старообрядческая ООО "Новый Свет-ЭКО"])</totalsRowFormula>
    </tableColumn>
    <tableColumn id="11" xr3:uid="{00000000-0010-0000-0300-00000B000000}" name="Уманский ООО &quot;ПСК &quot;Ржевка&quot;" totalsRowFunction="custom" dataDxfId="258" totalsRowDxfId="161">
      <calculatedColumnFormula array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calculatedColumnFormula>
      <totalsRowFormula>SUMIF(ВвозЭкоПлант[Уманский ООО "ПСК "Ржевка"],"&lt;&gt;#Н/Д",ВвозЭкоПлант[Уманский ООО "ПСК "Ржевка"])</totalsRowFormula>
    </tableColumn>
    <tableColumn id="12" xr3:uid="{00000000-0010-0000-0300-00000C000000}" name="Уткина заводь ООО &quot;Гамма&quot;" totalsRowFunction="custom" dataDxfId="257" totalsRowDxfId="160">
      <calculatedColumnFormula array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calculatedColumnFormula>
      <totalsRowFormula>SUMIF(ВвозЭкоПлант[Уткина заводь ООО "Гамма"],"&lt;&gt;#Н/Д",ВвозЭкоПлант[Уткина заводь ООО "Гамма"])</totalsRowFormula>
    </tableColumn>
    <tableColumn id="14" xr3:uid="{00000000-0010-0000-0300-00000E000000}" name="Прямой вывоз" totalsRowFunction="custom" dataDxfId="256" totalsRowDxfId="159">
      <calculatedColumnFormula array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calculatedColumnFormula>
      <totalsRowFormula>SUMIF(ВвозЭкоПлант[Прямой вывоз],"&lt;&gt;#Н/Д",ВвозЭкоПлант[Прямой вывоз])</totalsRowFormula>
    </tableColumn>
    <tableColumn id="13" xr3:uid="{00000000-0010-0000-0300-00000D000000}" name="Итого" totalsRowFunction="sum" dataDxfId="255" totalsRowDxfId="158">
      <calculatedColumnFormula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ВвозУКЛО" displayName="ВвозУКЛО" ref="A210:N225" totalsRowCount="1" headerRowDxfId="254" dataDxfId="252" headerRowBorderDxfId="253" tableBorderDxfId="251" totalsRowBorderDxfId="250">
  <autoFilter ref="A210:N224" xr:uid="{00000000-0009-0000-0100-00000E000000}"/>
  <tableColumns count="14">
    <tableColumn id="1" xr3:uid="{00000000-0010-0000-0400-000001000000}" name="Дата" totalsRowLabel="Итог" dataDxfId="249" totalsRowDxfId="13"/>
    <tableColumn id="2" xr3:uid="{00000000-0010-0000-0400-000002000000}" name="Волхонка АО &quot;Невский экологический оператор&quot;" totalsRowFunction="custom" dataDxfId="248" totalsRowDxfId="12">
      <totalsRowFormula>SUMIF(ВвозУКЛО[Волхонка АО "Невский экологический оператор"],"&lt;&gt;#Н/Д",ВвозУКЛО[Волхонка АО "Невский экологический оператор"])</totalsRowFormula>
    </tableColumn>
    <tableColumn id="3" xr3:uid="{00000000-0010-0000-0400-000003000000}" name="Грузовой АО &quot;Автопарк №1 Спецтранс&quot;" totalsRowFunction="custom" dataDxfId="247" totalsRowDxfId="11">
      <totalsRowFormula>SUMIF(ВвозУКЛО[Грузовой АО "Автопарк №1 Спецтранс"],"&lt;&gt;#Н/Д",ВвозУКЛО[Грузовой АО "Автопарк №1 Спецтранс"])</totalsRowFormula>
    </tableColumn>
    <tableColumn id="4" xr3:uid="{00000000-0010-0000-0400-000004000000}" name="ООО &quot;ТЭК&quot;" totalsRowFunction="custom" dataDxfId="246" totalsRowDxfId="10">
      <totalsRowFormula>SUMIF(ВвозУКЛО[ООО "ТЭК"],"&lt;&gt;#Н/Д",ВвозУКЛО[ООО "ТЭК"])</totalsRowFormula>
    </tableColumn>
    <tableColumn id="5" xr3:uid="{00000000-0010-0000-0400-000005000000}" name="ООО &quot;Эко Лэнд&quot;" totalsRowFunction="custom" dataDxfId="245" totalsRowDxfId="9">
      <totalsRowFormula>SUMIF(ВвозУКЛО[ООО "Эко Лэнд"],"&lt;&gt;#Н/Д",ВвозУКЛО[ООО "Эко Лэнд"])</totalsRowFormula>
    </tableColumn>
    <tableColumn id="6" xr3:uid="{00000000-0010-0000-0400-000006000000}" name="Парнас ООО &quot;Эковаст&quot;" totalsRowFunction="custom" dataDxfId="244" totalsRowDxfId="8">
      <totalsRowFormula>SUMIF(ВвозУКЛО[Парнас ООО "Эковаст"],"&lt;&gt;#Н/Д",ВвозУКЛО[Парнас ООО "Эковаст"])</totalsRowFormula>
    </tableColumn>
    <tableColumn id="7" xr3:uid="{00000000-0010-0000-0400-000007000000}" name="Предпортовый ООО &quot;Новый Свет.ЭКО&quot;" totalsRowFunction="custom" dataDxfId="243" totalsRowDxfId="7">
      <totalsRowFormula>SUMIF(ВвозУКЛО[Предпортовый ООО "Новый Свет.ЭКО"],"&lt;&gt;#Н/Д",ВвозУКЛО[Предпортовый ООО "Новый Свет.ЭКО"])</totalsRowFormula>
    </tableColumn>
    <tableColumn id="8" xr3:uid="{00000000-0010-0000-0400-000008000000}" name="Рыбацкое ООО &quot;Эковаст&quot;" totalsRowFunction="custom" dataDxfId="242" totalsRowDxfId="6">
      <totalsRowFormula>SUMIF(ВвозУКЛО[Рыбацкое ООО "Эковаст"],"&lt;&gt;#Н/Д",ВвозУКЛО[Рыбацкое ООО "Эковаст"])</totalsRowFormula>
    </tableColumn>
    <tableColumn id="9" xr3:uid="{00000000-0010-0000-0400-000009000000}" name="Софийская ООО &quot;Эковаст&quot;" totalsRowFunction="custom" dataDxfId="241" totalsRowDxfId="5">
      <totalsRowFormula>SUMIF(ВвозУКЛО[Софийская ООО "Эковаст"],"&lt;&gt;#Н/Д",ВвозУКЛО[Софийская ООО "Эковаст"])</totalsRowFormula>
    </tableColumn>
    <tableColumn id="10" xr3:uid="{00000000-0010-0000-0400-00000A000000}" name="Старообрядческая ООО &quot;Новый Свет-ЭКО&quot;" totalsRowFunction="custom" dataDxfId="240" totalsRowDxfId="4">
      <totalsRowFormula>SUMIF(ВвозУКЛО[Старообрядческая ООО "Новый Свет-ЭКО"],"&lt;&gt;#Н/Д",ВвозУКЛО[Старообрядческая ООО "Новый Свет-ЭКО"])</totalsRowFormula>
    </tableColumn>
    <tableColumn id="11" xr3:uid="{00000000-0010-0000-0400-00000B000000}" name="Уманский ООО &quot;ПСК &quot;Ржевка&quot;" totalsRowFunction="custom" dataDxfId="239" totalsRowDxfId="3">
      <totalsRowFormula>SUMIF(ВвозУКЛО[Уманский ООО "ПСК "Ржевка"],"&lt;&gt;#Н/Д",ВвозУКЛО[Уманский ООО "ПСК "Ржевка"])</totalsRowFormula>
    </tableColumn>
    <tableColumn id="12" xr3:uid="{00000000-0010-0000-0400-00000C000000}" name="Уткина заводь ООО &quot;Гамма&quot;" totalsRowFunction="custom" dataDxfId="238" totalsRowDxfId="2">
      <totalsRowFormula>SUMIF(ВвозУКЛО[Уткина заводь ООО "Гамма"],"&lt;&gt;#Н/Д",ВвозУКЛО[Уткина заводь ООО "Гамма"])</totalsRowFormula>
    </tableColumn>
    <tableColumn id="14" xr3:uid="{00000000-0010-0000-0400-00000E000000}" name="Прямой вывоз" totalsRowFunction="custom" dataDxfId="237" totalsRowDxfId="1">
      <totalsRowFormula>SUMIF(ВвозУКЛО[Прямой вывоз],"&lt;&gt;#Н/Д",ВвозУКЛО[Прямой вывоз])</totalsRowFormula>
    </tableColumn>
    <tableColumn id="13" xr3:uid="{00000000-0010-0000-0400-00000D000000}" name="Итого" totalsRowFunction="sum" dataDxfId="236" totalsRowDxfId="0">
      <calculatedColumnFormula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objects" displayName="objects" ref="F1:G67" totalsRowShown="0" headerRowDxfId="235" dataDxfId="233" headerRowBorderDxfId="234" tableBorderDxfId="232" totalsRowBorderDxfId="231">
  <tableColumns count="2">
    <tableColumn id="1" xr3:uid="{00000000-0010-0000-0500-000001000000}" name="Правильное наименование" dataDxfId="230"/>
    <tableColumn id="2" xr3:uid="{00000000-0010-0000-0500-000002000000}" name="Наименование перевозчиков" dataDxfId="2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itles" displayName="titles" ref="A1:C7" totalsRowShown="0" headerRowDxfId="228" dataDxfId="226" headerRowBorderDxfId="227" tableBorderDxfId="225" totalsRowBorderDxfId="224">
  <autoFilter ref="A1:C7" xr:uid="{00000000-0009-0000-0100-000003000000}"/>
  <tableColumns count="3">
    <tableColumn id="1" xr3:uid="{00000000-0010-0000-0600-000001000000}" name="Полигон" dataDxfId="223"/>
    <tableColumn id="2" xr3:uid="{00000000-0010-0000-0600-000002000000}" name="Вес на погрузке" dataDxfId="222"/>
    <tableColumn id="3" xr3:uid="{00000000-0010-0000-0600-000003000000}" name="Вес на полигоне" dataDxfId="221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ObjectsList" displayName="ObjectsList" ref="J1:J12" totalsRowShown="0" headerRowDxfId="220" dataDxfId="219">
  <autoFilter ref="J1:J12" xr:uid="{00000000-0009-0000-0100-000002000000}"/>
  <tableColumns count="1">
    <tableColumn id="1" xr3:uid="{00000000-0010-0000-0700-000001000000}" name="Объекты" dataDxfId="218"/>
  </tableColumns>
  <tableStyleInfo name="TableStyleLight1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LandfillsList" displayName="LandfillsList" ref="L1:M6" totalsRowShown="0" headerRowDxfId="217" dataDxfId="216">
  <autoFilter ref="L1:M6" xr:uid="{00000000-0009-0000-0100-000004000000}"/>
  <tableColumns count="2">
    <tableColumn id="1" xr3:uid="{00000000-0010-0000-0800-000001000000}" name="Полигоны" dataDxfId="215"/>
    <tableColumn id="2" xr3:uid="{00000000-0010-0000-0800-000002000000}" name="Для графиков" dataDxfId="21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Воздушный поток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407"/>
  <sheetViews>
    <sheetView showGridLines="0" zoomScaleNormal="100" workbookViewId="0">
      <selection activeCell="B390" sqref="B390"/>
    </sheetView>
  </sheetViews>
  <sheetFormatPr defaultRowHeight="15" outlineLevelRow="1" x14ac:dyDescent="0.25"/>
  <cols>
    <col min="1" max="1" width="28.42578125" bestFit="1" customWidth="1"/>
    <col min="2" max="2" width="27.5703125" customWidth="1"/>
    <col min="3" max="3" width="23.85546875" bestFit="1" customWidth="1"/>
    <col min="4" max="4" width="24.7109375" bestFit="1" customWidth="1"/>
    <col min="5" max="5" width="18" bestFit="1" customWidth="1"/>
    <col min="6" max="6" width="23.85546875" bestFit="1" customWidth="1"/>
    <col min="7" max="7" width="24.7109375" bestFit="1" customWidth="1"/>
    <col min="8" max="8" width="18" bestFit="1" customWidth="1"/>
    <col min="9" max="9" width="12.85546875" bestFit="1" customWidth="1"/>
    <col min="10" max="10" width="15" bestFit="1" customWidth="1"/>
    <col min="11" max="11" width="20.28515625" customWidth="1"/>
    <col min="12" max="12" width="11" bestFit="1" customWidth="1"/>
  </cols>
  <sheetData>
    <row r="1" spans="1:12" ht="19.5" thickBot="1" x14ac:dyDescent="0.3">
      <c r="A1" s="28"/>
      <c r="B1" s="18"/>
      <c r="C1" s="142" t="s">
        <v>34</v>
      </c>
      <c r="D1" s="143"/>
      <c r="E1" s="144"/>
      <c r="F1" s="142" t="s">
        <v>35</v>
      </c>
      <c r="G1" s="143"/>
      <c r="H1" s="144"/>
      <c r="I1" s="142" t="s">
        <v>36</v>
      </c>
      <c r="J1" s="143"/>
      <c r="K1" s="144"/>
    </row>
    <row r="2" spans="1:12" ht="24.75" customHeight="1" thickBot="1" x14ac:dyDescent="0.3">
      <c r="A2" s="118" t="s">
        <v>5</v>
      </c>
      <c r="B2" s="118" t="s">
        <v>20</v>
      </c>
      <c r="C2" s="118" t="s">
        <v>11</v>
      </c>
      <c r="D2" s="118" t="s">
        <v>13</v>
      </c>
      <c r="E2" s="118" t="s">
        <v>17</v>
      </c>
      <c r="F2" s="118" t="s">
        <v>12</v>
      </c>
      <c r="G2" s="118" t="s">
        <v>14</v>
      </c>
      <c r="H2" s="118" t="s">
        <v>18</v>
      </c>
      <c r="I2" s="119" t="s">
        <v>15</v>
      </c>
      <c r="J2" s="118" t="s">
        <v>16</v>
      </c>
      <c r="K2" s="120" t="s">
        <v>19</v>
      </c>
    </row>
    <row r="3" spans="1:12" x14ac:dyDescent="0.25">
      <c r="A3" s="29" t="s">
        <v>6</v>
      </c>
      <c r="B3" s="33">
        <f ca="1">IF(TODAY()&lt;45474,C3/(365/2),F3/(365/2))</f>
        <v>2539.254904109589</v>
      </c>
      <c r="C3" s="36">
        <v>463414.02</v>
      </c>
      <c r="D3" s="22">
        <f>C3-E3</f>
        <v>179960.52246622584</v>
      </c>
      <c r="E3" s="23">
        <f>B41+B71+B103+B134+B166+B197</f>
        <v>283453.49753377418</v>
      </c>
      <c r="F3" s="36">
        <v>463414.02</v>
      </c>
      <c r="G3" s="22">
        <f>F3-H3</f>
        <v>463414.02</v>
      </c>
      <c r="H3" s="23">
        <f>B229+B261+B292+B324+B355+B387</f>
        <v>0</v>
      </c>
      <c r="I3" s="30">
        <f>C3+F3</f>
        <v>926828.04</v>
      </c>
      <c r="J3" s="22">
        <f>I3-K3</f>
        <v>643374.5424662258</v>
      </c>
      <c r="K3" s="23">
        <f>E3+H3</f>
        <v>283453.49753377418</v>
      </c>
    </row>
    <row r="4" spans="1:12" x14ac:dyDescent="0.25">
      <c r="A4" s="2" t="s">
        <v>7</v>
      </c>
      <c r="B4" s="34">
        <f t="shared" ref="B4:B7" ca="1" si="0">IF(TODAY()&lt;45474,C4/(365/2),F4/(365/2))</f>
        <v>768.21917808219177</v>
      </c>
      <c r="C4" s="37">
        <v>140200</v>
      </c>
      <c r="D4" s="24">
        <f>C4-E4</f>
        <v>69789.792000000001</v>
      </c>
      <c r="E4" s="25">
        <f>C41+C71+C103+C134+C166+C197</f>
        <v>70410.207999999999</v>
      </c>
      <c r="F4" s="37">
        <v>0</v>
      </c>
      <c r="G4" s="24">
        <f>F4-H4</f>
        <v>0</v>
      </c>
      <c r="H4" s="25">
        <v>0</v>
      </c>
      <c r="I4" s="31">
        <f>C4+F4</f>
        <v>140200</v>
      </c>
      <c r="J4" s="24">
        <f>I4-K4</f>
        <v>69789.792000000001</v>
      </c>
      <c r="K4" s="25">
        <f>E4+H4</f>
        <v>70410.207999999999</v>
      </c>
    </row>
    <row r="5" spans="1:12" x14ac:dyDescent="0.25">
      <c r="A5" s="2" t="s">
        <v>4</v>
      </c>
      <c r="B5" s="34">
        <f t="shared" ca="1" si="0"/>
        <v>273.97260273972603</v>
      </c>
      <c r="C5" s="37">
        <v>50000</v>
      </c>
      <c r="D5" s="24">
        <f>C5-E5</f>
        <v>11529.968000000001</v>
      </c>
      <c r="E5" s="25">
        <f>D41+D71+D103+D134+D166+D197</f>
        <v>38470.031999999999</v>
      </c>
      <c r="F5" s="37">
        <v>100000</v>
      </c>
      <c r="G5" s="24">
        <f>F5-H5</f>
        <v>100000</v>
      </c>
      <c r="H5" s="25">
        <f>D229+D261+D292+D324+D355+D387</f>
        <v>0</v>
      </c>
      <c r="I5" s="31">
        <f>C5+F5</f>
        <v>150000</v>
      </c>
      <c r="J5" s="24">
        <f>I5-K5</f>
        <v>111529.96799999999</v>
      </c>
      <c r="K5" s="25">
        <f>E5+H5</f>
        <v>38470.031999999999</v>
      </c>
    </row>
    <row r="6" spans="1:12" x14ac:dyDescent="0.25">
      <c r="A6" s="2" t="s">
        <v>8</v>
      </c>
      <c r="B6" s="34">
        <f t="shared" ca="1" si="0"/>
        <v>767.72147945205484</v>
      </c>
      <c r="C6" s="37">
        <v>140109.17000000001</v>
      </c>
      <c r="D6" s="24">
        <f>C6-E6</f>
        <v>1183.7050000000163</v>
      </c>
      <c r="E6" s="25">
        <f>E41+E71+E103+E134+E166+E197</f>
        <v>138925.465</v>
      </c>
      <c r="F6" s="37">
        <v>152750</v>
      </c>
      <c r="G6" s="24">
        <f>F6-H6</f>
        <v>152750</v>
      </c>
      <c r="H6" s="25">
        <f>E229+E261+E292+E324+E355+E387</f>
        <v>0</v>
      </c>
      <c r="I6" s="31">
        <f>C6+F6</f>
        <v>292859.17000000004</v>
      </c>
      <c r="J6" s="24">
        <f>I6-K6</f>
        <v>153933.70500000005</v>
      </c>
      <c r="K6" s="25">
        <f>E6+H6</f>
        <v>138925.465</v>
      </c>
    </row>
    <row r="7" spans="1:12" ht="43.5" thickBot="1" x14ac:dyDescent="0.3">
      <c r="A7" s="3" t="s">
        <v>9</v>
      </c>
      <c r="B7" s="35">
        <f t="shared" ca="1" si="0"/>
        <v>0</v>
      </c>
      <c r="C7" s="38">
        <v>0</v>
      </c>
      <c r="D7" s="26">
        <f>C7-E7</f>
        <v>0</v>
      </c>
      <c r="E7" s="27">
        <f>F41+F71+F103+F134+F166+F197</f>
        <v>0</v>
      </c>
      <c r="F7" s="38">
        <v>90035.68</v>
      </c>
      <c r="G7" s="26">
        <f>F7-H7</f>
        <v>90035.68</v>
      </c>
      <c r="H7" s="27">
        <f>F229+F261+F292+F324+F355+F387</f>
        <v>0</v>
      </c>
      <c r="I7" s="32">
        <f>C7+F7</f>
        <v>90035.68</v>
      </c>
      <c r="J7" s="26">
        <f>I7-K7</f>
        <v>90035.68</v>
      </c>
      <c r="K7" s="27">
        <f>E7+H7</f>
        <v>0</v>
      </c>
    </row>
    <row r="8" spans="1:12" ht="15.75" thickBot="1" x14ac:dyDescent="0.3"/>
    <row r="9" spans="1:12" ht="72" thickBot="1" x14ac:dyDescent="0.3">
      <c r="A9" s="15" t="s">
        <v>21</v>
      </c>
      <c r="B9" s="86" t="s">
        <v>6</v>
      </c>
      <c r="C9" s="86" t="s">
        <v>7</v>
      </c>
      <c r="D9" s="86" t="s">
        <v>4</v>
      </c>
      <c r="E9" s="86" t="s">
        <v>8</v>
      </c>
      <c r="F9" s="16" t="s">
        <v>9</v>
      </c>
      <c r="H9" s="122"/>
      <c r="I9" s="122"/>
      <c r="J9" s="122"/>
      <c r="K9" s="122"/>
      <c r="L9" s="122"/>
    </row>
    <row r="10" spans="1:12" ht="15.75" hidden="1" customHeight="1" outlineLevel="1" x14ac:dyDescent="0.25">
      <c r="A10" s="13">
        <v>45292</v>
      </c>
      <c r="B10" s="6">
        <v>2345.2934794520552</v>
      </c>
      <c r="C10" s="6">
        <v>792.06000000000006</v>
      </c>
      <c r="D10" s="6">
        <v>173.61999999999998</v>
      </c>
      <c r="E10" s="6">
        <v>228.42</v>
      </c>
      <c r="F10" s="14">
        <v>0</v>
      </c>
      <c r="H10" s="17">
        <v>2802.7599999999998</v>
      </c>
      <c r="I10" s="17">
        <v>778.8</v>
      </c>
      <c r="J10" s="17">
        <v>173.61999999999998</v>
      </c>
      <c r="K10" s="17">
        <v>228.42</v>
      </c>
      <c r="L10" s="17">
        <v>0</v>
      </c>
    </row>
    <row r="11" spans="1:12" ht="15.75" hidden="1" customHeight="1" outlineLevel="1" x14ac:dyDescent="0.25">
      <c r="A11" s="7">
        <v>45293</v>
      </c>
      <c r="B11" s="6">
        <v>2550.6234794520551</v>
      </c>
      <c r="C11" s="6">
        <v>791.06000000000006</v>
      </c>
      <c r="D11" s="6">
        <v>119.14</v>
      </c>
      <c r="E11" s="6">
        <v>313.76</v>
      </c>
      <c r="F11" s="8">
        <v>0</v>
      </c>
      <c r="H11" s="17">
        <v>3111.68</v>
      </c>
      <c r="I11" s="17">
        <v>791.0200000000001</v>
      </c>
      <c r="J11" s="17">
        <v>119.14</v>
      </c>
      <c r="K11" s="17">
        <v>314.66000000000008</v>
      </c>
      <c r="L11" s="121">
        <v>0</v>
      </c>
    </row>
    <row r="12" spans="1:12" ht="15.75" hidden="1" customHeight="1" outlineLevel="1" x14ac:dyDescent="0.25">
      <c r="A12" s="7">
        <v>45294</v>
      </c>
      <c r="B12" s="6">
        <v>2129.243479452055</v>
      </c>
      <c r="C12" s="6">
        <v>731.7299999999999</v>
      </c>
      <c r="D12" s="6">
        <v>138.64000000000001</v>
      </c>
      <c r="E12" s="6">
        <v>304.76000000000005</v>
      </c>
      <c r="F12" s="8">
        <v>0</v>
      </c>
      <c r="H12" s="17">
        <v>2524.62</v>
      </c>
      <c r="I12" s="17">
        <v>710.34999999999991</v>
      </c>
      <c r="J12" s="17">
        <v>138.64000000000001</v>
      </c>
      <c r="K12" s="17">
        <v>304.76000000000005</v>
      </c>
      <c r="L12" s="17">
        <v>0</v>
      </c>
    </row>
    <row r="13" spans="1:12" ht="15.75" hidden="1" customHeight="1" outlineLevel="1" x14ac:dyDescent="0.25">
      <c r="A13" s="7">
        <v>45295</v>
      </c>
      <c r="B13" s="6">
        <v>2437.3234794520549</v>
      </c>
      <c r="C13" s="6">
        <v>654.86000000000013</v>
      </c>
      <c r="D13" s="6">
        <v>93.4</v>
      </c>
      <c r="E13" s="6">
        <v>352.05999999999995</v>
      </c>
      <c r="F13" s="8">
        <v>0</v>
      </c>
      <c r="H13" s="17">
        <v>2969.38</v>
      </c>
      <c r="I13" s="17">
        <v>656.84</v>
      </c>
      <c r="J13" s="17">
        <v>93.4</v>
      </c>
      <c r="K13" s="17">
        <v>352.05999999999995</v>
      </c>
      <c r="L13" s="17">
        <v>0</v>
      </c>
    </row>
    <row r="14" spans="1:12" ht="15.75" hidden="1" customHeight="1" outlineLevel="1" x14ac:dyDescent="0.25">
      <c r="A14" s="7">
        <v>45296</v>
      </c>
      <c r="B14" s="6">
        <v>2810.7534794520552</v>
      </c>
      <c r="C14" s="6">
        <v>546.15999999999985</v>
      </c>
      <c r="D14" s="6">
        <v>40.72</v>
      </c>
      <c r="E14" s="6">
        <v>468.96000000000004</v>
      </c>
      <c r="F14" s="8">
        <v>0</v>
      </c>
      <c r="H14" s="17">
        <v>3450.34</v>
      </c>
      <c r="I14" s="17">
        <v>546.15999999999985</v>
      </c>
      <c r="J14" s="17">
        <v>40.72</v>
      </c>
      <c r="K14" s="17">
        <v>447.44000000000005</v>
      </c>
      <c r="L14" s="17">
        <v>0</v>
      </c>
    </row>
    <row r="15" spans="1:12" ht="15.75" hidden="1" customHeight="1" outlineLevel="1" x14ac:dyDescent="0.25">
      <c r="A15" s="7">
        <v>45297</v>
      </c>
      <c r="B15" s="6">
        <v>2636.6334794520553</v>
      </c>
      <c r="C15" s="6">
        <v>698.1</v>
      </c>
      <c r="D15" s="6">
        <v>70.339999999999989</v>
      </c>
      <c r="E15" s="6">
        <v>680.04</v>
      </c>
      <c r="F15" s="8">
        <v>0</v>
      </c>
      <c r="H15" s="17">
        <v>3245.5</v>
      </c>
      <c r="I15" s="17">
        <v>680.92000000000007</v>
      </c>
      <c r="J15" s="17">
        <v>70.339999999999989</v>
      </c>
      <c r="K15" s="17">
        <v>680.04</v>
      </c>
      <c r="L15" s="17">
        <v>0</v>
      </c>
    </row>
    <row r="16" spans="1:12" ht="15.75" hidden="1" customHeight="1" outlineLevel="1" x14ac:dyDescent="0.25">
      <c r="A16" s="7">
        <v>45298</v>
      </c>
      <c r="B16" s="6">
        <v>2462.513479452055</v>
      </c>
      <c r="C16" s="6">
        <v>414.9799999999999</v>
      </c>
      <c r="D16" s="6">
        <v>430.17999999999995</v>
      </c>
      <c r="E16" s="6">
        <v>436.86</v>
      </c>
      <c r="F16" s="8">
        <v>0</v>
      </c>
      <c r="H16" s="17">
        <v>2915.08</v>
      </c>
      <c r="I16" s="17">
        <v>386.15999999999997</v>
      </c>
      <c r="J16" s="17">
        <v>430.18000000000006</v>
      </c>
      <c r="K16" s="17">
        <v>436.86</v>
      </c>
      <c r="L16" s="17">
        <v>0</v>
      </c>
    </row>
    <row r="17" spans="1:12" hidden="1" outlineLevel="1" x14ac:dyDescent="0.25">
      <c r="A17" s="7">
        <v>45299</v>
      </c>
      <c r="B17" s="6">
        <v>2530.7334794520548</v>
      </c>
      <c r="C17" s="6">
        <v>591.02999999999986</v>
      </c>
      <c r="D17" s="6">
        <v>449.44000000000005</v>
      </c>
      <c r="E17" s="6">
        <v>444.91999999999996</v>
      </c>
      <c r="F17" s="8">
        <v>0</v>
      </c>
      <c r="H17" s="17">
        <v>3007.28</v>
      </c>
      <c r="I17" s="17">
        <v>576.44999999999982</v>
      </c>
      <c r="J17" s="17">
        <v>450.34</v>
      </c>
      <c r="K17" s="17">
        <v>444.91999999999996</v>
      </c>
      <c r="L17" s="17">
        <v>0</v>
      </c>
    </row>
    <row r="18" spans="1:12" hidden="1" outlineLevel="1" x14ac:dyDescent="0.25">
      <c r="A18" s="7">
        <v>45300</v>
      </c>
      <c r="B18" s="6">
        <v>2922.0034794520552</v>
      </c>
      <c r="C18" s="6">
        <v>561.66000000000008</v>
      </c>
      <c r="D18" s="6">
        <v>514.31999999999994</v>
      </c>
      <c r="E18" s="6">
        <v>500.88000000000005</v>
      </c>
      <c r="F18" s="8">
        <v>0</v>
      </c>
      <c r="H18" s="17">
        <v>3528.7200000000003</v>
      </c>
      <c r="I18" s="17">
        <v>538.46</v>
      </c>
      <c r="J18" s="17">
        <v>514.31999999999994</v>
      </c>
      <c r="K18" s="17">
        <v>503.38000000000005</v>
      </c>
      <c r="L18" s="17">
        <v>0</v>
      </c>
    </row>
    <row r="19" spans="1:12" hidden="1" outlineLevel="1" x14ac:dyDescent="0.25">
      <c r="A19" s="7">
        <v>45301</v>
      </c>
      <c r="B19" s="6">
        <v>2788.4134794520546</v>
      </c>
      <c r="C19" s="6">
        <v>485.84</v>
      </c>
      <c r="D19" s="6">
        <v>443.64</v>
      </c>
      <c r="E19" s="6">
        <v>775.04000000000008</v>
      </c>
      <c r="F19" s="8">
        <v>0</v>
      </c>
      <c r="H19" s="17">
        <v>3485.56</v>
      </c>
      <c r="I19" s="17">
        <v>469.68</v>
      </c>
      <c r="J19" s="17">
        <v>443.64</v>
      </c>
      <c r="K19" s="17">
        <v>775.04000000000008</v>
      </c>
      <c r="L19" s="17">
        <v>0</v>
      </c>
    </row>
    <row r="20" spans="1:12" hidden="1" outlineLevel="1" x14ac:dyDescent="0.25">
      <c r="A20" s="7">
        <v>45302</v>
      </c>
      <c r="B20" s="6">
        <v>2617.9834794520552</v>
      </c>
      <c r="C20" s="6">
        <v>631.11999999999989</v>
      </c>
      <c r="D20" s="6">
        <v>209.64</v>
      </c>
      <c r="E20" s="6">
        <v>697.02000000000021</v>
      </c>
      <c r="F20" s="8">
        <v>0</v>
      </c>
      <c r="H20" s="17">
        <v>3125.7</v>
      </c>
      <c r="I20" s="17">
        <v>587.34</v>
      </c>
      <c r="J20" s="17">
        <v>209.64</v>
      </c>
      <c r="K20" s="17">
        <v>677.22000000000014</v>
      </c>
      <c r="L20" s="17">
        <v>0</v>
      </c>
    </row>
    <row r="21" spans="1:12" hidden="1" outlineLevel="1" x14ac:dyDescent="0.25">
      <c r="A21" s="7">
        <v>45303</v>
      </c>
      <c r="B21" s="6">
        <v>2422.0534794520549</v>
      </c>
      <c r="C21" s="6">
        <v>457.1</v>
      </c>
      <c r="D21" s="6">
        <v>301.91999999999996</v>
      </c>
      <c r="E21" s="6">
        <v>707.94</v>
      </c>
      <c r="F21" s="8">
        <v>0</v>
      </c>
      <c r="H21" s="17">
        <v>2935.3599999999997</v>
      </c>
      <c r="I21" s="17">
        <v>457.30000000000007</v>
      </c>
      <c r="J21" s="17">
        <v>301.91999999999996</v>
      </c>
      <c r="K21" s="17">
        <v>706.74</v>
      </c>
      <c r="L21" s="17">
        <v>0</v>
      </c>
    </row>
    <row r="22" spans="1:12" hidden="1" outlineLevel="1" x14ac:dyDescent="0.25">
      <c r="A22" s="7">
        <v>45304</v>
      </c>
      <c r="B22" s="6">
        <v>2423.8134794520547</v>
      </c>
      <c r="C22" s="6">
        <v>445.45999999999992</v>
      </c>
      <c r="D22" s="6">
        <v>394.24</v>
      </c>
      <c r="E22" s="6">
        <v>605.62</v>
      </c>
      <c r="F22" s="8">
        <v>0</v>
      </c>
      <c r="H22" s="17">
        <v>3088.08</v>
      </c>
      <c r="I22" s="17">
        <v>426.4</v>
      </c>
      <c r="J22" s="17">
        <v>394.24</v>
      </c>
      <c r="K22" s="17">
        <v>605.62</v>
      </c>
      <c r="L22" s="17">
        <v>0</v>
      </c>
    </row>
    <row r="23" spans="1:12" hidden="1" outlineLevel="1" x14ac:dyDescent="0.25">
      <c r="A23" s="7">
        <v>45305</v>
      </c>
      <c r="B23" s="6">
        <v>2297.7934794520552</v>
      </c>
      <c r="C23" s="6">
        <v>267.36</v>
      </c>
      <c r="D23" s="6">
        <v>254.51999999999998</v>
      </c>
      <c r="E23" s="6">
        <v>771</v>
      </c>
      <c r="F23" s="8">
        <v>0</v>
      </c>
      <c r="H23" s="17">
        <v>2719.9</v>
      </c>
      <c r="I23" s="17">
        <v>283.06</v>
      </c>
      <c r="J23" s="17">
        <v>254.51999999999998</v>
      </c>
      <c r="K23" s="17">
        <v>737.61999999999989</v>
      </c>
      <c r="L23" s="17">
        <v>0</v>
      </c>
    </row>
    <row r="24" spans="1:12" hidden="1" outlineLevel="1" x14ac:dyDescent="0.25">
      <c r="A24" s="7">
        <v>45306</v>
      </c>
      <c r="B24" s="6">
        <v>2462.5534794520549</v>
      </c>
      <c r="C24" s="6">
        <v>536.69999999999993</v>
      </c>
      <c r="D24" s="6">
        <v>549.78</v>
      </c>
      <c r="E24" s="6">
        <v>436.71</v>
      </c>
      <c r="F24" s="8">
        <v>0</v>
      </c>
      <c r="G24" s="123"/>
      <c r="H24" s="17">
        <v>2962.62</v>
      </c>
      <c r="I24" s="17">
        <v>539.1</v>
      </c>
      <c r="J24" s="17">
        <v>549.78</v>
      </c>
      <c r="K24" s="17">
        <v>436.71</v>
      </c>
      <c r="L24" s="17">
        <v>0</v>
      </c>
    </row>
    <row r="25" spans="1:12" hidden="1" outlineLevel="1" x14ac:dyDescent="0.25">
      <c r="A25" s="7">
        <v>45307</v>
      </c>
      <c r="B25" s="6">
        <v>2242.8034794520549</v>
      </c>
      <c r="C25" s="6">
        <v>399.53999999999996</v>
      </c>
      <c r="D25" s="6">
        <v>151.72</v>
      </c>
      <c r="E25" s="6">
        <v>883.00000000000011</v>
      </c>
      <c r="F25" s="8">
        <v>0</v>
      </c>
      <c r="H25" s="17">
        <v>2702.1800000000007</v>
      </c>
      <c r="I25" s="17">
        <v>412.4</v>
      </c>
      <c r="J25" s="17">
        <v>151.72</v>
      </c>
      <c r="K25" s="17">
        <v>857.32000000000016</v>
      </c>
      <c r="L25" s="17">
        <v>0</v>
      </c>
    </row>
    <row r="26" spans="1:12" hidden="1" outlineLevel="1" x14ac:dyDescent="0.25">
      <c r="A26" s="7">
        <v>45308</v>
      </c>
      <c r="B26" s="6">
        <v>2634.3734794520547</v>
      </c>
      <c r="C26" s="6">
        <v>362.77999999999992</v>
      </c>
      <c r="D26" s="6">
        <v>296.40000000000003</v>
      </c>
      <c r="E26" s="6">
        <v>894.83999999999992</v>
      </c>
      <c r="F26" s="8">
        <v>0</v>
      </c>
      <c r="H26" s="17">
        <v>3218.12</v>
      </c>
      <c r="I26" s="17">
        <v>349.77999999999992</v>
      </c>
      <c r="J26" s="17">
        <v>296.40000000000003</v>
      </c>
      <c r="K26" s="17">
        <v>907.81999999999994</v>
      </c>
      <c r="L26" s="17">
        <v>0</v>
      </c>
    </row>
    <row r="27" spans="1:12" hidden="1" outlineLevel="1" x14ac:dyDescent="0.25">
      <c r="A27" s="7">
        <v>45309</v>
      </c>
      <c r="B27" s="6">
        <v>2494.4734794520555</v>
      </c>
      <c r="C27" s="6">
        <v>530.87000000000012</v>
      </c>
      <c r="D27" s="6">
        <v>397.75999999999988</v>
      </c>
      <c r="E27" s="6">
        <v>900.72</v>
      </c>
      <c r="F27" s="8">
        <v>0</v>
      </c>
      <c r="H27" s="17">
        <v>3034.3479452054803</v>
      </c>
      <c r="I27" s="17">
        <v>483.17000000000007</v>
      </c>
      <c r="J27" s="17">
        <v>397.75999999999988</v>
      </c>
      <c r="K27" s="17">
        <v>922.83999999999992</v>
      </c>
      <c r="L27" s="17">
        <v>0</v>
      </c>
    </row>
    <row r="28" spans="1:12" hidden="1" outlineLevel="1" x14ac:dyDescent="0.25">
      <c r="A28" s="7">
        <v>45310</v>
      </c>
      <c r="B28" s="6">
        <v>2447.8134794520552</v>
      </c>
      <c r="C28" s="6">
        <v>682.0200000000001</v>
      </c>
      <c r="D28" s="6">
        <v>433.8</v>
      </c>
      <c r="E28" s="6">
        <v>931.40000000000009</v>
      </c>
      <c r="F28" s="8">
        <v>0</v>
      </c>
      <c r="H28" s="17">
        <v>2967.62794520548</v>
      </c>
      <c r="I28" s="17">
        <v>636.3900000000001</v>
      </c>
      <c r="J28" s="17">
        <v>362.9</v>
      </c>
      <c r="K28" s="17">
        <v>930.16000000000008</v>
      </c>
      <c r="L28" s="17">
        <v>0</v>
      </c>
    </row>
    <row r="29" spans="1:12" hidden="1" outlineLevel="1" x14ac:dyDescent="0.25">
      <c r="A29" s="7">
        <v>45311</v>
      </c>
      <c r="B29" s="6">
        <v>2376.5934794520545</v>
      </c>
      <c r="C29" s="6">
        <v>605.91000000000008</v>
      </c>
      <c r="D29" s="6">
        <v>165.9</v>
      </c>
      <c r="E29" s="6">
        <v>738.01</v>
      </c>
      <c r="F29" s="8">
        <v>0</v>
      </c>
      <c r="H29" s="17">
        <v>2888.9279452054798</v>
      </c>
      <c r="I29" s="17">
        <v>589.47</v>
      </c>
      <c r="J29" s="17">
        <v>102.72</v>
      </c>
      <c r="K29" s="17">
        <v>741.55</v>
      </c>
      <c r="L29" s="17">
        <v>0</v>
      </c>
    </row>
    <row r="30" spans="1:12" hidden="1" outlineLevel="1" x14ac:dyDescent="0.25">
      <c r="A30" s="7">
        <v>45312</v>
      </c>
      <c r="B30" s="6">
        <v>2179.9234794520553</v>
      </c>
      <c r="C30" s="6">
        <v>553.81999999999994</v>
      </c>
      <c r="D30" s="6">
        <v>231.5</v>
      </c>
      <c r="E30" s="6">
        <v>525.52</v>
      </c>
      <c r="F30" s="8">
        <v>0</v>
      </c>
      <c r="H30" s="17">
        <v>2681.6979452054802</v>
      </c>
      <c r="I30" s="17">
        <v>500.90000000000003</v>
      </c>
      <c r="J30" s="17">
        <v>146.34</v>
      </c>
      <c r="K30" s="17">
        <v>524.99</v>
      </c>
      <c r="L30" s="17">
        <v>0</v>
      </c>
    </row>
    <row r="31" spans="1:12" hidden="1" outlineLevel="1" x14ac:dyDescent="0.25">
      <c r="A31" s="7">
        <v>45313</v>
      </c>
      <c r="B31" s="6">
        <v>2476.953479452055</v>
      </c>
      <c r="C31" s="6">
        <v>627.66000000000008</v>
      </c>
      <c r="D31" s="6">
        <v>252.78000000000003</v>
      </c>
      <c r="E31" s="6">
        <v>617.1</v>
      </c>
      <c r="F31" s="8">
        <v>0</v>
      </c>
      <c r="H31" s="17">
        <v>2930.1879452054795</v>
      </c>
      <c r="I31" s="17">
        <v>397.82000000000005</v>
      </c>
      <c r="J31" s="17">
        <v>79.099999999999994</v>
      </c>
      <c r="K31" s="17">
        <v>286.88</v>
      </c>
      <c r="L31" s="17">
        <v>0</v>
      </c>
    </row>
    <row r="32" spans="1:12" hidden="1" outlineLevel="1" x14ac:dyDescent="0.25">
      <c r="A32" s="7">
        <v>45314</v>
      </c>
      <c r="B32" s="6">
        <v>1981.453479452055</v>
      </c>
      <c r="C32" s="6">
        <v>370.23999999999995</v>
      </c>
      <c r="D32" s="6">
        <v>350.65999999999997</v>
      </c>
      <c r="E32" s="6">
        <v>930.3</v>
      </c>
      <c r="F32" s="8">
        <v>0</v>
      </c>
      <c r="H32" s="17">
        <v>0</v>
      </c>
      <c r="I32" s="17">
        <v>34.619999999999997</v>
      </c>
      <c r="J32" s="17">
        <v>0</v>
      </c>
      <c r="K32" s="17">
        <v>0</v>
      </c>
      <c r="L32" s="17">
        <v>0</v>
      </c>
    </row>
    <row r="33" spans="1:12" hidden="1" outlineLevel="1" x14ac:dyDescent="0.25">
      <c r="A33" s="7">
        <v>45315</v>
      </c>
      <c r="B33" s="6">
        <v>2225.703479452055</v>
      </c>
      <c r="C33" s="6">
        <v>317.14000000000004</v>
      </c>
      <c r="D33" s="6">
        <v>276.77999999999997</v>
      </c>
      <c r="E33" s="6">
        <v>1074.1799999999998</v>
      </c>
      <c r="F33" s="8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</row>
    <row r="34" spans="1:12" hidden="1" outlineLevel="1" x14ac:dyDescent="0.25">
      <c r="A34" s="7">
        <v>45316</v>
      </c>
      <c r="B34" s="6">
        <v>1835.3134794520549</v>
      </c>
      <c r="C34" s="6">
        <v>484.22</v>
      </c>
      <c r="D34" s="6">
        <v>559.74</v>
      </c>
      <c r="E34" s="6">
        <v>880.97</v>
      </c>
      <c r="F34" s="8">
        <v>0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</row>
    <row r="35" spans="1:12" hidden="1" outlineLevel="1" x14ac:dyDescent="0.25">
      <c r="A35" s="7">
        <v>45317</v>
      </c>
      <c r="B35" s="6">
        <v>1884.8534794520551</v>
      </c>
      <c r="C35" s="6">
        <v>575.66000000000008</v>
      </c>
      <c r="D35" s="6">
        <v>417.28</v>
      </c>
      <c r="E35" s="6">
        <v>921.72</v>
      </c>
      <c r="F35" s="8">
        <v>0</v>
      </c>
      <c r="H35" s="17">
        <v>0</v>
      </c>
      <c r="I35" s="17">
        <v>0</v>
      </c>
      <c r="J35" s="17">
        <v>0</v>
      </c>
      <c r="K35" s="17">
        <v>0</v>
      </c>
      <c r="L35" s="17">
        <v>0</v>
      </c>
    </row>
    <row r="36" spans="1:12" hidden="1" outlineLevel="1" x14ac:dyDescent="0.25">
      <c r="A36" s="7">
        <v>45318</v>
      </c>
      <c r="B36" s="6">
        <v>1724.5934794520551</v>
      </c>
      <c r="C36" s="6">
        <v>620.04</v>
      </c>
      <c r="D36" s="6">
        <v>341.91999999999996</v>
      </c>
      <c r="E36" s="6">
        <v>912.88000000000011</v>
      </c>
      <c r="F36" s="8">
        <v>0</v>
      </c>
      <c r="H36" s="17">
        <v>0</v>
      </c>
      <c r="I36" s="17">
        <v>0</v>
      </c>
      <c r="J36" s="17">
        <v>0</v>
      </c>
      <c r="K36" s="17">
        <v>0</v>
      </c>
      <c r="L36" s="17">
        <v>0</v>
      </c>
    </row>
    <row r="37" spans="1:12" hidden="1" outlineLevel="1" x14ac:dyDescent="0.25">
      <c r="A37" s="7">
        <v>45319</v>
      </c>
      <c r="B37" s="6">
        <v>2255.7134794520548</v>
      </c>
      <c r="C37" s="6">
        <v>11.46</v>
      </c>
      <c r="D37" s="6">
        <v>204.52</v>
      </c>
      <c r="E37" s="6">
        <v>924.3</v>
      </c>
      <c r="F37" s="8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</row>
    <row r="38" spans="1:12" hidden="1" outlineLevel="1" x14ac:dyDescent="0.25">
      <c r="A38" s="7">
        <v>45320</v>
      </c>
      <c r="B38" s="6">
        <v>2499.8534794520551</v>
      </c>
      <c r="C38" s="6">
        <v>515.44000000000005</v>
      </c>
      <c r="D38" s="6">
        <v>151.44</v>
      </c>
      <c r="E38" s="6">
        <v>713.28000000000009</v>
      </c>
      <c r="F38" s="8">
        <v>0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</row>
    <row r="39" spans="1:12" hidden="1" outlineLevel="1" x14ac:dyDescent="0.25">
      <c r="A39" s="7">
        <v>45321</v>
      </c>
      <c r="B39" s="6">
        <v>2316.1934794520553</v>
      </c>
      <c r="C39" s="6">
        <v>589.74</v>
      </c>
      <c r="D39" s="6">
        <v>270.7</v>
      </c>
      <c r="E39" s="6">
        <v>674.68</v>
      </c>
      <c r="F39" s="8">
        <v>0</v>
      </c>
      <c r="H39" s="17">
        <v>0</v>
      </c>
      <c r="I39" s="17">
        <v>0</v>
      </c>
      <c r="J39" s="17">
        <v>0</v>
      </c>
      <c r="K39" s="17">
        <v>0</v>
      </c>
      <c r="L39" s="17">
        <v>0</v>
      </c>
    </row>
    <row r="40" spans="1:12" hidden="1" outlineLevel="1" x14ac:dyDescent="0.25">
      <c r="A40" s="7">
        <v>45322</v>
      </c>
      <c r="B40" s="6">
        <v>1217.8734794520549</v>
      </c>
      <c r="C40" s="6">
        <v>616.59999999999991</v>
      </c>
      <c r="D40" s="6">
        <v>234.6</v>
      </c>
      <c r="E40" s="6">
        <v>737.44</v>
      </c>
      <c r="F40" s="8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</row>
    <row r="41" spans="1:12" collapsed="1" x14ac:dyDescent="0.25">
      <c r="A41" s="7" t="s">
        <v>249</v>
      </c>
      <c r="B41" s="5">
        <v>72632.217863013706</v>
      </c>
      <c r="C41" s="5">
        <v>16468.359999999997</v>
      </c>
      <c r="D41" s="5">
        <v>8921.0400000000009</v>
      </c>
      <c r="E41" s="5">
        <v>20984.329999999998</v>
      </c>
      <c r="F41" s="9">
        <v>0</v>
      </c>
      <c r="G41" s="4"/>
      <c r="H41" s="115"/>
      <c r="I41" s="115"/>
      <c r="J41" s="115"/>
    </row>
    <row r="42" spans="1:12" hidden="1" outlineLevel="1" x14ac:dyDescent="0.25">
      <c r="A42" s="7">
        <v>45323</v>
      </c>
      <c r="B42" s="6">
        <v>1742.2334794520548</v>
      </c>
      <c r="C42" s="6">
        <v>598.74</v>
      </c>
      <c r="D42" s="6">
        <v>213.07999999999998</v>
      </c>
      <c r="E42" s="6">
        <v>1061.3</v>
      </c>
      <c r="F42" s="8">
        <v>0</v>
      </c>
      <c r="G42" s="116"/>
      <c r="H42" s="115"/>
      <c r="I42" s="115"/>
      <c r="J42" s="115"/>
    </row>
    <row r="43" spans="1:12" hidden="1" outlineLevel="1" x14ac:dyDescent="0.25">
      <c r="A43" s="7">
        <v>45324</v>
      </c>
      <c r="B43" s="6">
        <v>2214.3854794520548</v>
      </c>
      <c r="C43" s="6">
        <v>587.87999999999988</v>
      </c>
      <c r="D43" s="6">
        <v>193.10000000000002</v>
      </c>
      <c r="E43" s="6">
        <v>998.68000000000006</v>
      </c>
      <c r="F43" s="8">
        <v>0</v>
      </c>
      <c r="G43" s="116"/>
      <c r="H43" s="115"/>
      <c r="I43" s="115"/>
      <c r="J43" s="115"/>
    </row>
    <row r="44" spans="1:12" hidden="1" outlineLevel="1" x14ac:dyDescent="0.25">
      <c r="A44" s="7">
        <v>45325</v>
      </c>
      <c r="B44" s="6">
        <v>2217.2534794520548</v>
      </c>
      <c r="C44" s="6">
        <v>813.62</v>
      </c>
      <c r="D44" s="6">
        <v>272.65999999999997</v>
      </c>
      <c r="E44" s="6">
        <v>779.12</v>
      </c>
      <c r="F44" s="8">
        <v>0</v>
      </c>
      <c r="G44" s="116"/>
      <c r="H44" s="115"/>
      <c r="I44" s="115"/>
      <c r="J44" s="115"/>
    </row>
    <row r="45" spans="1:12" hidden="1" outlineLevel="1" x14ac:dyDescent="0.25">
      <c r="A45" s="7">
        <v>45326</v>
      </c>
      <c r="B45" s="6">
        <v>2201.3534794520551</v>
      </c>
      <c r="C45" s="6">
        <v>549.65000000000009</v>
      </c>
      <c r="D45" s="6">
        <v>366.55</v>
      </c>
      <c r="E45" s="6">
        <v>659.84000000000015</v>
      </c>
      <c r="F45" s="8">
        <v>0</v>
      </c>
      <c r="G45" s="116"/>
      <c r="H45" s="115"/>
      <c r="I45" s="115"/>
      <c r="J45" s="115"/>
    </row>
    <row r="46" spans="1:12" hidden="1" outlineLevel="1" x14ac:dyDescent="0.25">
      <c r="A46" s="7">
        <v>45327</v>
      </c>
      <c r="B46" s="6">
        <v>2073.953479452055</v>
      </c>
      <c r="C46" s="6">
        <v>590.56000000000006</v>
      </c>
      <c r="D46" s="6">
        <v>378.43999999999994</v>
      </c>
      <c r="E46" s="6">
        <v>802.53000000000009</v>
      </c>
      <c r="F46" s="8">
        <v>0</v>
      </c>
      <c r="G46" s="116"/>
      <c r="H46" s="115"/>
      <c r="I46" s="115"/>
      <c r="J46" s="115"/>
    </row>
    <row r="47" spans="1:12" hidden="1" outlineLevel="1" x14ac:dyDescent="0.25">
      <c r="A47" s="7">
        <v>45328</v>
      </c>
      <c r="B47" s="6">
        <v>2210.9734794520546</v>
      </c>
      <c r="C47" s="6">
        <v>661.31</v>
      </c>
      <c r="D47" s="6">
        <v>220.12</v>
      </c>
      <c r="E47" s="6">
        <v>638.6400000000001</v>
      </c>
      <c r="F47" s="8">
        <v>0</v>
      </c>
      <c r="G47" s="116"/>
      <c r="H47" s="115"/>
      <c r="I47" s="115"/>
      <c r="J47" s="115"/>
    </row>
    <row r="48" spans="1:12" hidden="1" outlineLevel="1" x14ac:dyDescent="0.25">
      <c r="A48" s="7">
        <v>45329</v>
      </c>
      <c r="B48" s="6">
        <v>2054.013479452055</v>
      </c>
      <c r="C48" s="6">
        <v>861.26</v>
      </c>
      <c r="D48" s="6">
        <v>225.95999999999998</v>
      </c>
      <c r="E48" s="6">
        <v>589.56000000000006</v>
      </c>
      <c r="F48" s="8">
        <v>0</v>
      </c>
      <c r="G48" s="116"/>
      <c r="H48" s="115"/>
      <c r="I48" s="115"/>
      <c r="J48" s="115"/>
    </row>
    <row r="49" spans="1:10" hidden="1" outlineLevel="1" x14ac:dyDescent="0.25">
      <c r="A49" s="7">
        <v>45330</v>
      </c>
      <c r="B49" s="6">
        <v>2198.1934794520548</v>
      </c>
      <c r="C49" s="6">
        <v>698.06000000000017</v>
      </c>
      <c r="D49" s="6">
        <v>408.83999999999992</v>
      </c>
      <c r="E49" s="6">
        <v>310.3</v>
      </c>
      <c r="F49" s="8">
        <v>0</v>
      </c>
      <c r="G49" s="116"/>
      <c r="H49" s="115"/>
      <c r="I49" s="115"/>
      <c r="J49" s="115"/>
    </row>
    <row r="50" spans="1:10" hidden="1" outlineLevel="1" x14ac:dyDescent="0.25">
      <c r="A50" s="7">
        <v>45331</v>
      </c>
      <c r="B50" s="6">
        <v>2029.9734794520548</v>
      </c>
      <c r="C50" s="6">
        <v>857.17999999999984</v>
      </c>
      <c r="D50" s="6">
        <v>206.28</v>
      </c>
      <c r="E50" s="6">
        <v>425.3599999999999</v>
      </c>
      <c r="F50" s="8">
        <v>0</v>
      </c>
      <c r="G50" s="116"/>
      <c r="H50" s="115"/>
      <c r="I50" s="115"/>
      <c r="J50" s="115"/>
    </row>
    <row r="51" spans="1:10" hidden="1" outlineLevel="1" x14ac:dyDescent="0.25">
      <c r="A51" s="7">
        <v>45332</v>
      </c>
      <c r="B51" s="6">
        <v>2178.1734794520548</v>
      </c>
      <c r="C51" s="6">
        <v>871.14</v>
      </c>
      <c r="D51" s="6">
        <v>327.16000000000003</v>
      </c>
      <c r="E51" s="6">
        <v>330.86</v>
      </c>
      <c r="F51" s="8">
        <v>0</v>
      </c>
      <c r="G51" s="116"/>
      <c r="H51" s="115"/>
      <c r="I51" s="115"/>
      <c r="J51" s="115"/>
    </row>
    <row r="52" spans="1:10" hidden="1" outlineLevel="1" x14ac:dyDescent="0.25">
      <c r="A52" s="7">
        <v>45333</v>
      </c>
      <c r="B52" s="6">
        <v>1883.513479452055</v>
      </c>
      <c r="C52" s="6">
        <v>746.48</v>
      </c>
      <c r="D52" s="6">
        <v>271.3</v>
      </c>
      <c r="E52" s="6">
        <v>435.36</v>
      </c>
      <c r="F52" s="8">
        <v>0</v>
      </c>
      <c r="G52" s="116"/>
      <c r="H52" s="115"/>
      <c r="I52" s="115"/>
      <c r="J52" s="115"/>
    </row>
    <row r="53" spans="1:10" hidden="1" outlineLevel="1" x14ac:dyDescent="0.25">
      <c r="A53" s="7">
        <v>45334</v>
      </c>
      <c r="B53" s="6">
        <v>2020.8734794520551</v>
      </c>
      <c r="C53" s="6">
        <v>733.12000000000012</v>
      </c>
      <c r="D53" s="6">
        <v>276.96000000000004</v>
      </c>
      <c r="E53" s="6">
        <v>735.1400000000001</v>
      </c>
      <c r="F53" s="8">
        <v>0</v>
      </c>
      <c r="G53" s="116"/>
      <c r="H53" s="115"/>
      <c r="I53" s="115"/>
      <c r="J53" s="115"/>
    </row>
    <row r="54" spans="1:10" hidden="1" outlineLevel="1" x14ac:dyDescent="0.25">
      <c r="A54" s="7">
        <v>45335</v>
      </c>
      <c r="B54" s="6">
        <v>1944.4334794520551</v>
      </c>
      <c r="C54" s="6">
        <v>837.85000000000014</v>
      </c>
      <c r="D54" s="6">
        <v>195.56</v>
      </c>
      <c r="E54" s="6">
        <v>663.08</v>
      </c>
      <c r="F54" s="8">
        <v>0</v>
      </c>
      <c r="G54" s="116"/>
      <c r="H54" s="115"/>
      <c r="I54" s="115"/>
      <c r="J54" s="115"/>
    </row>
    <row r="55" spans="1:10" hidden="1" outlineLevel="1" x14ac:dyDescent="0.25">
      <c r="A55" s="7">
        <v>45336</v>
      </c>
      <c r="B55" s="6">
        <v>1886.3534794520549</v>
      </c>
      <c r="C55" s="6">
        <v>712.6</v>
      </c>
      <c r="D55" s="6">
        <v>224.14</v>
      </c>
      <c r="E55" s="6">
        <v>279.38</v>
      </c>
      <c r="F55" s="8">
        <v>0</v>
      </c>
      <c r="G55" s="116"/>
      <c r="H55" s="115"/>
      <c r="I55" s="115"/>
      <c r="J55" s="115"/>
    </row>
    <row r="56" spans="1:10" hidden="1" outlineLevel="1" x14ac:dyDescent="0.25">
      <c r="A56" s="7">
        <v>45337</v>
      </c>
      <c r="B56" s="6">
        <v>2025.273479452055</v>
      </c>
      <c r="C56" s="6">
        <v>1331.1399999999999</v>
      </c>
      <c r="D56" s="6">
        <v>60.56</v>
      </c>
      <c r="E56" s="6">
        <v>301.96000000000004</v>
      </c>
      <c r="F56" s="8">
        <v>0</v>
      </c>
      <c r="G56" s="116"/>
      <c r="H56" s="115"/>
      <c r="I56" s="115"/>
      <c r="J56" s="115"/>
    </row>
    <row r="57" spans="1:10" hidden="1" outlineLevel="1" x14ac:dyDescent="0.25">
      <c r="A57" s="7">
        <v>45338</v>
      </c>
      <c r="B57" s="6">
        <v>2022.233479452055</v>
      </c>
      <c r="C57" s="6">
        <v>781.25999999999976</v>
      </c>
      <c r="D57" s="6">
        <v>130.82</v>
      </c>
      <c r="E57" s="6">
        <v>554.52</v>
      </c>
      <c r="F57" s="8">
        <v>0</v>
      </c>
      <c r="G57" s="116"/>
      <c r="H57" s="115"/>
      <c r="I57" s="115"/>
      <c r="J57" s="115"/>
    </row>
    <row r="58" spans="1:10" hidden="1" outlineLevel="1" x14ac:dyDescent="0.25">
      <c r="A58" s="7">
        <v>45339</v>
      </c>
      <c r="B58" s="6">
        <v>2245.8334794520547</v>
      </c>
      <c r="C58" s="6">
        <v>355.28</v>
      </c>
      <c r="D58" s="6">
        <v>173.5</v>
      </c>
      <c r="E58" s="6">
        <v>904.38000000000011</v>
      </c>
      <c r="F58" s="8">
        <v>0</v>
      </c>
      <c r="G58" s="116"/>
      <c r="H58" s="115"/>
      <c r="I58" s="115"/>
      <c r="J58" s="115"/>
    </row>
    <row r="59" spans="1:10" hidden="1" outlineLevel="1" x14ac:dyDescent="0.25">
      <c r="A59" s="7">
        <v>45340</v>
      </c>
      <c r="B59" s="6">
        <v>2245.3334794520551</v>
      </c>
      <c r="C59" s="6">
        <v>399.58</v>
      </c>
      <c r="D59" s="6">
        <v>198.4</v>
      </c>
      <c r="E59" s="6">
        <v>841.37999999999988</v>
      </c>
      <c r="F59" s="8">
        <v>0</v>
      </c>
      <c r="G59" s="116"/>
      <c r="H59" s="115"/>
      <c r="I59" s="115"/>
      <c r="J59" s="115"/>
    </row>
    <row r="60" spans="1:10" hidden="1" outlineLevel="1" x14ac:dyDescent="0.25">
      <c r="A60" s="7">
        <v>45341</v>
      </c>
      <c r="B60" s="6">
        <v>2101.453479452055</v>
      </c>
      <c r="C60" s="6">
        <v>379.9</v>
      </c>
      <c r="D60" s="6">
        <v>144.9</v>
      </c>
      <c r="E60" s="6">
        <v>800.28</v>
      </c>
      <c r="F60" s="8">
        <v>0</v>
      </c>
      <c r="G60" s="116"/>
      <c r="H60" s="115"/>
      <c r="I60" s="115"/>
      <c r="J60" s="115"/>
    </row>
    <row r="61" spans="1:10" hidden="1" outlineLevel="1" x14ac:dyDescent="0.25">
      <c r="A61" s="7">
        <v>45342</v>
      </c>
      <c r="B61" s="6">
        <v>2145.7734794520547</v>
      </c>
      <c r="C61" s="6">
        <v>503.42000000000007</v>
      </c>
      <c r="D61" s="6">
        <v>187.62</v>
      </c>
      <c r="E61" s="6">
        <v>838.24</v>
      </c>
      <c r="F61" s="8">
        <v>0</v>
      </c>
      <c r="G61" s="116"/>
      <c r="H61" s="115"/>
      <c r="I61" s="115"/>
      <c r="J61" s="115"/>
    </row>
    <row r="62" spans="1:10" hidden="1" outlineLevel="1" x14ac:dyDescent="0.25">
      <c r="A62" s="7">
        <v>45343</v>
      </c>
      <c r="B62" s="6">
        <v>2274.3934794520551</v>
      </c>
      <c r="C62" s="6">
        <v>725.46</v>
      </c>
      <c r="D62" s="6">
        <v>231.26</v>
      </c>
      <c r="E62" s="6">
        <v>791</v>
      </c>
      <c r="F62" s="8">
        <v>0</v>
      </c>
      <c r="G62" s="116"/>
      <c r="H62" s="115"/>
      <c r="I62" s="115"/>
      <c r="J62" s="115"/>
    </row>
    <row r="63" spans="1:10" hidden="1" outlineLevel="1" x14ac:dyDescent="0.25">
      <c r="A63" s="7">
        <v>45344</v>
      </c>
      <c r="B63" s="6">
        <v>2311.5734794520549</v>
      </c>
      <c r="C63" s="6">
        <v>595.16</v>
      </c>
      <c r="D63" s="6">
        <v>285.38</v>
      </c>
      <c r="E63" s="6">
        <v>782.02</v>
      </c>
      <c r="F63" s="8">
        <v>0</v>
      </c>
      <c r="G63" s="116"/>
      <c r="H63" s="115"/>
      <c r="I63" s="115"/>
      <c r="J63" s="115"/>
    </row>
    <row r="64" spans="1:10" hidden="1" outlineLevel="1" x14ac:dyDescent="0.25">
      <c r="A64" s="7">
        <v>45345</v>
      </c>
      <c r="B64" s="6">
        <v>1756.0734794520547</v>
      </c>
      <c r="C64" s="6">
        <v>557.1</v>
      </c>
      <c r="D64" s="6">
        <v>253.8</v>
      </c>
      <c r="E64" s="6">
        <v>787.68</v>
      </c>
      <c r="F64" s="8">
        <v>0</v>
      </c>
      <c r="G64" s="116"/>
      <c r="H64" s="115"/>
      <c r="I64" s="115"/>
      <c r="J64" s="115"/>
    </row>
    <row r="65" spans="1:10" hidden="1" outlineLevel="1" x14ac:dyDescent="0.25">
      <c r="A65" s="7">
        <v>45346</v>
      </c>
      <c r="B65" s="6">
        <v>1792.6334794520551</v>
      </c>
      <c r="C65" s="6">
        <v>829.75999999999976</v>
      </c>
      <c r="D65" s="6">
        <v>210.38</v>
      </c>
      <c r="E65" s="6">
        <v>859.38</v>
      </c>
      <c r="F65" s="8">
        <v>0</v>
      </c>
      <c r="G65" s="116"/>
      <c r="H65" s="115"/>
      <c r="I65" s="115"/>
      <c r="J65" s="115"/>
    </row>
    <row r="66" spans="1:10" hidden="1" outlineLevel="1" x14ac:dyDescent="0.25">
      <c r="A66" s="7">
        <v>45347</v>
      </c>
      <c r="B66" s="6">
        <v>1577.3134794520552</v>
      </c>
      <c r="C66" s="6">
        <v>460.2600000000001</v>
      </c>
      <c r="D66" s="6">
        <v>289.3</v>
      </c>
      <c r="E66" s="6">
        <v>954.3</v>
      </c>
      <c r="F66" s="8">
        <v>0</v>
      </c>
      <c r="G66" s="116"/>
      <c r="H66" s="115"/>
      <c r="I66" s="115"/>
      <c r="J66" s="115"/>
    </row>
    <row r="67" spans="1:10" hidden="1" outlineLevel="1" x14ac:dyDescent="0.25">
      <c r="A67" s="7">
        <v>45348</v>
      </c>
      <c r="B67" s="6">
        <v>1910.0734794520549</v>
      </c>
      <c r="C67" s="6">
        <v>851.79999999999984</v>
      </c>
      <c r="D67" s="6">
        <v>256.60000000000002</v>
      </c>
      <c r="E67" s="6">
        <v>779.24</v>
      </c>
      <c r="F67" s="8">
        <v>0</v>
      </c>
      <c r="G67" s="116"/>
      <c r="H67" s="115"/>
      <c r="I67" s="115"/>
      <c r="J67" s="115"/>
    </row>
    <row r="68" spans="1:10" hidden="1" outlineLevel="1" x14ac:dyDescent="0.25">
      <c r="A68" s="7">
        <v>45349</v>
      </c>
      <c r="B68" s="6">
        <v>1767.9334794520551</v>
      </c>
      <c r="C68" s="6">
        <v>667.99800000000005</v>
      </c>
      <c r="D68" s="6">
        <v>343.02</v>
      </c>
      <c r="E68" s="6">
        <v>1042.6199999999999</v>
      </c>
      <c r="F68" s="8">
        <v>0</v>
      </c>
      <c r="G68" s="116"/>
      <c r="H68" s="115"/>
      <c r="I68" s="115"/>
      <c r="J68" s="115"/>
    </row>
    <row r="69" spans="1:10" hidden="1" outlineLevel="1" x14ac:dyDescent="0.25">
      <c r="A69" s="7">
        <v>45350</v>
      </c>
      <c r="B69" s="6">
        <v>1798.6334794520549</v>
      </c>
      <c r="C69" s="6">
        <v>519.96</v>
      </c>
      <c r="D69" s="6">
        <v>431.13999999999993</v>
      </c>
      <c r="E69" s="6">
        <v>960.04000000000008</v>
      </c>
      <c r="F69" s="8">
        <v>0</v>
      </c>
      <c r="G69" s="116"/>
      <c r="H69" s="115"/>
      <c r="I69" s="115"/>
      <c r="J69" s="115"/>
    </row>
    <row r="70" spans="1:10" hidden="1" outlineLevel="1" x14ac:dyDescent="0.25">
      <c r="A70" s="7">
        <v>45351</v>
      </c>
      <c r="B70" s="6">
        <v>1776.2734794520552</v>
      </c>
      <c r="C70" s="6">
        <v>119.47999999999999</v>
      </c>
      <c r="D70" s="6">
        <v>476.7</v>
      </c>
      <c r="E70" s="6">
        <v>821.84</v>
      </c>
      <c r="F70" s="8">
        <v>0</v>
      </c>
      <c r="G70" s="116"/>
      <c r="H70" s="115"/>
      <c r="I70" s="115"/>
      <c r="J70" s="115"/>
    </row>
    <row r="71" spans="1:10" collapsed="1" x14ac:dyDescent="0.25">
      <c r="A71" s="7" t="s">
        <v>22</v>
      </c>
      <c r="B71" s="5">
        <v>58606.482904109587</v>
      </c>
      <c r="C71" s="5">
        <v>19197.007999999998</v>
      </c>
      <c r="D71" s="5">
        <v>7453.5300000000007</v>
      </c>
      <c r="E71" s="5">
        <v>20728.030000000002</v>
      </c>
      <c r="F71" s="9">
        <v>0</v>
      </c>
      <c r="G71" s="4"/>
      <c r="H71" s="115"/>
      <c r="I71" s="115"/>
      <c r="J71" s="115"/>
    </row>
    <row r="72" spans="1:10" hidden="1" outlineLevel="1" x14ac:dyDescent="0.25">
      <c r="A72" s="7">
        <v>45352</v>
      </c>
      <c r="B72" s="6">
        <v>2131.8855094854248</v>
      </c>
      <c r="C72" s="6">
        <v>672.8</v>
      </c>
      <c r="D72" s="6">
        <v>665.98</v>
      </c>
      <c r="E72" s="6">
        <v>973.62</v>
      </c>
      <c r="F72" s="8">
        <v>0</v>
      </c>
      <c r="G72" s="116"/>
      <c r="H72" s="115"/>
      <c r="I72" s="115"/>
      <c r="J72" s="115"/>
    </row>
    <row r="73" spans="1:10" hidden="1" outlineLevel="1" x14ac:dyDescent="0.25">
      <c r="A73" s="7">
        <v>45353</v>
      </c>
      <c r="B73" s="6">
        <v>2202.915509485425</v>
      </c>
      <c r="C73" s="6">
        <v>1002.2200000000003</v>
      </c>
      <c r="D73" s="6">
        <v>560.51</v>
      </c>
      <c r="E73" s="6">
        <v>734.8599999999999</v>
      </c>
      <c r="F73" s="8">
        <v>0</v>
      </c>
      <c r="G73" s="116"/>
      <c r="H73" s="115"/>
      <c r="I73" s="115"/>
      <c r="J73" s="115"/>
    </row>
    <row r="74" spans="1:10" hidden="1" outlineLevel="1" x14ac:dyDescent="0.25">
      <c r="A74" s="7">
        <v>45354</v>
      </c>
      <c r="B74" s="6">
        <v>2139.9055094854248</v>
      </c>
      <c r="C74" s="6">
        <v>824.08</v>
      </c>
      <c r="D74" s="6">
        <v>512.83999999999992</v>
      </c>
      <c r="E74" s="6">
        <v>1141.06</v>
      </c>
      <c r="F74" s="8">
        <v>0</v>
      </c>
      <c r="G74" s="116"/>
      <c r="H74" s="115"/>
      <c r="I74" s="115"/>
      <c r="J74" s="115"/>
    </row>
    <row r="75" spans="1:10" hidden="1" outlineLevel="1" x14ac:dyDescent="0.25">
      <c r="A75" s="7">
        <v>45355</v>
      </c>
      <c r="B75" s="6">
        <v>2062.2855094854249</v>
      </c>
      <c r="C75" s="6">
        <v>587.16000000000008</v>
      </c>
      <c r="D75" s="6">
        <v>831.68000000000006</v>
      </c>
      <c r="E75" s="6">
        <v>847.84</v>
      </c>
      <c r="F75" s="8">
        <v>0</v>
      </c>
      <c r="G75" s="116"/>
      <c r="H75" s="115"/>
      <c r="I75" s="115"/>
      <c r="J75" s="115"/>
    </row>
    <row r="76" spans="1:10" hidden="1" outlineLevel="1" x14ac:dyDescent="0.25">
      <c r="A76" s="7">
        <v>45356</v>
      </c>
      <c r="B76" s="6">
        <v>2236.5255094854251</v>
      </c>
      <c r="C76" s="6">
        <v>595.54000000000008</v>
      </c>
      <c r="D76" s="6">
        <v>532.72</v>
      </c>
      <c r="E76" s="6">
        <v>1186.5</v>
      </c>
      <c r="F76" s="8">
        <v>0</v>
      </c>
      <c r="G76" s="116"/>
      <c r="H76" s="115"/>
      <c r="I76" s="115"/>
      <c r="J76" s="115"/>
    </row>
    <row r="77" spans="1:10" hidden="1" outlineLevel="1" x14ac:dyDescent="0.25">
      <c r="A77" s="7">
        <v>45357</v>
      </c>
      <c r="B77" s="6">
        <v>2500.0855094854251</v>
      </c>
      <c r="C77" s="6">
        <v>581.58000000000004</v>
      </c>
      <c r="D77" s="6">
        <v>318.34000000000003</v>
      </c>
      <c r="E77" s="6">
        <v>1077.0800000000002</v>
      </c>
      <c r="F77" s="8">
        <v>0</v>
      </c>
      <c r="G77" s="116"/>
      <c r="H77" s="115"/>
      <c r="I77" s="115"/>
      <c r="J77" s="115"/>
    </row>
    <row r="78" spans="1:10" hidden="1" outlineLevel="1" x14ac:dyDescent="0.25">
      <c r="A78" s="7">
        <v>45358</v>
      </c>
      <c r="B78" s="6">
        <v>2368.5155094854249</v>
      </c>
      <c r="C78" s="6">
        <v>826.04000000000008</v>
      </c>
      <c r="D78" s="6">
        <v>382.12</v>
      </c>
      <c r="E78" s="6">
        <v>842.44</v>
      </c>
      <c r="F78" s="8">
        <v>0</v>
      </c>
      <c r="G78" s="116"/>
      <c r="H78" s="115"/>
      <c r="I78" s="115"/>
      <c r="J78" s="115"/>
    </row>
    <row r="79" spans="1:10" hidden="1" outlineLevel="1" x14ac:dyDescent="0.25">
      <c r="A79" s="7">
        <v>45359</v>
      </c>
      <c r="B79" s="6">
        <v>2451.7555094854247</v>
      </c>
      <c r="C79" s="6">
        <v>805.12000000000012</v>
      </c>
      <c r="D79" s="6">
        <v>457.52</v>
      </c>
      <c r="E79" s="6">
        <v>767.38000000000011</v>
      </c>
      <c r="F79" s="8">
        <v>0</v>
      </c>
      <c r="G79" s="116"/>
      <c r="H79" s="115"/>
      <c r="I79" s="115"/>
      <c r="J79" s="115"/>
    </row>
    <row r="80" spans="1:10" hidden="1" outlineLevel="1" x14ac:dyDescent="0.25">
      <c r="A80" s="7">
        <v>45360</v>
      </c>
      <c r="B80" s="6">
        <v>2417.0755094854248</v>
      </c>
      <c r="C80" s="6">
        <v>552.58000000000015</v>
      </c>
      <c r="D80" s="6">
        <v>336.19999999999993</v>
      </c>
      <c r="E80" s="6">
        <v>1091.72</v>
      </c>
      <c r="F80" s="8">
        <v>0</v>
      </c>
      <c r="G80" s="116"/>
      <c r="H80" s="115"/>
      <c r="I80" s="115"/>
      <c r="J80" s="115"/>
    </row>
    <row r="81" spans="1:10" hidden="1" outlineLevel="1" x14ac:dyDescent="0.25">
      <c r="A81" s="7">
        <v>45361</v>
      </c>
      <c r="B81" s="6">
        <v>2267.0955094854248</v>
      </c>
      <c r="C81" s="6">
        <v>584.21999999999991</v>
      </c>
      <c r="D81" s="6">
        <v>417.93999999999994</v>
      </c>
      <c r="E81" s="6">
        <v>1075.56</v>
      </c>
      <c r="F81" s="8">
        <v>0</v>
      </c>
      <c r="G81" s="116"/>
      <c r="H81" s="115"/>
      <c r="I81" s="115"/>
      <c r="J81" s="115"/>
    </row>
    <row r="82" spans="1:10" hidden="1" outlineLevel="1" x14ac:dyDescent="0.25">
      <c r="A82" s="7">
        <v>45362</v>
      </c>
      <c r="B82" s="6">
        <v>2378.3355094854251</v>
      </c>
      <c r="C82" s="6">
        <v>472.88000000000005</v>
      </c>
      <c r="D82" s="6">
        <v>327.38</v>
      </c>
      <c r="E82" s="6">
        <v>1055.19</v>
      </c>
      <c r="F82" s="8">
        <v>0</v>
      </c>
      <c r="G82" s="116"/>
      <c r="H82" s="115"/>
      <c r="I82" s="115"/>
      <c r="J82" s="115"/>
    </row>
    <row r="83" spans="1:10" hidden="1" outlineLevel="1" x14ac:dyDescent="0.25">
      <c r="A83" s="7">
        <v>45363</v>
      </c>
      <c r="B83" s="6">
        <v>2369.9955094854249</v>
      </c>
      <c r="C83" s="6">
        <v>456.06000000000006</v>
      </c>
      <c r="D83" s="6">
        <v>381.86</v>
      </c>
      <c r="E83" s="6">
        <v>1548.9600000000005</v>
      </c>
      <c r="F83" s="8">
        <v>0</v>
      </c>
      <c r="G83" s="116"/>
      <c r="H83" s="115"/>
      <c r="I83" s="115"/>
      <c r="J83" s="115"/>
    </row>
    <row r="84" spans="1:10" hidden="1" outlineLevel="1" x14ac:dyDescent="0.25">
      <c r="A84" s="7">
        <v>45364</v>
      </c>
      <c r="B84" s="6">
        <v>2284.955509485425</v>
      </c>
      <c r="C84" s="6">
        <v>585.64</v>
      </c>
      <c r="D84" s="6">
        <v>359.59999999999997</v>
      </c>
      <c r="E84" s="6">
        <v>1393.4</v>
      </c>
      <c r="F84" s="8">
        <v>0</v>
      </c>
      <c r="G84" s="116"/>
      <c r="H84" s="115"/>
      <c r="I84" s="115"/>
      <c r="J84" s="115"/>
    </row>
    <row r="85" spans="1:10" hidden="1" outlineLevel="1" x14ac:dyDescent="0.25">
      <c r="A85" s="7">
        <v>45365</v>
      </c>
      <c r="B85" s="6">
        <v>2285.6755094854248</v>
      </c>
      <c r="C85" s="6">
        <v>589.56000000000006</v>
      </c>
      <c r="D85" s="6">
        <v>137.74</v>
      </c>
      <c r="E85" s="6">
        <v>1248</v>
      </c>
      <c r="F85" s="8">
        <v>0</v>
      </c>
      <c r="G85" s="116"/>
      <c r="H85" s="115"/>
      <c r="I85" s="115"/>
      <c r="J85" s="115"/>
    </row>
    <row r="86" spans="1:10" hidden="1" outlineLevel="1" x14ac:dyDescent="0.25">
      <c r="A86" s="7">
        <v>45366</v>
      </c>
      <c r="B86" s="6">
        <v>2380.5855094854251</v>
      </c>
      <c r="C86" s="6">
        <v>596.94000000000005</v>
      </c>
      <c r="D86" s="6">
        <v>199.27999999999997</v>
      </c>
      <c r="E86" s="6">
        <v>1439.28</v>
      </c>
      <c r="F86" s="8">
        <v>0</v>
      </c>
      <c r="G86" s="116"/>
      <c r="H86" s="115"/>
      <c r="I86" s="115"/>
      <c r="J86" s="115"/>
    </row>
    <row r="87" spans="1:10" hidden="1" outlineLevel="1" x14ac:dyDescent="0.25">
      <c r="A87" s="7">
        <v>45367</v>
      </c>
      <c r="B87" s="6">
        <v>2437.4955094854249</v>
      </c>
      <c r="C87" s="6">
        <v>307.26</v>
      </c>
      <c r="D87" s="6">
        <v>253.57999999999998</v>
      </c>
      <c r="E87" s="6">
        <v>1460.5800000000004</v>
      </c>
      <c r="F87" s="6">
        <v>0</v>
      </c>
      <c r="G87" s="116"/>
      <c r="H87" s="115"/>
      <c r="I87" s="115"/>
      <c r="J87" s="115"/>
    </row>
    <row r="88" spans="1:10" hidden="1" outlineLevel="1" x14ac:dyDescent="0.25">
      <c r="A88" s="7">
        <v>45368</v>
      </c>
      <c r="B88" s="6">
        <v>2272.7155094854247</v>
      </c>
      <c r="C88" s="6">
        <v>384.06</v>
      </c>
      <c r="D88" s="6">
        <v>214.35</v>
      </c>
      <c r="E88" s="6">
        <v>1428.72</v>
      </c>
      <c r="F88" s="8">
        <v>0</v>
      </c>
      <c r="G88" s="116"/>
      <c r="H88" s="115"/>
      <c r="I88" s="115"/>
      <c r="J88" s="115"/>
    </row>
    <row r="89" spans="1:10" hidden="1" outlineLevel="1" x14ac:dyDescent="0.25">
      <c r="A89" s="7">
        <v>45369</v>
      </c>
      <c r="B89" s="6">
        <v>2352.9855094854247</v>
      </c>
      <c r="C89" s="6">
        <v>395.94000000000005</v>
      </c>
      <c r="D89" s="6">
        <v>207.42000000000002</v>
      </c>
      <c r="E89" s="6">
        <v>1281.58</v>
      </c>
      <c r="F89" s="8">
        <v>0</v>
      </c>
      <c r="G89" s="116"/>
      <c r="H89" s="115"/>
      <c r="I89" s="115"/>
      <c r="J89" s="115"/>
    </row>
    <row r="90" spans="1:10" hidden="1" outlineLevel="1" x14ac:dyDescent="0.25">
      <c r="A90" s="7">
        <v>45370</v>
      </c>
      <c r="B90" s="6">
        <v>2445.6155094854248</v>
      </c>
      <c r="C90" s="6">
        <v>403.78</v>
      </c>
      <c r="D90" s="6">
        <v>372.68000000000006</v>
      </c>
      <c r="E90" s="6">
        <v>1380.5</v>
      </c>
      <c r="F90" s="8">
        <v>0</v>
      </c>
      <c r="G90" s="116"/>
      <c r="H90" s="115"/>
      <c r="I90" s="115"/>
      <c r="J90" s="115"/>
    </row>
    <row r="91" spans="1:10" hidden="1" outlineLevel="1" x14ac:dyDescent="0.25">
      <c r="A91" s="7">
        <v>45371</v>
      </c>
      <c r="B91" s="6">
        <v>2228.5555094854249</v>
      </c>
      <c r="C91" s="6">
        <v>450.2</v>
      </c>
      <c r="D91" s="6">
        <v>327.82000000000005</v>
      </c>
      <c r="E91" s="6">
        <v>1390.64</v>
      </c>
      <c r="F91" s="8">
        <v>0</v>
      </c>
      <c r="G91" s="116"/>
      <c r="H91" s="117"/>
      <c r="I91" s="115"/>
      <c r="J91" s="115"/>
    </row>
    <row r="92" spans="1:10" hidden="1" outlineLevel="1" x14ac:dyDescent="0.25">
      <c r="A92" s="7">
        <v>45372</v>
      </c>
      <c r="B92" s="6">
        <v>2338.9955094854249</v>
      </c>
      <c r="C92" s="6">
        <v>758.76</v>
      </c>
      <c r="D92" s="6">
        <v>0</v>
      </c>
      <c r="E92" s="6">
        <v>1671.8600000000001</v>
      </c>
      <c r="F92" s="8">
        <v>0</v>
      </c>
      <c r="G92" s="116"/>
      <c r="H92" s="115"/>
      <c r="I92" s="115"/>
      <c r="J92" s="115"/>
    </row>
    <row r="93" spans="1:10" hidden="1" outlineLevel="1" x14ac:dyDescent="0.25">
      <c r="A93" s="7">
        <v>45373</v>
      </c>
      <c r="B93" s="6">
        <v>2040.5955094854248</v>
      </c>
      <c r="C93" s="6">
        <v>484.36</v>
      </c>
      <c r="D93" s="6">
        <v>483.34000000000003</v>
      </c>
      <c r="E93" s="6">
        <v>1147.7399999999998</v>
      </c>
      <c r="F93" s="8">
        <v>0</v>
      </c>
      <c r="G93" s="116"/>
      <c r="H93" s="115"/>
      <c r="I93" s="115"/>
      <c r="J93" s="115"/>
    </row>
    <row r="94" spans="1:10" hidden="1" outlineLevel="1" x14ac:dyDescent="0.25">
      <c r="A94" s="7">
        <v>45374</v>
      </c>
      <c r="B94" s="6">
        <v>2458.3155094854251</v>
      </c>
      <c r="C94" s="6">
        <v>270.41999999999996</v>
      </c>
      <c r="D94" s="6">
        <v>417.99999999999989</v>
      </c>
      <c r="E94" s="6">
        <v>1389.7000000000003</v>
      </c>
      <c r="F94" s="8">
        <v>0</v>
      </c>
      <c r="G94" s="116"/>
      <c r="H94" s="115"/>
      <c r="I94" s="115"/>
      <c r="J94" s="115"/>
    </row>
    <row r="95" spans="1:10" hidden="1" outlineLevel="1" x14ac:dyDescent="0.25">
      <c r="A95" s="7">
        <v>45375</v>
      </c>
      <c r="B95" s="6">
        <v>2300.7355094854247</v>
      </c>
      <c r="C95" s="6">
        <v>350.71999999999997</v>
      </c>
      <c r="D95" s="6">
        <v>242.26000000000002</v>
      </c>
      <c r="E95" s="6">
        <v>1433.8399999999997</v>
      </c>
      <c r="F95" s="8">
        <v>0</v>
      </c>
      <c r="G95" s="116"/>
      <c r="H95" s="115"/>
      <c r="I95" s="115"/>
      <c r="J95" s="115"/>
    </row>
    <row r="96" spans="1:10" hidden="1" outlineLevel="1" x14ac:dyDescent="0.25">
      <c r="A96" s="7">
        <v>45376</v>
      </c>
      <c r="B96" s="6">
        <v>2474.2255094854249</v>
      </c>
      <c r="C96" s="6">
        <v>440.76</v>
      </c>
      <c r="D96" s="6">
        <v>415.94</v>
      </c>
      <c r="E96" s="6">
        <v>1076.74</v>
      </c>
      <c r="F96" s="8">
        <v>0</v>
      </c>
      <c r="G96" s="116"/>
      <c r="H96" s="115"/>
      <c r="I96" s="115"/>
      <c r="J96" s="115"/>
    </row>
    <row r="97" spans="1:10" hidden="1" outlineLevel="1" x14ac:dyDescent="0.25">
      <c r="A97" s="7">
        <v>45377</v>
      </c>
      <c r="B97" s="6">
        <v>2348.395509485425</v>
      </c>
      <c r="C97" s="6">
        <v>607.55999999999995</v>
      </c>
      <c r="D97" s="6">
        <v>91.44</v>
      </c>
      <c r="E97" s="6">
        <v>1330.3600000000001</v>
      </c>
      <c r="F97" s="8">
        <v>0</v>
      </c>
      <c r="G97" s="116"/>
      <c r="H97" s="115"/>
      <c r="I97" s="115"/>
      <c r="J97" s="115"/>
    </row>
    <row r="98" spans="1:10" hidden="1" outlineLevel="1" x14ac:dyDescent="0.25">
      <c r="A98" s="7">
        <v>45378</v>
      </c>
      <c r="B98" s="6">
        <v>2419.7355094854252</v>
      </c>
      <c r="C98" s="6">
        <v>494.34</v>
      </c>
      <c r="D98" s="6">
        <v>46.620000000000005</v>
      </c>
      <c r="E98" s="6">
        <v>1482.7</v>
      </c>
      <c r="F98" s="8">
        <v>0</v>
      </c>
      <c r="G98" s="116"/>
      <c r="H98" s="115"/>
      <c r="I98" s="115"/>
      <c r="J98" s="115"/>
    </row>
    <row r="99" spans="1:10" hidden="1" outlineLevel="1" x14ac:dyDescent="0.25">
      <c r="A99" s="7">
        <v>45379</v>
      </c>
      <c r="B99" s="6">
        <v>2343.0255094854247</v>
      </c>
      <c r="C99" s="6">
        <v>560.05999999999995</v>
      </c>
      <c r="D99" s="6">
        <v>308.46000000000004</v>
      </c>
      <c r="E99" s="6">
        <v>1074.54</v>
      </c>
      <c r="F99" s="8">
        <v>0</v>
      </c>
      <c r="G99" s="116"/>
      <c r="H99" s="115"/>
      <c r="I99" s="115"/>
      <c r="J99" s="115"/>
    </row>
    <row r="100" spans="1:10" hidden="1" outlineLevel="1" x14ac:dyDescent="0.25">
      <c r="A100" s="7">
        <v>45380</v>
      </c>
      <c r="B100" s="6">
        <v>2335.6155094854253</v>
      </c>
      <c r="C100" s="6">
        <v>635.08000000000015</v>
      </c>
      <c r="D100" s="6">
        <v>195.2</v>
      </c>
      <c r="E100" s="6">
        <v>1270.4799999999998</v>
      </c>
      <c r="F100" s="8">
        <v>0</v>
      </c>
      <c r="G100" s="116"/>
      <c r="H100" s="115"/>
      <c r="I100" s="115"/>
      <c r="J100" s="115"/>
    </row>
    <row r="101" spans="1:10" hidden="1" outlineLevel="1" x14ac:dyDescent="0.25">
      <c r="A101" s="7">
        <v>45381</v>
      </c>
      <c r="B101" s="6">
        <v>2074.5755094854248</v>
      </c>
      <c r="C101" s="6">
        <v>744.66000000000008</v>
      </c>
      <c r="D101" s="6">
        <v>166.02</v>
      </c>
      <c r="E101" s="6">
        <v>1283.4000000000001</v>
      </c>
      <c r="F101" s="8">
        <v>0</v>
      </c>
      <c r="G101" s="116"/>
      <c r="H101" s="115"/>
      <c r="I101" s="115"/>
      <c r="J101" s="115"/>
    </row>
    <row r="102" spans="1:10" hidden="1" outlineLevel="1" x14ac:dyDescent="0.25">
      <c r="A102" s="7">
        <v>45382</v>
      </c>
      <c r="B102" s="6">
        <v>2408.5855094854251</v>
      </c>
      <c r="C102" s="6">
        <v>532.86</v>
      </c>
      <c r="D102" s="6">
        <v>413.88</v>
      </c>
      <c r="E102" s="6">
        <v>756.74</v>
      </c>
      <c r="F102" s="8">
        <v>0</v>
      </c>
      <c r="G102" s="116"/>
      <c r="H102" s="115"/>
      <c r="I102" s="115"/>
      <c r="J102" s="115"/>
    </row>
    <row r="103" spans="1:10" collapsed="1" x14ac:dyDescent="0.25">
      <c r="A103" s="7" t="s">
        <v>23</v>
      </c>
      <c r="B103" s="5">
        <v>71757.760794048154</v>
      </c>
      <c r="C103" s="5">
        <v>17553.240000000002</v>
      </c>
      <c r="D103" s="5">
        <v>10578.720000000003</v>
      </c>
      <c r="E103" s="5">
        <v>37283.010000000009</v>
      </c>
      <c r="F103" s="9">
        <v>0</v>
      </c>
      <c r="G103" s="4"/>
      <c r="H103" s="115"/>
      <c r="I103" s="115"/>
      <c r="J103" s="115"/>
    </row>
    <row r="104" spans="1:10" hidden="1" outlineLevel="1" x14ac:dyDescent="0.25">
      <c r="A104" s="7">
        <v>45383</v>
      </c>
      <c r="B104" s="6">
        <v>2083.8934794520546</v>
      </c>
      <c r="C104" s="6">
        <v>444.96</v>
      </c>
      <c r="D104" s="6">
        <v>260.06</v>
      </c>
      <c r="E104" s="6">
        <v>1208.1400000000001</v>
      </c>
      <c r="F104" s="8">
        <v>0</v>
      </c>
      <c r="G104" s="116"/>
      <c r="H104" s="115"/>
      <c r="I104" s="115"/>
      <c r="J104" s="115"/>
    </row>
    <row r="105" spans="1:10" hidden="1" outlineLevel="1" x14ac:dyDescent="0.25">
      <c r="A105" s="7">
        <v>45384</v>
      </c>
      <c r="B105" s="6">
        <v>2053.5934794520549</v>
      </c>
      <c r="C105" s="6">
        <v>647.89999999999986</v>
      </c>
      <c r="D105" s="6">
        <v>181.97200000000001</v>
      </c>
      <c r="E105" s="6">
        <v>1409.3</v>
      </c>
      <c r="F105" s="8">
        <v>0</v>
      </c>
      <c r="G105" s="116"/>
      <c r="H105" s="115"/>
      <c r="I105" s="115"/>
      <c r="J105" s="115"/>
    </row>
    <row r="106" spans="1:10" hidden="1" outlineLevel="1" x14ac:dyDescent="0.25">
      <c r="A106" s="7">
        <v>45385</v>
      </c>
      <c r="B106" s="6">
        <v>2199.0234794520552</v>
      </c>
      <c r="C106" s="6">
        <v>390.16</v>
      </c>
      <c r="D106" s="6">
        <v>220.27999999999997</v>
      </c>
      <c r="E106" s="6">
        <v>1610.96</v>
      </c>
      <c r="F106" s="8">
        <v>0</v>
      </c>
      <c r="G106" s="116"/>
      <c r="H106" s="115"/>
      <c r="I106" s="115"/>
      <c r="J106" s="115"/>
    </row>
    <row r="107" spans="1:10" hidden="1" outlineLevel="1" x14ac:dyDescent="0.25">
      <c r="A107" s="7">
        <v>45386</v>
      </c>
      <c r="B107" s="6">
        <v>2205.2134794520548</v>
      </c>
      <c r="C107" s="6">
        <v>494.79999999999995</v>
      </c>
      <c r="D107" s="6">
        <v>102.8</v>
      </c>
      <c r="E107" s="6">
        <v>1419.42</v>
      </c>
      <c r="F107" s="8">
        <v>0</v>
      </c>
      <c r="G107" s="116"/>
      <c r="H107" s="115"/>
      <c r="I107" s="115"/>
      <c r="J107" s="115"/>
    </row>
    <row r="108" spans="1:10" hidden="1" outlineLevel="1" x14ac:dyDescent="0.25">
      <c r="A108" s="7">
        <v>45387</v>
      </c>
      <c r="B108" s="6">
        <v>2081.2534794520552</v>
      </c>
      <c r="C108" s="6">
        <v>588.88000000000011</v>
      </c>
      <c r="D108" s="6">
        <v>284.39999999999998</v>
      </c>
      <c r="E108" s="6">
        <v>1106.52</v>
      </c>
      <c r="F108" s="8">
        <v>0</v>
      </c>
      <c r="G108" s="116"/>
      <c r="H108" s="115"/>
      <c r="I108" s="115"/>
      <c r="J108" s="115"/>
    </row>
    <row r="109" spans="1:10" hidden="1" outlineLevel="1" x14ac:dyDescent="0.25">
      <c r="A109" s="7">
        <v>45388</v>
      </c>
      <c r="B109" s="6">
        <v>2171.3534794520547</v>
      </c>
      <c r="C109" s="6">
        <v>472.09999999999997</v>
      </c>
      <c r="D109" s="6">
        <v>406.04000000000008</v>
      </c>
      <c r="E109" s="6">
        <v>826.94</v>
      </c>
      <c r="F109" s="8">
        <v>0</v>
      </c>
      <c r="G109" s="116"/>
      <c r="H109" s="115"/>
      <c r="I109" s="115"/>
      <c r="J109" s="115"/>
    </row>
    <row r="110" spans="1:10" hidden="1" outlineLevel="1" x14ac:dyDescent="0.25">
      <c r="A110" s="7">
        <v>45389</v>
      </c>
      <c r="B110" s="6">
        <v>2177.493479452055</v>
      </c>
      <c r="C110" s="6">
        <v>550.90000000000009</v>
      </c>
      <c r="D110" s="6">
        <v>216.96</v>
      </c>
      <c r="E110" s="6">
        <v>1075.1199999999999</v>
      </c>
      <c r="F110" s="8">
        <v>0</v>
      </c>
      <c r="G110" s="116"/>
      <c r="H110" s="115"/>
      <c r="I110" s="115"/>
      <c r="J110" s="115"/>
    </row>
    <row r="111" spans="1:10" hidden="1" outlineLevel="1" x14ac:dyDescent="0.25">
      <c r="A111" s="7">
        <v>45390</v>
      </c>
      <c r="B111" s="6">
        <v>2119.8934794520551</v>
      </c>
      <c r="C111" s="6">
        <v>575.05999999999995</v>
      </c>
      <c r="D111" s="6">
        <v>133.41999999999999</v>
      </c>
      <c r="E111" s="6">
        <v>1269.5600000000002</v>
      </c>
      <c r="F111" s="8">
        <v>0</v>
      </c>
      <c r="G111" s="116"/>
      <c r="H111" s="115"/>
      <c r="I111" s="115"/>
      <c r="J111" s="115"/>
    </row>
    <row r="112" spans="1:10" hidden="1" outlineLevel="1" x14ac:dyDescent="0.25">
      <c r="A112" s="7">
        <v>45391</v>
      </c>
      <c r="B112" s="6">
        <v>1926.5734794520549</v>
      </c>
      <c r="C112" s="6">
        <v>496.65999999999997</v>
      </c>
      <c r="D112" s="6">
        <v>173.04</v>
      </c>
      <c r="E112" s="6">
        <v>1534.08</v>
      </c>
      <c r="F112" s="8">
        <v>0</v>
      </c>
      <c r="G112" s="116"/>
      <c r="H112" s="115"/>
      <c r="I112" s="115"/>
      <c r="J112" s="115"/>
    </row>
    <row r="113" spans="1:10" hidden="1" outlineLevel="1" x14ac:dyDescent="0.25">
      <c r="A113" s="7">
        <v>45392</v>
      </c>
      <c r="B113" s="6">
        <v>2028.453479452055</v>
      </c>
      <c r="C113" s="6">
        <v>391.64</v>
      </c>
      <c r="D113" s="6">
        <v>284.48</v>
      </c>
      <c r="E113" s="6">
        <v>1460.72</v>
      </c>
      <c r="F113" s="8">
        <v>0</v>
      </c>
      <c r="G113" s="116"/>
      <c r="H113" s="115"/>
      <c r="I113" s="115"/>
      <c r="J113" s="115"/>
    </row>
    <row r="114" spans="1:10" hidden="1" outlineLevel="1" x14ac:dyDescent="0.25">
      <c r="A114" s="7">
        <v>45393</v>
      </c>
      <c r="B114" s="6">
        <v>2082.283479452055</v>
      </c>
      <c r="C114" s="6">
        <v>582.44000000000005</v>
      </c>
      <c r="D114" s="6">
        <v>280.98</v>
      </c>
      <c r="E114" s="6">
        <v>1497.98</v>
      </c>
      <c r="F114" s="8">
        <v>0</v>
      </c>
      <c r="G114" s="116"/>
      <c r="H114" s="4"/>
      <c r="I114" s="115"/>
      <c r="J114" s="115"/>
    </row>
    <row r="115" spans="1:10" hidden="1" outlineLevel="1" x14ac:dyDescent="0.25">
      <c r="A115" s="7">
        <v>45394</v>
      </c>
      <c r="B115" s="6">
        <v>2166.3534794520551</v>
      </c>
      <c r="C115" s="6">
        <v>594.42000000000007</v>
      </c>
      <c r="D115" s="6">
        <v>264.02</v>
      </c>
      <c r="E115" s="6">
        <v>1342.11</v>
      </c>
      <c r="F115" s="8">
        <v>0</v>
      </c>
      <c r="G115" s="116"/>
      <c r="H115" s="115"/>
      <c r="I115" s="115"/>
      <c r="J115" s="115"/>
    </row>
    <row r="116" spans="1:10" hidden="1" outlineLevel="1" x14ac:dyDescent="0.25">
      <c r="A116" s="7">
        <v>45395</v>
      </c>
      <c r="B116" s="6">
        <v>2014.6034794520549</v>
      </c>
      <c r="C116" s="6">
        <v>584.72</v>
      </c>
      <c r="D116" s="6">
        <v>256.8</v>
      </c>
      <c r="E116" s="6">
        <v>1714.8200000000002</v>
      </c>
      <c r="F116" s="8">
        <v>0</v>
      </c>
      <c r="G116" s="116"/>
      <c r="H116" s="115"/>
      <c r="I116" s="115"/>
      <c r="J116" s="115"/>
    </row>
    <row r="117" spans="1:10" hidden="1" outlineLevel="1" x14ac:dyDescent="0.25">
      <c r="A117" s="7">
        <v>45396</v>
      </c>
      <c r="B117" s="6">
        <v>2057.6734794520548</v>
      </c>
      <c r="C117" s="6">
        <v>562.57999999999993</v>
      </c>
      <c r="D117" s="6">
        <v>357.62</v>
      </c>
      <c r="E117" s="6">
        <v>1636.58</v>
      </c>
      <c r="F117" s="8">
        <v>0</v>
      </c>
      <c r="G117" s="116"/>
      <c r="H117" s="115"/>
      <c r="I117" s="115"/>
      <c r="J117" s="115"/>
    </row>
    <row r="118" spans="1:10" hidden="1" outlineLevel="1" x14ac:dyDescent="0.25">
      <c r="A118" s="7">
        <v>45397</v>
      </c>
      <c r="B118" s="6">
        <v>1921.7334794520548</v>
      </c>
      <c r="C118" s="6">
        <v>503.9799999999999</v>
      </c>
      <c r="D118" s="6">
        <v>433.58</v>
      </c>
      <c r="E118" s="6">
        <v>1401.085</v>
      </c>
      <c r="F118" s="8">
        <v>0</v>
      </c>
      <c r="G118" s="116"/>
      <c r="H118" s="115"/>
      <c r="I118" s="115"/>
      <c r="J118" s="115"/>
    </row>
    <row r="119" spans="1:10" hidden="1" outlineLevel="1" x14ac:dyDescent="0.25">
      <c r="A119" s="7">
        <v>45398</v>
      </c>
      <c r="B119" s="6">
        <v>2272.6334794520549</v>
      </c>
      <c r="C119" s="6">
        <v>572.6400000000001</v>
      </c>
      <c r="D119" s="6">
        <v>426.13999999999993</v>
      </c>
      <c r="E119" s="6">
        <v>1354.88</v>
      </c>
      <c r="F119" s="8">
        <v>0</v>
      </c>
      <c r="G119" s="116"/>
      <c r="H119" s="115"/>
      <c r="I119" s="115"/>
      <c r="J119" s="115"/>
    </row>
    <row r="120" spans="1:10" hidden="1" outlineLevel="1" x14ac:dyDescent="0.25">
      <c r="A120" s="7">
        <v>45399</v>
      </c>
      <c r="B120" s="6">
        <v>2265.2934794520547</v>
      </c>
      <c r="C120" s="6">
        <v>575.36</v>
      </c>
      <c r="D120" s="6">
        <v>326.64</v>
      </c>
      <c r="E120" s="6">
        <v>1759.8499999999997</v>
      </c>
      <c r="F120" s="8">
        <v>0</v>
      </c>
      <c r="G120" s="116"/>
      <c r="H120" s="115"/>
      <c r="I120" s="115"/>
      <c r="J120" s="115"/>
    </row>
    <row r="121" spans="1:10" hidden="1" outlineLevel="1" x14ac:dyDescent="0.25">
      <c r="A121" s="7">
        <v>45400</v>
      </c>
      <c r="B121" s="6">
        <v>2294.8858082191778</v>
      </c>
      <c r="C121" s="6">
        <v>437.47999999999996</v>
      </c>
      <c r="D121" s="6">
        <v>359.11999999999995</v>
      </c>
      <c r="E121" s="6">
        <v>1642.5000000000005</v>
      </c>
      <c r="F121" s="8">
        <v>0</v>
      </c>
      <c r="G121" s="116"/>
      <c r="H121" s="115"/>
      <c r="I121" s="115"/>
      <c r="J121" s="115"/>
    </row>
    <row r="122" spans="1:10" hidden="1" outlineLevel="1" x14ac:dyDescent="0.25">
      <c r="A122" s="7">
        <v>45401</v>
      </c>
      <c r="B122" s="6">
        <v>1922.3458082191783</v>
      </c>
      <c r="C122" s="6">
        <v>502.28000000000009</v>
      </c>
      <c r="D122" s="6">
        <v>228.3</v>
      </c>
      <c r="E122" s="6">
        <v>1515.6599999999999</v>
      </c>
      <c r="F122" s="8">
        <v>0</v>
      </c>
      <c r="G122" s="116"/>
      <c r="H122" s="115"/>
      <c r="I122" s="115"/>
      <c r="J122" s="115"/>
    </row>
    <row r="123" spans="1:10" hidden="1" outlineLevel="1" x14ac:dyDescent="0.25">
      <c r="A123" s="7">
        <v>45402</v>
      </c>
      <c r="B123" s="6">
        <v>1916.8758082191782</v>
      </c>
      <c r="C123" s="6">
        <v>326.2</v>
      </c>
      <c r="D123" s="6">
        <v>199.73999999999998</v>
      </c>
      <c r="E123" s="6">
        <v>1904.6000000000004</v>
      </c>
      <c r="F123" s="8">
        <v>0</v>
      </c>
      <c r="G123" s="116"/>
      <c r="H123" s="115"/>
      <c r="I123" s="115"/>
      <c r="J123" s="115"/>
    </row>
    <row r="124" spans="1:10" hidden="1" outlineLevel="1" x14ac:dyDescent="0.25">
      <c r="A124" s="7">
        <v>45403</v>
      </c>
      <c r="B124" s="6">
        <v>1768.8558082191782</v>
      </c>
      <c r="C124" s="6">
        <v>122.99999999999999</v>
      </c>
      <c r="D124" s="6">
        <v>676.16</v>
      </c>
      <c r="E124" s="6">
        <v>1781.69</v>
      </c>
      <c r="F124" s="8">
        <v>0</v>
      </c>
      <c r="G124" s="116"/>
      <c r="H124" s="115"/>
      <c r="I124" s="115"/>
      <c r="J124" s="115"/>
    </row>
    <row r="125" spans="1:10" hidden="1" outlineLevel="1" x14ac:dyDescent="0.25">
      <c r="A125" s="7">
        <v>45404</v>
      </c>
      <c r="B125" s="6">
        <v>1891.9458082191782</v>
      </c>
      <c r="C125" s="6">
        <v>366.38000000000005</v>
      </c>
      <c r="D125" s="6">
        <v>318.62</v>
      </c>
      <c r="E125" s="6">
        <v>1904.8899999999999</v>
      </c>
      <c r="F125" s="8">
        <v>0</v>
      </c>
      <c r="G125" s="116"/>
      <c r="H125" s="115"/>
      <c r="I125" s="115"/>
      <c r="J125" s="115"/>
    </row>
    <row r="126" spans="1:10" hidden="1" outlineLevel="1" x14ac:dyDescent="0.25">
      <c r="A126" s="7">
        <v>45405</v>
      </c>
      <c r="B126" s="6">
        <v>2112.9558082191784</v>
      </c>
      <c r="C126" s="6">
        <v>397.58</v>
      </c>
      <c r="D126" s="6">
        <v>315.76</v>
      </c>
      <c r="E126" s="6">
        <v>2076.46</v>
      </c>
      <c r="F126" s="8">
        <v>0</v>
      </c>
      <c r="G126" s="116"/>
      <c r="H126" s="115"/>
      <c r="I126" s="115"/>
      <c r="J126" s="115"/>
    </row>
    <row r="127" spans="1:10" hidden="1" outlineLevel="1" x14ac:dyDescent="0.25">
      <c r="A127" s="7">
        <v>45406</v>
      </c>
      <c r="B127" s="6">
        <v>2154.1558082191782</v>
      </c>
      <c r="C127" s="6">
        <v>337.96</v>
      </c>
      <c r="D127" s="6">
        <v>456</v>
      </c>
      <c r="E127" s="6">
        <v>1767.46</v>
      </c>
      <c r="F127" s="8">
        <v>0</v>
      </c>
      <c r="G127" s="116"/>
      <c r="H127" s="115"/>
      <c r="I127" s="115"/>
      <c r="J127" s="115"/>
    </row>
    <row r="128" spans="1:10" hidden="1" outlineLevel="1" x14ac:dyDescent="0.25">
      <c r="A128" s="7">
        <v>45407</v>
      </c>
      <c r="B128" s="6">
        <v>1937.5058082191781</v>
      </c>
      <c r="C128" s="6">
        <v>292.52000000000004</v>
      </c>
      <c r="D128" s="6">
        <v>394.65999999999997</v>
      </c>
      <c r="E128" s="6">
        <v>1266.3</v>
      </c>
      <c r="F128" s="8">
        <v>0</v>
      </c>
      <c r="G128" s="116"/>
      <c r="H128" s="115"/>
      <c r="I128" s="115"/>
      <c r="J128" s="115"/>
    </row>
    <row r="129" spans="1:10" hidden="1" outlineLevel="1" x14ac:dyDescent="0.25">
      <c r="A129" s="7">
        <v>45408</v>
      </c>
      <c r="B129" s="6">
        <v>1911.8458082191783</v>
      </c>
      <c r="C129" s="6">
        <v>373.77999999999992</v>
      </c>
      <c r="D129" s="6">
        <v>335.69999999999993</v>
      </c>
      <c r="E129" s="6">
        <v>1263.32</v>
      </c>
      <c r="F129" s="8">
        <v>0</v>
      </c>
      <c r="G129" s="116"/>
      <c r="H129" s="115"/>
      <c r="I129" s="115"/>
      <c r="J129" s="115"/>
    </row>
    <row r="130" spans="1:10" hidden="1" outlineLevel="1" x14ac:dyDescent="0.25">
      <c r="A130" s="7">
        <v>45409</v>
      </c>
      <c r="B130" s="6">
        <v>440.54580821917801</v>
      </c>
      <c r="C130" s="6">
        <v>22.6</v>
      </c>
      <c r="D130" s="6">
        <v>0</v>
      </c>
      <c r="E130" s="6">
        <v>0</v>
      </c>
      <c r="F130" s="8">
        <v>0</v>
      </c>
      <c r="G130" s="116"/>
      <c r="H130" s="115"/>
      <c r="I130" s="115"/>
      <c r="J130" s="115"/>
    </row>
    <row r="131" spans="1:10" hidden="1" outlineLevel="1" x14ac:dyDescent="0.25">
      <c r="A131" s="7">
        <v>45410</v>
      </c>
      <c r="B131" s="6">
        <v>440.54580821917801</v>
      </c>
      <c r="C131" s="6">
        <v>0</v>
      </c>
      <c r="D131" s="6">
        <v>0</v>
      </c>
      <c r="E131" s="6">
        <v>0</v>
      </c>
      <c r="F131" s="8">
        <v>0</v>
      </c>
      <c r="G131" s="116"/>
      <c r="H131" s="115"/>
      <c r="I131" s="115"/>
      <c r="J131" s="115"/>
    </row>
    <row r="132" spans="1:10" hidden="1" outlineLevel="1" x14ac:dyDescent="0.25">
      <c r="A132" s="7">
        <v>45411</v>
      </c>
      <c r="B132" s="6">
        <v>440.54580821917801</v>
      </c>
      <c r="C132" s="6">
        <v>0</v>
      </c>
      <c r="D132" s="6">
        <v>0</v>
      </c>
      <c r="E132" s="6">
        <v>0</v>
      </c>
      <c r="F132" s="8">
        <v>0</v>
      </c>
      <c r="G132" s="116"/>
      <c r="H132" s="115"/>
      <c r="I132" s="115"/>
      <c r="J132" s="115"/>
    </row>
    <row r="133" spans="1:10" hidden="1" outlineLevel="1" x14ac:dyDescent="0.25">
      <c r="A133" s="7">
        <v>45412</v>
      </c>
      <c r="B133" s="6">
        <v>440.54580821917801</v>
      </c>
      <c r="C133" s="6">
        <v>0</v>
      </c>
      <c r="D133" s="6">
        <v>0</v>
      </c>
      <c r="E133" s="6">
        <v>0</v>
      </c>
      <c r="F133" s="8">
        <v>0</v>
      </c>
      <c r="G133" s="116"/>
      <c r="H133" s="115"/>
      <c r="I133" s="115"/>
      <c r="J133" s="115"/>
    </row>
    <row r="134" spans="1:10" collapsed="1" x14ac:dyDescent="0.25">
      <c r="A134" s="7" t="s">
        <v>24</v>
      </c>
      <c r="B134" s="5">
        <v>55500.874657534245</v>
      </c>
      <c r="C134" s="5">
        <v>12208.980000000001</v>
      </c>
      <c r="D134" s="5">
        <v>7893.2920000000004</v>
      </c>
      <c r="E134" s="5">
        <v>38750.945</v>
      </c>
      <c r="F134" s="9">
        <v>0</v>
      </c>
      <c r="G134" s="4"/>
      <c r="H134" s="115"/>
      <c r="I134" s="115"/>
      <c r="J134" s="115"/>
    </row>
    <row r="135" spans="1:10" hidden="1" outlineLevel="1" x14ac:dyDescent="0.25">
      <c r="A135" s="7">
        <v>45413</v>
      </c>
      <c r="B135" s="6">
        <v>2043.345808219178</v>
      </c>
      <c r="C135" s="6">
        <v>480.41999999999985</v>
      </c>
      <c r="D135" s="6">
        <v>226.18</v>
      </c>
      <c r="E135" s="6">
        <v>2056.27</v>
      </c>
      <c r="F135" s="8">
        <v>0</v>
      </c>
      <c r="G135" s="116"/>
      <c r="H135" s="115"/>
      <c r="I135" s="115"/>
      <c r="J135" s="115"/>
    </row>
    <row r="136" spans="1:10" hidden="1" outlineLevel="1" x14ac:dyDescent="0.25">
      <c r="A136" s="7">
        <v>45414</v>
      </c>
      <c r="B136" s="6">
        <v>2082.0658082191781</v>
      </c>
      <c r="C136" s="6">
        <v>487.70000000000005</v>
      </c>
      <c r="D136" s="6">
        <v>312.72000000000003</v>
      </c>
      <c r="E136" s="6">
        <v>1601.15</v>
      </c>
      <c r="F136" s="8">
        <v>0</v>
      </c>
      <c r="G136" s="116"/>
      <c r="H136" s="115"/>
      <c r="I136" s="115"/>
      <c r="J136" s="115"/>
    </row>
    <row r="137" spans="1:10" hidden="1" outlineLevel="1" x14ac:dyDescent="0.25">
      <c r="A137" s="7">
        <v>45415</v>
      </c>
      <c r="B137" s="6">
        <v>2089.4058082191782</v>
      </c>
      <c r="C137" s="6">
        <v>508.61999999999995</v>
      </c>
      <c r="D137" s="6">
        <v>354.15999999999997</v>
      </c>
      <c r="E137" s="6">
        <v>1688.5499999999997</v>
      </c>
      <c r="F137" s="8">
        <v>0</v>
      </c>
      <c r="G137" s="116"/>
      <c r="H137" s="115"/>
      <c r="I137" s="115"/>
      <c r="J137" s="115"/>
    </row>
    <row r="138" spans="1:10" hidden="1" outlineLevel="1" x14ac:dyDescent="0.25">
      <c r="A138" s="7">
        <v>45416</v>
      </c>
      <c r="B138" s="6">
        <v>2086.5358082191779</v>
      </c>
      <c r="C138" s="6">
        <v>329.32000000000005</v>
      </c>
      <c r="D138" s="6">
        <v>256</v>
      </c>
      <c r="E138" s="6">
        <v>1833.5000000000002</v>
      </c>
      <c r="F138" s="8">
        <v>0</v>
      </c>
      <c r="G138" s="116"/>
      <c r="H138" s="115"/>
      <c r="I138" s="115"/>
      <c r="J138" s="115"/>
    </row>
    <row r="139" spans="1:10" hidden="1" outlineLevel="1" x14ac:dyDescent="0.25">
      <c r="A139" s="7">
        <v>45417</v>
      </c>
      <c r="B139" s="6">
        <v>1816.7058082191779</v>
      </c>
      <c r="C139" s="6">
        <v>322.8</v>
      </c>
      <c r="D139" s="6">
        <v>355.80000000000007</v>
      </c>
      <c r="E139" s="6">
        <v>1727.2200000000003</v>
      </c>
      <c r="F139" s="8">
        <v>0</v>
      </c>
      <c r="G139" s="116"/>
      <c r="H139" s="115"/>
      <c r="I139" s="115"/>
      <c r="J139" s="115"/>
    </row>
    <row r="140" spans="1:10" hidden="1" outlineLevel="1" x14ac:dyDescent="0.25">
      <c r="A140" s="7">
        <v>45418</v>
      </c>
      <c r="B140" s="6">
        <v>1914.825808219178</v>
      </c>
      <c r="C140" s="6">
        <v>392.28000000000009</v>
      </c>
      <c r="D140" s="6">
        <v>233.3</v>
      </c>
      <c r="E140" s="6">
        <v>1758.9499999999998</v>
      </c>
      <c r="F140" s="8">
        <v>0</v>
      </c>
      <c r="G140" s="116"/>
      <c r="H140" s="115"/>
      <c r="I140" s="115"/>
      <c r="J140" s="115"/>
    </row>
    <row r="141" spans="1:10" hidden="1" outlineLevel="1" x14ac:dyDescent="0.25">
      <c r="A141" s="7">
        <v>45419</v>
      </c>
      <c r="B141" s="6">
        <v>1700.7658082191783</v>
      </c>
      <c r="C141" s="6">
        <v>432.54</v>
      </c>
      <c r="D141" s="6">
        <v>262.94</v>
      </c>
      <c r="E141" s="6">
        <v>1826.2000000000003</v>
      </c>
      <c r="F141" s="8">
        <v>0</v>
      </c>
      <c r="G141" s="116"/>
      <c r="H141" s="115"/>
      <c r="I141" s="115"/>
      <c r="J141" s="115"/>
    </row>
    <row r="142" spans="1:10" hidden="1" outlineLevel="1" x14ac:dyDescent="0.25">
      <c r="A142" s="7">
        <v>45420</v>
      </c>
      <c r="B142" s="6">
        <v>1863.7658082191779</v>
      </c>
      <c r="C142" s="6">
        <v>282.27999999999997</v>
      </c>
      <c r="D142" s="6">
        <v>218.53999999999996</v>
      </c>
      <c r="E142" s="6">
        <v>1631.47</v>
      </c>
      <c r="F142" s="8">
        <v>0</v>
      </c>
      <c r="G142" s="116"/>
      <c r="H142" s="115"/>
      <c r="I142" s="115"/>
      <c r="J142" s="115"/>
    </row>
    <row r="143" spans="1:10" hidden="1" outlineLevel="1" x14ac:dyDescent="0.25">
      <c r="A143" s="7">
        <v>45421</v>
      </c>
      <c r="B143" s="6">
        <v>1810.2258082191781</v>
      </c>
      <c r="C143" s="6">
        <v>353.58000000000004</v>
      </c>
      <c r="D143" s="6">
        <v>402.56000000000006</v>
      </c>
      <c r="E143" s="6">
        <v>1348.8300000000002</v>
      </c>
      <c r="F143" s="8">
        <v>0</v>
      </c>
      <c r="G143" s="116"/>
      <c r="H143" s="115"/>
      <c r="I143" s="115"/>
      <c r="J143" s="115"/>
    </row>
    <row r="144" spans="1:10" hidden="1" outlineLevel="1" x14ac:dyDescent="0.25">
      <c r="A144" s="7">
        <v>45422</v>
      </c>
      <c r="B144" s="6">
        <v>1990.0258082191781</v>
      </c>
      <c r="C144" s="6">
        <v>415.09999999999997</v>
      </c>
      <c r="D144" s="6">
        <v>219.31999999999996</v>
      </c>
      <c r="E144" s="6">
        <v>1981.92</v>
      </c>
      <c r="F144" s="8">
        <v>0</v>
      </c>
      <c r="G144" s="116"/>
      <c r="H144" s="115"/>
      <c r="I144" s="115"/>
      <c r="J144" s="115"/>
    </row>
    <row r="145" spans="1:10" hidden="1" outlineLevel="1" x14ac:dyDescent="0.25">
      <c r="A145" s="7">
        <v>45423</v>
      </c>
      <c r="B145" s="6">
        <v>1814.875808219178</v>
      </c>
      <c r="C145" s="6">
        <v>360.03999999999996</v>
      </c>
      <c r="D145" s="6">
        <v>379.34999999999991</v>
      </c>
      <c r="E145" s="6">
        <v>1650.39</v>
      </c>
      <c r="F145" s="8">
        <v>0</v>
      </c>
      <c r="G145" s="116"/>
      <c r="H145" s="115"/>
      <c r="I145" s="115"/>
      <c r="J145" s="115"/>
    </row>
    <row r="146" spans="1:10" hidden="1" outlineLevel="1" x14ac:dyDescent="0.25">
      <c r="A146" s="7">
        <v>45424</v>
      </c>
      <c r="B146" s="6">
        <v>1665.1258082191782</v>
      </c>
      <c r="C146" s="6">
        <v>260.94000000000005</v>
      </c>
      <c r="D146" s="6">
        <v>204.16</v>
      </c>
      <c r="E146" s="6">
        <v>1019.1900000000002</v>
      </c>
      <c r="F146" s="8">
        <v>0</v>
      </c>
      <c r="G146" s="116"/>
      <c r="H146" s="115"/>
      <c r="I146" s="115"/>
      <c r="J146" s="115"/>
    </row>
    <row r="147" spans="1:10" hidden="1" outlineLevel="1" x14ac:dyDescent="0.25">
      <c r="A147" s="7">
        <v>45425</v>
      </c>
      <c r="B147" s="6">
        <v>1637.9458082191782</v>
      </c>
      <c r="C147" s="6">
        <v>324.88</v>
      </c>
      <c r="D147" s="6">
        <v>198.42</v>
      </c>
      <c r="E147" s="6">
        <v>1055.51</v>
      </c>
      <c r="F147" s="8">
        <v>0</v>
      </c>
      <c r="G147" s="116"/>
      <c r="H147" s="115"/>
      <c r="I147" s="115"/>
      <c r="J147" s="115"/>
    </row>
    <row r="148" spans="1:10" hidden="1" outlineLevel="1" x14ac:dyDescent="0.25">
      <c r="A148" s="7">
        <v>45426</v>
      </c>
      <c r="B148" s="6">
        <v>440.54580821917801</v>
      </c>
      <c r="C148" s="6">
        <v>32.120000000000005</v>
      </c>
      <c r="D148" s="6">
        <v>0</v>
      </c>
      <c r="E148" s="6">
        <v>0</v>
      </c>
      <c r="F148" s="8">
        <v>0</v>
      </c>
      <c r="G148" s="116"/>
      <c r="H148" s="115"/>
      <c r="I148" s="115"/>
      <c r="J148" s="115"/>
    </row>
    <row r="149" spans="1:10" hidden="1" outlineLevel="1" x14ac:dyDescent="0.25">
      <c r="A149" s="7">
        <v>45427</v>
      </c>
      <c r="B149" s="6">
        <v>0</v>
      </c>
      <c r="C149" s="6">
        <v>0</v>
      </c>
      <c r="D149" s="6">
        <v>0</v>
      </c>
      <c r="E149" s="6">
        <v>0</v>
      </c>
      <c r="F149" s="8">
        <v>0</v>
      </c>
      <c r="G149" s="116"/>
      <c r="H149" s="115"/>
      <c r="I149" s="115"/>
      <c r="J149" s="115"/>
    </row>
    <row r="150" spans="1:10" hidden="1" outlineLevel="1" x14ac:dyDescent="0.25">
      <c r="A150" s="7">
        <v>45428</v>
      </c>
      <c r="B150" s="6">
        <v>0</v>
      </c>
      <c r="C150" s="6">
        <v>0</v>
      </c>
      <c r="D150" s="6">
        <v>0</v>
      </c>
      <c r="E150" s="6">
        <v>0</v>
      </c>
      <c r="F150" s="8">
        <v>0</v>
      </c>
      <c r="G150" s="116"/>
      <c r="H150" s="115"/>
      <c r="I150" s="115"/>
      <c r="J150" s="115"/>
    </row>
    <row r="151" spans="1:10" hidden="1" outlineLevel="1" x14ac:dyDescent="0.25">
      <c r="A151" s="7">
        <v>45429</v>
      </c>
      <c r="B151" s="6">
        <v>0</v>
      </c>
      <c r="C151" s="6">
        <v>0</v>
      </c>
      <c r="D151" s="6">
        <v>0</v>
      </c>
      <c r="E151" s="6">
        <v>0</v>
      </c>
      <c r="F151" s="8">
        <v>0</v>
      </c>
      <c r="G151" s="116"/>
      <c r="H151" s="115"/>
      <c r="I151" s="115"/>
      <c r="J151" s="115"/>
    </row>
    <row r="152" spans="1:10" hidden="1" outlineLevel="1" x14ac:dyDescent="0.25">
      <c r="A152" s="7">
        <v>45430</v>
      </c>
      <c r="B152" s="6">
        <v>0</v>
      </c>
      <c r="C152" s="6">
        <v>0</v>
      </c>
      <c r="D152" s="6">
        <v>0</v>
      </c>
      <c r="E152" s="6">
        <v>0</v>
      </c>
      <c r="F152" s="8">
        <v>0</v>
      </c>
      <c r="G152" s="116"/>
      <c r="H152" s="115"/>
      <c r="I152" s="115"/>
      <c r="J152" s="115"/>
    </row>
    <row r="153" spans="1:10" hidden="1" outlineLevel="1" x14ac:dyDescent="0.25">
      <c r="A153" s="7">
        <v>45431</v>
      </c>
      <c r="B153" s="6">
        <v>0</v>
      </c>
      <c r="C153" s="6">
        <v>0</v>
      </c>
      <c r="D153" s="6">
        <v>0</v>
      </c>
      <c r="E153" s="6">
        <v>0</v>
      </c>
      <c r="F153" s="8">
        <v>0</v>
      </c>
      <c r="G153" s="116"/>
      <c r="H153" s="115"/>
      <c r="I153" s="115"/>
      <c r="J153" s="115"/>
    </row>
    <row r="154" spans="1:10" hidden="1" outlineLevel="1" x14ac:dyDescent="0.25">
      <c r="A154" s="7">
        <v>45432</v>
      </c>
      <c r="B154" s="6">
        <v>0</v>
      </c>
      <c r="C154" s="6">
        <v>0</v>
      </c>
      <c r="D154" s="6">
        <v>0</v>
      </c>
      <c r="E154" s="6">
        <v>0</v>
      </c>
      <c r="F154" s="8">
        <v>0</v>
      </c>
      <c r="G154" s="116"/>
      <c r="H154" s="115"/>
      <c r="I154" s="115"/>
      <c r="J154" s="115"/>
    </row>
    <row r="155" spans="1:10" hidden="1" outlineLevel="1" x14ac:dyDescent="0.25">
      <c r="A155" s="7">
        <v>45433</v>
      </c>
      <c r="B155" s="6">
        <v>0</v>
      </c>
      <c r="C155" s="6">
        <v>0</v>
      </c>
      <c r="D155" s="6">
        <v>0</v>
      </c>
      <c r="E155" s="6">
        <v>0</v>
      </c>
      <c r="F155" s="8">
        <v>0</v>
      </c>
      <c r="G155" s="116"/>
      <c r="H155" s="115"/>
      <c r="I155" s="115"/>
      <c r="J155" s="115"/>
    </row>
    <row r="156" spans="1:10" hidden="1" outlineLevel="1" x14ac:dyDescent="0.25">
      <c r="A156" s="7">
        <v>45434</v>
      </c>
      <c r="B156" s="6">
        <v>0</v>
      </c>
      <c r="C156" s="6">
        <v>0</v>
      </c>
      <c r="D156" s="6">
        <v>0</v>
      </c>
      <c r="E156" s="6">
        <v>0</v>
      </c>
      <c r="F156" s="8">
        <v>0</v>
      </c>
      <c r="G156" s="116"/>
      <c r="H156" s="115"/>
      <c r="I156" s="115"/>
      <c r="J156" s="115"/>
    </row>
    <row r="157" spans="1:10" hidden="1" outlineLevel="1" x14ac:dyDescent="0.25">
      <c r="A157" s="7">
        <v>45435</v>
      </c>
      <c r="B157" s="6">
        <v>0</v>
      </c>
      <c r="C157" s="6">
        <v>0</v>
      </c>
      <c r="D157" s="6">
        <v>0</v>
      </c>
      <c r="E157" s="6">
        <v>0</v>
      </c>
      <c r="F157" s="8">
        <v>0</v>
      </c>
      <c r="G157" s="116"/>
      <c r="H157" s="115"/>
      <c r="I157" s="115"/>
      <c r="J157" s="115"/>
    </row>
    <row r="158" spans="1:10" hidden="1" outlineLevel="1" x14ac:dyDescent="0.25">
      <c r="A158" s="7">
        <v>45436</v>
      </c>
      <c r="B158" s="6">
        <v>0</v>
      </c>
      <c r="C158" s="6">
        <v>0</v>
      </c>
      <c r="D158" s="6">
        <v>0</v>
      </c>
      <c r="E158" s="6">
        <v>0</v>
      </c>
      <c r="F158" s="8">
        <v>0</v>
      </c>
      <c r="G158" s="116"/>
      <c r="H158" s="115"/>
      <c r="I158" s="115"/>
      <c r="J158" s="115"/>
    </row>
    <row r="159" spans="1:10" hidden="1" outlineLevel="1" x14ac:dyDescent="0.25">
      <c r="A159" s="7">
        <v>45437</v>
      </c>
      <c r="B159" s="6">
        <v>0</v>
      </c>
      <c r="C159" s="6">
        <v>0</v>
      </c>
      <c r="D159" s="6">
        <v>0</v>
      </c>
      <c r="E159" s="6">
        <v>0</v>
      </c>
      <c r="F159" s="8">
        <v>0</v>
      </c>
      <c r="G159" s="116"/>
      <c r="H159" s="115"/>
      <c r="I159" s="115"/>
      <c r="J159" s="115"/>
    </row>
    <row r="160" spans="1:10" hidden="1" outlineLevel="1" x14ac:dyDescent="0.25">
      <c r="A160" s="7">
        <v>45438</v>
      </c>
      <c r="B160" s="6">
        <v>0</v>
      </c>
      <c r="C160" s="6">
        <v>0</v>
      </c>
      <c r="D160" s="6">
        <v>0</v>
      </c>
      <c r="E160" s="6">
        <v>0</v>
      </c>
      <c r="F160" s="8">
        <v>0</v>
      </c>
      <c r="G160" s="116"/>
      <c r="H160" s="115"/>
      <c r="I160" s="115"/>
      <c r="J160" s="115"/>
    </row>
    <row r="161" spans="1:10" hidden="1" outlineLevel="1" x14ac:dyDescent="0.25">
      <c r="A161" s="7">
        <v>45439</v>
      </c>
      <c r="B161" s="6">
        <v>0</v>
      </c>
      <c r="C161" s="6">
        <v>0</v>
      </c>
      <c r="D161" s="6">
        <v>0</v>
      </c>
      <c r="E161" s="6">
        <v>0</v>
      </c>
      <c r="F161" s="8">
        <v>0</v>
      </c>
      <c r="G161" s="116"/>
      <c r="H161" s="115"/>
      <c r="I161" s="115"/>
      <c r="J161" s="115"/>
    </row>
    <row r="162" spans="1:10" hidden="1" outlineLevel="1" x14ac:dyDescent="0.25">
      <c r="A162" s="7">
        <v>45440</v>
      </c>
      <c r="B162" s="6">
        <v>0</v>
      </c>
      <c r="C162" s="6">
        <v>0</v>
      </c>
      <c r="D162" s="6">
        <v>0</v>
      </c>
      <c r="E162" s="6">
        <v>0</v>
      </c>
      <c r="F162" s="8">
        <v>0</v>
      </c>
      <c r="G162" s="116"/>
      <c r="H162" s="115"/>
      <c r="I162" s="115"/>
      <c r="J162" s="115"/>
    </row>
    <row r="163" spans="1:10" hidden="1" outlineLevel="1" x14ac:dyDescent="0.25">
      <c r="A163" s="7">
        <v>45441</v>
      </c>
      <c r="B163" s="6">
        <v>0</v>
      </c>
      <c r="C163" s="6">
        <v>0</v>
      </c>
      <c r="D163" s="6">
        <v>0</v>
      </c>
      <c r="E163" s="6">
        <v>0</v>
      </c>
      <c r="F163" s="8">
        <v>0</v>
      </c>
      <c r="G163" s="116"/>
      <c r="H163" s="115"/>
      <c r="I163" s="115"/>
      <c r="J163" s="115"/>
    </row>
    <row r="164" spans="1:10" hidden="1" outlineLevel="1" x14ac:dyDescent="0.25">
      <c r="A164" s="7">
        <v>45442</v>
      </c>
      <c r="B164" s="6">
        <v>0</v>
      </c>
      <c r="C164" s="6">
        <v>0</v>
      </c>
      <c r="D164" s="6">
        <v>0</v>
      </c>
      <c r="E164" s="6">
        <v>0</v>
      </c>
      <c r="F164" s="8">
        <v>0</v>
      </c>
      <c r="G164" s="116"/>
      <c r="H164" s="115"/>
      <c r="I164" s="115"/>
      <c r="J164" s="115"/>
    </row>
    <row r="165" spans="1:10" hidden="1" outlineLevel="1" x14ac:dyDescent="0.25">
      <c r="A165" s="7">
        <v>45443</v>
      </c>
      <c r="B165" s="6">
        <v>0</v>
      </c>
      <c r="C165" s="6">
        <v>0</v>
      </c>
      <c r="D165" s="6">
        <v>0</v>
      </c>
      <c r="E165" s="6">
        <v>0</v>
      </c>
      <c r="F165" s="8">
        <v>0</v>
      </c>
      <c r="G165" s="116"/>
      <c r="H165" s="115"/>
      <c r="I165" s="115"/>
      <c r="J165" s="115"/>
    </row>
    <row r="166" spans="1:10" collapsed="1" x14ac:dyDescent="0.25">
      <c r="A166" s="7" t="s">
        <v>25</v>
      </c>
      <c r="B166" s="5">
        <v>24956.16131506849</v>
      </c>
      <c r="C166" s="5">
        <v>4982.6200000000008</v>
      </c>
      <c r="D166" s="5">
        <v>3623.4500000000003</v>
      </c>
      <c r="E166" s="5">
        <v>21179.149999999994</v>
      </c>
      <c r="F166" s="9">
        <v>0</v>
      </c>
      <c r="G166" s="4"/>
      <c r="H166" s="115"/>
      <c r="I166" s="115"/>
      <c r="J166" s="115"/>
    </row>
    <row r="167" spans="1:10" hidden="1" outlineLevel="1" x14ac:dyDescent="0.25">
      <c r="A167" s="7">
        <v>45444</v>
      </c>
      <c r="B167" s="6">
        <v>0</v>
      </c>
      <c r="C167" s="6">
        <v>0</v>
      </c>
      <c r="D167" s="6">
        <v>0</v>
      </c>
      <c r="E167" s="6">
        <v>0</v>
      </c>
      <c r="F167" s="8">
        <v>0</v>
      </c>
      <c r="G167" s="116"/>
      <c r="H167" s="115"/>
      <c r="I167" s="115"/>
      <c r="J167" s="115"/>
    </row>
    <row r="168" spans="1:10" hidden="1" outlineLevel="1" x14ac:dyDescent="0.25">
      <c r="A168" s="7">
        <v>45445</v>
      </c>
      <c r="B168" s="6">
        <v>0</v>
      </c>
      <c r="C168" s="6">
        <v>0</v>
      </c>
      <c r="D168" s="6">
        <v>0</v>
      </c>
      <c r="E168" s="6">
        <v>0</v>
      </c>
      <c r="F168" s="8">
        <v>0</v>
      </c>
      <c r="G168" s="116"/>
      <c r="H168" s="115"/>
      <c r="I168" s="115"/>
      <c r="J168" s="115"/>
    </row>
    <row r="169" spans="1:10" hidden="1" outlineLevel="1" x14ac:dyDescent="0.25">
      <c r="A169" s="7">
        <v>45446</v>
      </c>
      <c r="B169" s="6">
        <v>0</v>
      </c>
      <c r="C169" s="6">
        <v>0</v>
      </c>
      <c r="D169" s="6">
        <v>0</v>
      </c>
      <c r="E169" s="6">
        <v>0</v>
      </c>
      <c r="F169" s="8">
        <v>0</v>
      </c>
      <c r="G169" s="116"/>
      <c r="H169" s="115"/>
      <c r="I169" s="115"/>
      <c r="J169" s="115"/>
    </row>
    <row r="170" spans="1:10" hidden="1" outlineLevel="1" x14ac:dyDescent="0.25">
      <c r="A170" s="7">
        <v>45447</v>
      </c>
      <c r="B170" s="6">
        <v>0</v>
      </c>
      <c r="C170" s="6">
        <v>0</v>
      </c>
      <c r="D170" s="6">
        <v>0</v>
      </c>
      <c r="E170" s="6">
        <v>0</v>
      </c>
      <c r="F170" s="8">
        <v>0</v>
      </c>
      <c r="G170" s="116"/>
      <c r="H170" s="115"/>
      <c r="I170" s="115"/>
      <c r="J170" s="115"/>
    </row>
    <row r="171" spans="1:10" hidden="1" outlineLevel="1" x14ac:dyDescent="0.25">
      <c r="A171" s="7">
        <v>45448</v>
      </c>
      <c r="B171" s="6">
        <v>0</v>
      </c>
      <c r="C171" s="6">
        <v>0</v>
      </c>
      <c r="D171" s="6">
        <v>0</v>
      </c>
      <c r="E171" s="6">
        <v>0</v>
      </c>
      <c r="F171" s="8">
        <v>0</v>
      </c>
      <c r="G171" s="116"/>
      <c r="H171" s="115"/>
      <c r="I171" s="115"/>
      <c r="J171" s="115"/>
    </row>
    <row r="172" spans="1:10" hidden="1" outlineLevel="1" x14ac:dyDescent="0.25">
      <c r="A172" s="7">
        <v>45449</v>
      </c>
      <c r="B172" s="6">
        <v>0</v>
      </c>
      <c r="C172" s="6">
        <v>0</v>
      </c>
      <c r="D172" s="6">
        <v>0</v>
      </c>
      <c r="E172" s="6">
        <v>0</v>
      </c>
      <c r="F172" s="8">
        <v>0</v>
      </c>
      <c r="G172" s="116"/>
      <c r="H172" s="115"/>
      <c r="I172" s="115"/>
      <c r="J172" s="115"/>
    </row>
    <row r="173" spans="1:10" hidden="1" outlineLevel="1" x14ac:dyDescent="0.25">
      <c r="A173" s="7">
        <v>45450</v>
      </c>
      <c r="B173" s="6">
        <v>0</v>
      </c>
      <c r="C173" s="6">
        <v>0</v>
      </c>
      <c r="D173" s="6">
        <v>0</v>
      </c>
      <c r="E173" s="6">
        <v>0</v>
      </c>
      <c r="F173" s="8">
        <v>0</v>
      </c>
      <c r="G173" s="116"/>
      <c r="H173" s="115"/>
      <c r="I173" s="115"/>
      <c r="J173" s="115"/>
    </row>
    <row r="174" spans="1:10" hidden="1" outlineLevel="1" x14ac:dyDescent="0.25">
      <c r="A174" s="7">
        <v>45451</v>
      </c>
      <c r="B174" s="6">
        <v>0</v>
      </c>
      <c r="C174" s="6">
        <v>0</v>
      </c>
      <c r="D174" s="6">
        <v>0</v>
      </c>
      <c r="E174" s="6">
        <v>0</v>
      </c>
      <c r="F174" s="8">
        <v>0</v>
      </c>
      <c r="G174" s="116"/>
      <c r="H174" s="115"/>
      <c r="I174" s="115"/>
      <c r="J174" s="115"/>
    </row>
    <row r="175" spans="1:10" hidden="1" outlineLevel="1" x14ac:dyDescent="0.25">
      <c r="A175" s="7">
        <v>45452</v>
      </c>
      <c r="B175" s="6">
        <v>0</v>
      </c>
      <c r="C175" s="6">
        <v>0</v>
      </c>
      <c r="D175" s="6">
        <v>0</v>
      </c>
      <c r="E175" s="6">
        <v>0</v>
      </c>
      <c r="F175" s="8">
        <v>0</v>
      </c>
      <c r="G175" s="116"/>
      <c r="H175" s="115"/>
      <c r="I175" s="115"/>
      <c r="J175" s="115"/>
    </row>
    <row r="176" spans="1:10" hidden="1" outlineLevel="1" x14ac:dyDescent="0.25">
      <c r="A176" s="7">
        <v>45453</v>
      </c>
      <c r="B176" s="6">
        <v>0</v>
      </c>
      <c r="C176" s="6">
        <v>0</v>
      </c>
      <c r="D176" s="6">
        <v>0</v>
      </c>
      <c r="E176" s="6">
        <v>0</v>
      </c>
      <c r="F176" s="8">
        <v>0</v>
      </c>
      <c r="G176" s="116"/>
      <c r="H176" s="115"/>
      <c r="I176" s="115"/>
      <c r="J176" s="115"/>
    </row>
    <row r="177" spans="1:10" hidden="1" outlineLevel="1" x14ac:dyDescent="0.25">
      <c r="A177" s="7">
        <v>45454</v>
      </c>
      <c r="B177" s="6">
        <v>0</v>
      </c>
      <c r="C177" s="6">
        <v>0</v>
      </c>
      <c r="D177" s="6">
        <v>0</v>
      </c>
      <c r="E177" s="6">
        <v>0</v>
      </c>
      <c r="F177" s="8">
        <v>0</v>
      </c>
      <c r="G177" s="116"/>
      <c r="H177" s="115"/>
      <c r="I177" s="115"/>
      <c r="J177" s="115"/>
    </row>
    <row r="178" spans="1:10" hidden="1" outlineLevel="1" x14ac:dyDescent="0.25">
      <c r="A178" s="7">
        <v>45455</v>
      </c>
      <c r="B178" s="6">
        <v>0</v>
      </c>
      <c r="C178" s="6">
        <v>0</v>
      </c>
      <c r="D178" s="6">
        <v>0</v>
      </c>
      <c r="E178" s="6">
        <v>0</v>
      </c>
      <c r="F178" s="8">
        <v>0</v>
      </c>
      <c r="G178" s="116"/>
      <c r="H178" s="115"/>
      <c r="I178" s="115"/>
      <c r="J178" s="115"/>
    </row>
    <row r="179" spans="1:10" hidden="1" outlineLevel="1" x14ac:dyDescent="0.25">
      <c r="A179" s="7">
        <v>45456</v>
      </c>
      <c r="B179" s="6">
        <v>0</v>
      </c>
      <c r="C179" s="6">
        <v>0</v>
      </c>
      <c r="D179" s="6">
        <v>0</v>
      </c>
      <c r="E179" s="6">
        <v>0</v>
      </c>
      <c r="F179" s="8">
        <v>0</v>
      </c>
      <c r="G179" s="116"/>
      <c r="H179" s="115"/>
      <c r="I179" s="115"/>
      <c r="J179" s="115"/>
    </row>
    <row r="180" spans="1:10" hidden="1" outlineLevel="1" x14ac:dyDescent="0.25">
      <c r="A180" s="7">
        <v>45457</v>
      </c>
      <c r="B180" s="6">
        <v>0</v>
      </c>
      <c r="C180" s="6">
        <v>0</v>
      </c>
      <c r="D180" s="6">
        <v>0</v>
      </c>
      <c r="E180" s="6">
        <v>0</v>
      </c>
      <c r="F180" s="8">
        <v>0</v>
      </c>
      <c r="G180" s="116"/>
      <c r="H180" s="115"/>
      <c r="I180" s="115"/>
      <c r="J180" s="115"/>
    </row>
    <row r="181" spans="1:10" hidden="1" outlineLevel="1" x14ac:dyDescent="0.25">
      <c r="A181" s="7">
        <v>45458</v>
      </c>
      <c r="B181" s="6">
        <v>0</v>
      </c>
      <c r="C181" s="6">
        <v>0</v>
      </c>
      <c r="D181" s="6">
        <v>0</v>
      </c>
      <c r="E181" s="6">
        <v>0</v>
      </c>
      <c r="F181" s="8">
        <v>0</v>
      </c>
      <c r="G181" s="116"/>
      <c r="H181" s="115"/>
      <c r="I181" s="115"/>
      <c r="J181" s="115"/>
    </row>
    <row r="182" spans="1:10" hidden="1" outlineLevel="1" x14ac:dyDescent="0.25">
      <c r="A182" s="7">
        <v>45459</v>
      </c>
      <c r="B182" s="6">
        <v>0</v>
      </c>
      <c r="C182" s="6">
        <v>0</v>
      </c>
      <c r="D182" s="6">
        <v>0</v>
      </c>
      <c r="E182" s="6">
        <v>0</v>
      </c>
      <c r="F182" s="8">
        <v>0</v>
      </c>
      <c r="G182" s="116"/>
      <c r="H182" s="115"/>
      <c r="I182" s="115"/>
      <c r="J182" s="115"/>
    </row>
    <row r="183" spans="1:10" hidden="1" outlineLevel="1" x14ac:dyDescent="0.25">
      <c r="A183" s="7">
        <v>45460</v>
      </c>
      <c r="B183" s="6">
        <v>0</v>
      </c>
      <c r="C183" s="6">
        <v>0</v>
      </c>
      <c r="D183" s="6">
        <v>0</v>
      </c>
      <c r="E183" s="6">
        <v>0</v>
      </c>
      <c r="F183" s="8">
        <v>0</v>
      </c>
      <c r="G183" s="116"/>
      <c r="H183" s="115"/>
      <c r="I183" s="115"/>
      <c r="J183" s="115"/>
    </row>
    <row r="184" spans="1:10" hidden="1" outlineLevel="1" x14ac:dyDescent="0.25">
      <c r="A184" s="7">
        <v>45461</v>
      </c>
      <c r="B184" s="6">
        <v>0</v>
      </c>
      <c r="C184" s="6">
        <v>0</v>
      </c>
      <c r="D184" s="6">
        <v>0</v>
      </c>
      <c r="E184" s="6">
        <v>0</v>
      </c>
      <c r="F184" s="8">
        <v>0</v>
      </c>
      <c r="G184" s="116"/>
      <c r="H184" s="115"/>
      <c r="I184" s="115"/>
      <c r="J184" s="115"/>
    </row>
    <row r="185" spans="1:10" hidden="1" outlineLevel="1" x14ac:dyDescent="0.25">
      <c r="A185" s="7">
        <v>45462</v>
      </c>
      <c r="B185" s="6">
        <v>0</v>
      </c>
      <c r="C185" s="6">
        <v>0</v>
      </c>
      <c r="D185" s="6">
        <v>0</v>
      </c>
      <c r="E185" s="6">
        <v>0</v>
      </c>
      <c r="F185" s="8">
        <v>0</v>
      </c>
      <c r="G185" s="116"/>
      <c r="H185" s="115"/>
      <c r="I185" s="115"/>
      <c r="J185" s="115"/>
    </row>
    <row r="186" spans="1:10" hidden="1" outlineLevel="1" x14ac:dyDescent="0.25">
      <c r="A186" s="7">
        <v>45463</v>
      </c>
      <c r="B186" s="6">
        <v>0</v>
      </c>
      <c r="C186" s="6">
        <v>0</v>
      </c>
      <c r="D186" s="6">
        <v>0</v>
      </c>
      <c r="E186" s="6">
        <v>0</v>
      </c>
      <c r="F186" s="8">
        <v>0</v>
      </c>
      <c r="G186" s="116"/>
      <c r="H186" s="115"/>
      <c r="I186" s="115"/>
      <c r="J186" s="115"/>
    </row>
    <row r="187" spans="1:10" hidden="1" outlineLevel="1" x14ac:dyDescent="0.25">
      <c r="A187" s="7">
        <v>45464</v>
      </c>
      <c r="B187" s="6">
        <v>0</v>
      </c>
      <c r="C187" s="6">
        <v>0</v>
      </c>
      <c r="D187" s="6">
        <v>0</v>
      </c>
      <c r="E187" s="6">
        <v>0</v>
      </c>
      <c r="F187" s="8">
        <v>0</v>
      </c>
      <c r="G187" s="116"/>
      <c r="H187" s="115"/>
      <c r="I187" s="115"/>
      <c r="J187" s="115"/>
    </row>
    <row r="188" spans="1:10" hidden="1" outlineLevel="1" x14ac:dyDescent="0.25">
      <c r="A188" s="7">
        <v>45465</v>
      </c>
      <c r="B188" s="6">
        <v>0</v>
      </c>
      <c r="C188" s="6">
        <v>0</v>
      </c>
      <c r="D188" s="6">
        <v>0</v>
      </c>
      <c r="E188" s="6">
        <v>0</v>
      </c>
      <c r="F188" s="8">
        <v>0</v>
      </c>
      <c r="G188" s="116"/>
      <c r="H188" s="115"/>
      <c r="I188" s="115"/>
      <c r="J188" s="115"/>
    </row>
    <row r="189" spans="1:10" hidden="1" outlineLevel="1" x14ac:dyDescent="0.25">
      <c r="A189" s="7">
        <v>45466</v>
      </c>
      <c r="B189" s="6">
        <v>0</v>
      </c>
      <c r="C189" s="6">
        <v>0</v>
      </c>
      <c r="D189" s="6">
        <v>0</v>
      </c>
      <c r="E189" s="6">
        <v>0</v>
      </c>
      <c r="F189" s="8">
        <v>0</v>
      </c>
      <c r="G189" s="116"/>
      <c r="H189" s="115"/>
      <c r="I189" s="115"/>
      <c r="J189" s="115"/>
    </row>
    <row r="190" spans="1:10" hidden="1" outlineLevel="1" x14ac:dyDescent="0.25">
      <c r="A190" s="7">
        <v>45467</v>
      </c>
      <c r="B190" s="6">
        <v>0</v>
      </c>
      <c r="C190" s="6">
        <v>0</v>
      </c>
      <c r="D190" s="6">
        <v>0</v>
      </c>
      <c r="E190" s="6">
        <v>0</v>
      </c>
      <c r="F190" s="8">
        <v>0</v>
      </c>
      <c r="G190" s="116"/>
      <c r="H190" s="115"/>
      <c r="I190" s="115"/>
      <c r="J190" s="115"/>
    </row>
    <row r="191" spans="1:10" hidden="1" outlineLevel="1" x14ac:dyDescent="0.25">
      <c r="A191" s="7">
        <v>45468</v>
      </c>
      <c r="B191" s="6">
        <v>0</v>
      </c>
      <c r="C191" s="6">
        <v>0</v>
      </c>
      <c r="D191" s="6">
        <v>0</v>
      </c>
      <c r="E191" s="6">
        <v>0</v>
      </c>
      <c r="F191" s="8">
        <v>0</v>
      </c>
      <c r="G191" s="116"/>
      <c r="H191" s="115"/>
      <c r="I191" s="115"/>
      <c r="J191" s="115"/>
    </row>
    <row r="192" spans="1:10" hidden="1" outlineLevel="1" x14ac:dyDescent="0.25">
      <c r="A192" s="7">
        <v>45469</v>
      </c>
      <c r="B192" s="6">
        <v>0</v>
      </c>
      <c r="C192" s="6">
        <v>0</v>
      </c>
      <c r="D192" s="6">
        <v>0</v>
      </c>
      <c r="E192" s="6">
        <v>0</v>
      </c>
      <c r="F192" s="8">
        <v>0</v>
      </c>
      <c r="G192" s="116"/>
      <c r="H192" s="115"/>
      <c r="I192" s="115"/>
      <c r="J192" s="115"/>
    </row>
    <row r="193" spans="1:10" hidden="1" outlineLevel="1" x14ac:dyDescent="0.25">
      <c r="A193" s="7">
        <v>45470</v>
      </c>
      <c r="B193" s="6">
        <v>0</v>
      </c>
      <c r="C193" s="6">
        <v>0</v>
      </c>
      <c r="D193" s="6">
        <v>0</v>
      </c>
      <c r="E193" s="6">
        <v>0</v>
      </c>
      <c r="F193" s="8">
        <v>0</v>
      </c>
      <c r="G193" s="116"/>
      <c r="H193" s="115"/>
      <c r="I193" s="115"/>
      <c r="J193" s="115"/>
    </row>
    <row r="194" spans="1:10" hidden="1" outlineLevel="1" x14ac:dyDescent="0.25">
      <c r="A194" s="7">
        <v>45471</v>
      </c>
      <c r="B194" s="6">
        <v>0</v>
      </c>
      <c r="C194" s="6">
        <v>0</v>
      </c>
      <c r="D194" s="6">
        <v>0</v>
      </c>
      <c r="E194" s="6">
        <v>0</v>
      </c>
      <c r="F194" s="8">
        <v>0</v>
      </c>
      <c r="G194" s="116"/>
      <c r="H194" s="115"/>
      <c r="I194" s="115"/>
      <c r="J194" s="115"/>
    </row>
    <row r="195" spans="1:10" hidden="1" outlineLevel="1" x14ac:dyDescent="0.25">
      <c r="A195" s="7">
        <v>45472</v>
      </c>
      <c r="B195" s="6">
        <v>0</v>
      </c>
      <c r="C195" s="6">
        <v>0</v>
      </c>
      <c r="D195" s="6">
        <v>0</v>
      </c>
      <c r="E195" s="6">
        <v>0</v>
      </c>
      <c r="F195" s="8">
        <v>0</v>
      </c>
      <c r="G195" s="116"/>
      <c r="H195" s="115"/>
      <c r="I195" s="115"/>
      <c r="J195" s="115"/>
    </row>
    <row r="196" spans="1:10" hidden="1" outlineLevel="1" x14ac:dyDescent="0.25">
      <c r="A196" s="7">
        <v>45473</v>
      </c>
      <c r="B196" s="6">
        <v>0</v>
      </c>
      <c r="C196" s="6">
        <v>0</v>
      </c>
      <c r="D196" s="6">
        <v>0</v>
      </c>
      <c r="E196" s="6">
        <v>0</v>
      </c>
      <c r="F196" s="8">
        <v>0</v>
      </c>
      <c r="G196" s="116"/>
      <c r="H196" s="115"/>
      <c r="I196" s="115"/>
      <c r="J196" s="115"/>
    </row>
    <row r="197" spans="1:10" collapsed="1" x14ac:dyDescent="0.25">
      <c r="A197" s="7" t="s">
        <v>26</v>
      </c>
      <c r="B197" s="5">
        <v>0</v>
      </c>
      <c r="C197" s="5">
        <v>0</v>
      </c>
      <c r="D197" s="5">
        <v>0</v>
      </c>
      <c r="E197" s="5">
        <v>0</v>
      </c>
      <c r="F197" s="9">
        <v>0</v>
      </c>
      <c r="G197" s="4"/>
      <c r="H197" s="115"/>
      <c r="I197" s="115"/>
      <c r="J197" s="115"/>
    </row>
    <row r="198" spans="1:10" hidden="1" outlineLevel="1" x14ac:dyDescent="0.25">
      <c r="A198" s="7">
        <v>45474</v>
      </c>
      <c r="B198" s="6">
        <v>0</v>
      </c>
      <c r="C198" s="6">
        <v>0</v>
      </c>
      <c r="D198" s="6">
        <v>0</v>
      </c>
      <c r="E198" s="6">
        <v>0</v>
      </c>
      <c r="F198" s="8">
        <v>0</v>
      </c>
      <c r="G198" s="116"/>
      <c r="H198" s="115"/>
      <c r="I198" s="115"/>
      <c r="J198" s="115"/>
    </row>
    <row r="199" spans="1:10" hidden="1" outlineLevel="1" x14ac:dyDescent="0.25">
      <c r="A199" s="7">
        <v>45475</v>
      </c>
      <c r="B199" s="6">
        <v>0</v>
      </c>
      <c r="C199" s="6">
        <v>0</v>
      </c>
      <c r="D199" s="6">
        <v>0</v>
      </c>
      <c r="E199" s="6">
        <v>0</v>
      </c>
      <c r="F199" s="8">
        <v>0</v>
      </c>
      <c r="G199" s="116"/>
      <c r="H199" s="115"/>
      <c r="I199" s="115"/>
      <c r="J199" s="115"/>
    </row>
    <row r="200" spans="1:10" hidden="1" outlineLevel="1" x14ac:dyDescent="0.25">
      <c r="A200" s="7">
        <v>45476</v>
      </c>
      <c r="B200" s="6">
        <v>0</v>
      </c>
      <c r="C200" s="6">
        <v>0</v>
      </c>
      <c r="D200" s="6">
        <v>0</v>
      </c>
      <c r="E200" s="6">
        <v>0</v>
      </c>
      <c r="F200" s="8">
        <v>0</v>
      </c>
      <c r="G200" s="116"/>
      <c r="H200" s="115"/>
      <c r="I200" s="115"/>
      <c r="J200" s="115"/>
    </row>
    <row r="201" spans="1:10" hidden="1" outlineLevel="1" x14ac:dyDescent="0.25">
      <c r="A201" s="7">
        <v>45477</v>
      </c>
      <c r="B201" s="6">
        <v>0</v>
      </c>
      <c r="C201" s="6">
        <v>0</v>
      </c>
      <c r="D201" s="6">
        <v>0</v>
      </c>
      <c r="E201" s="6">
        <v>0</v>
      </c>
      <c r="F201" s="8">
        <v>0</v>
      </c>
      <c r="G201" s="116"/>
      <c r="H201" s="115"/>
      <c r="I201" s="115"/>
      <c r="J201" s="115"/>
    </row>
    <row r="202" spans="1:10" hidden="1" outlineLevel="1" x14ac:dyDescent="0.25">
      <c r="A202" s="7">
        <v>45478</v>
      </c>
      <c r="B202" s="6">
        <v>0</v>
      </c>
      <c r="C202" s="6">
        <v>0</v>
      </c>
      <c r="D202" s="6">
        <v>0</v>
      </c>
      <c r="E202" s="6">
        <v>0</v>
      </c>
      <c r="F202" s="8">
        <v>0</v>
      </c>
      <c r="G202" s="116"/>
      <c r="H202" s="115"/>
      <c r="I202" s="115"/>
      <c r="J202" s="115"/>
    </row>
    <row r="203" spans="1:10" hidden="1" outlineLevel="1" x14ac:dyDescent="0.25">
      <c r="A203" s="7">
        <v>45479</v>
      </c>
      <c r="B203" s="6">
        <v>0</v>
      </c>
      <c r="C203" s="6">
        <v>0</v>
      </c>
      <c r="D203" s="6">
        <v>0</v>
      </c>
      <c r="E203" s="6">
        <v>0</v>
      </c>
      <c r="F203" s="8">
        <v>0</v>
      </c>
      <c r="G203" s="116"/>
      <c r="H203" s="115"/>
      <c r="I203" s="115"/>
      <c r="J203" s="115"/>
    </row>
    <row r="204" spans="1:10" hidden="1" outlineLevel="1" x14ac:dyDescent="0.25">
      <c r="A204" s="7">
        <v>45480</v>
      </c>
      <c r="B204" s="6">
        <v>0</v>
      </c>
      <c r="C204" s="6">
        <v>0</v>
      </c>
      <c r="D204" s="6">
        <v>0</v>
      </c>
      <c r="E204" s="6">
        <v>0</v>
      </c>
      <c r="F204" s="8">
        <v>0</v>
      </c>
      <c r="G204" s="116"/>
      <c r="H204" s="115"/>
      <c r="I204" s="115"/>
      <c r="J204" s="115"/>
    </row>
    <row r="205" spans="1:10" hidden="1" outlineLevel="1" x14ac:dyDescent="0.25">
      <c r="A205" s="7">
        <v>45481</v>
      </c>
      <c r="B205" s="6">
        <v>0</v>
      </c>
      <c r="C205" s="6">
        <v>0</v>
      </c>
      <c r="D205" s="6">
        <v>0</v>
      </c>
      <c r="E205" s="6">
        <v>0</v>
      </c>
      <c r="F205" s="8">
        <v>0</v>
      </c>
      <c r="G205" s="116"/>
      <c r="H205" s="115"/>
      <c r="I205" s="115"/>
      <c r="J205" s="115"/>
    </row>
    <row r="206" spans="1:10" hidden="1" outlineLevel="1" x14ac:dyDescent="0.25">
      <c r="A206" s="7">
        <v>45482</v>
      </c>
      <c r="B206" s="6">
        <v>0</v>
      </c>
      <c r="C206" s="6">
        <v>0</v>
      </c>
      <c r="D206" s="6">
        <v>0</v>
      </c>
      <c r="E206" s="6">
        <v>0</v>
      </c>
      <c r="F206" s="8">
        <v>0</v>
      </c>
      <c r="G206" s="116"/>
      <c r="H206" s="115"/>
      <c r="I206" s="115"/>
      <c r="J206" s="115"/>
    </row>
    <row r="207" spans="1:10" hidden="1" outlineLevel="1" x14ac:dyDescent="0.25">
      <c r="A207" s="7">
        <v>45483</v>
      </c>
      <c r="B207" s="6">
        <v>0</v>
      </c>
      <c r="C207" s="6">
        <v>0</v>
      </c>
      <c r="D207" s="6">
        <v>0</v>
      </c>
      <c r="E207" s="6">
        <v>0</v>
      </c>
      <c r="F207" s="8">
        <v>0</v>
      </c>
      <c r="G207" s="116"/>
      <c r="H207" s="115"/>
      <c r="I207" s="115"/>
      <c r="J207" s="115"/>
    </row>
    <row r="208" spans="1:10" hidden="1" outlineLevel="1" x14ac:dyDescent="0.25">
      <c r="A208" s="7">
        <v>45484</v>
      </c>
      <c r="B208" s="6">
        <v>0</v>
      </c>
      <c r="C208" s="6">
        <v>0</v>
      </c>
      <c r="D208" s="6">
        <v>0</v>
      </c>
      <c r="E208" s="6">
        <v>0</v>
      </c>
      <c r="F208" s="8">
        <v>0</v>
      </c>
      <c r="G208" s="116"/>
      <c r="H208" s="115"/>
      <c r="I208" s="115"/>
      <c r="J208" s="115"/>
    </row>
    <row r="209" spans="1:10" hidden="1" outlineLevel="1" x14ac:dyDescent="0.25">
      <c r="A209" s="7">
        <v>45485</v>
      </c>
      <c r="B209" s="6">
        <v>0</v>
      </c>
      <c r="C209" s="6">
        <v>0</v>
      </c>
      <c r="D209" s="6">
        <v>0</v>
      </c>
      <c r="E209" s="6">
        <v>0</v>
      </c>
      <c r="F209" s="8">
        <v>0</v>
      </c>
      <c r="G209" s="116"/>
      <c r="H209" s="115"/>
      <c r="I209" s="115"/>
      <c r="J209" s="115"/>
    </row>
    <row r="210" spans="1:10" hidden="1" outlineLevel="1" x14ac:dyDescent="0.25">
      <c r="A210" s="7">
        <v>45486</v>
      </c>
      <c r="B210" s="6">
        <v>0</v>
      </c>
      <c r="C210" s="6">
        <v>0</v>
      </c>
      <c r="D210" s="6">
        <v>0</v>
      </c>
      <c r="E210" s="6">
        <v>0</v>
      </c>
      <c r="F210" s="8">
        <v>0</v>
      </c>
      <c r="G210" s="116"/>
      <c r="H210" s="115"/>
      <c r="I210" s="115"/>
      <c r="J210" s="115"/>
    </row>
    <row r="211" spans="1:10" hidden="1" outlineLevel="1" x14ac:dyDescent="0.25">
      <c r="A211" s="7">
        <v>45487</v>
      </c>
      <c r="B211" s="6">
        <v>0</v>
      </c>
      <c r="C211" s="6">
        <v>0</v>
      </c>
      <c r="D211" s="6">
        <v>0</v>
      </c>
      <c r="E211" s="6">
        <v>0</v>
      </c>
      <c r="F211" s="8">
        <v>0</v>
      </c>
      <c r="G211" s="116"/>
      <c r="H211" s="115"/>
      <c r="I211" s="115"/>
      <c r="J211" s="115"/>
    </row>
    <row r="212" spans="1:10" hidden="1" outlineLevel="1" x14ac:dyDescent="0.25">
      <c r="A212" s="7">
        <v>45488</v>
      </c>
      <c r="B212" s="6">
        <v>0</v>
      </c>
      <c r="C212" s="6">
        <v>0</v>
      </c>
      <c r="D212" s="6">
        <v>0</v>
      </c>
      <c r="E212" s="6">
        <v>0</v>
      </c>
      <c r="F212" s="8">
        <v>0</v>
      </c>
      <c r="G212" s="116"/>
      <c r="H212" s="115"/>
      <c r="I212" s="115"/>
      <c r="J212" s="115"/>
    </row>
    <row r="213" spans="1:10" hidden="1" outlineLevel="1" x14ac:dyDescent="0.25">
      <c r="A213" s="7">
        <v>45489</v>
      </c>
      <c r="B213" s="6">
        <v>0</v>
      </c>
      <c r="C213" s="6">
        <v>0</v>
      </c>
      <c r="D213" s="6">
        <v>0</v>
      </c>
      <c r="E213" s="6">
        <v>0</v>
      </c>
      <c r="F213" s="8">
        <v>0</v>
      </c>
      <c r="G213" s="116"/>
      <c r="H213" s="115"/>
      <c r="I213" s="115"/>
      <c r="J213" s="115"/>
    </row>
    <row r="214" spans="1:10" hidden="1" outlineLevel="1" x14ac:dyDescent="0.25">
      <c r="A214" s="7">
        <v>45490</v>
      </c>
      <c r="B214" s="6">
        <v>0</v>
      </c>
      <c r="C214" s="6">
        <v>0</v>
      </c>
      <c r="D214" s="6">
        <v>0</v>
      </c>
      <c r="E214" s="6">
        <v>0</v>
      </c>
      <c r="F214" s="8">
        <v>0</v>
      </c>
      <c r="G214" s="116"/>
      <c r="H214" s="115"/>
      <c r="I214" s="115"/>
      <c r="J214" s="115"/>
    </row>
    <row r="215" spans="1:10" hidden="1" outlineLevel="1" x14ac:dyDescent="0.25">
      <c r="A215" s="7">
        <v>45491</v>
      </c>
      <c r="B215" s="6">
        <v>0</v>
      </c>
      <c r="C215" s="6">
        <v>0</v>
      </c>
      <c r="D215" s="6">
        <v>0</v>
      </c>
      <c r="E215" s="6">
        <v>0</v>
      </c>
      <c r="F215" s="8">
        <v>0</v>
      </c>
      <c r="G215" s="116"/>
      <c r="H215" s="115"/>
      <c r="I215" s="115"/>
      <c r="J215" s="115"/>
    </row>
    <row r="216" spans="1:10" hidden="1" outlineLevel="1" x14ac:dyDescent="0.25">
      <c r="A216" s="7">
        <v>45492</v>
      </c>
      <c r="B216" s="6">
        <v>0</v>
      </c>
      <c r="C216" s="6">
        <v>0</v>
      </c>
      <c r="D216" s="6">
        <v>0</v>
      </c>
      <c r="E216" s="6">
        <v>0</v>
      </c>
      <c r="F216" s="8">
        <v>0</v>
      </c>
      <c r="G216" s="116"/>
      <c r="H216" s="115"/>
      <c r="I216" s="115"/>
      <c r="J216" s="115"/>
    </row>
    <row r="217" spans="1:10" hidden="1" outlineLevel="1" x14ac:dyDescent="0.25">
      <c r="A217" s="7">
        <v>45493</v>
      </c>
      <c r="B217" s="6">
        <v>0</v>
      </c>
      <c r="C217" s="6">
        <v>0</v>
      </c>
      <c r="D217" s="6">
        <v>0</v>
      </c>
      <c r="E217" s="6">
        <v>0</v>
      </c>
      <c r="F217" s="8">
        <v>0</v>
      </c>
      <c r="G217" s="116"/>
      <c r="H217" s="115"/>
      <c r="I217" s="115"/>
      <c r="J217" s="115"/>
    </row>
    <row r="218" spans="1:10" hidden="1" outlineLevel="1" x14ac:dyDescent="0.25">
      <c r="A218" s="7">
        <v>45494</v>
      </c>
      <c r="B218" s="6">
        <v>0</v>
      </c>
      <c r="C218" s="6">
        <v>0</v>
      </c>
      <c r="D218" s="6">
        <v>0</v>
      </c>
      <c r="E218" s="6">
        <v>0</v>
      </c>
      <c r="F218" s="8">
        <v>0</v>
      </c>
      <c r="G218" s="116"/>
      <c r="H218" s="115"/>
      <c r="I218" s="115"/>
      <c r="J218" s="115"/>
    </row>
    <row r="219" spans="1:10" hidden="1" outlineLevel="1" x14ac:dyDescent="0.25">
      <c r="A219" s="7">
        <v>45495</v>
      </c>
      <c r="B219" s="6">
        <v>0</v>
      </c>
      <c r="C219" s="6">
        <v>0</v>
      </c>
      <c r="D219" s="6">
        <v>0</v>
      </c>
      <c r="E219" s="6">
        <v>0</v>
      </c>
      <c r="F219" s="8">
        <v>0</v>
      </c>
      <c r="G219" s="116"/>
      <c r="H219" s="115"/>
      <c r="I219" s="115"/>
      <c r="J219" s="115"/>
    </row>
    <row r="220" spans="1:10" hidden="1" outlineLevel="1" x14ac:dyDescent="0.25">
      <c r="A220" s="7">
        <v>45496</v>
      </c>
      <c r="B220" s="6">
        <v>0</v>
      </c>
      <c r="C220" s="6">
        <v>0</v>
      </c>
      <c r="D220" s="6">
        <v>0</v>
      </c>
      <c r="E220" s="6">
        <v>0</v>
      </c>
      <c r="F220" s="8">
        <v>0</v>
      </c>
      <c r="G220" s="116"/>
      <c r="H220" s="115"/>
      <c r="I220" s="115"/>
      <c r="J220" s="115"/>
    </row>
    <row r="221" spans="1:10" hidden="1" outlineLevel="1" x14ac:dyDescent="0.25">
      <c r="A221" s="7">
        <v>45497</v>
      </c>
      <c r="B221" s="6">
        <v>0</v>
      </c>
      <c r="C221" s="6">
        <v>0</v>
      </c>
      <c r="D221" s="6">
        <v>0</v>
      </c>
      <c r="E221" s="6">
        <v>0</v>
      </c>
      <c r="F221" s="8">
        <v>0</v>
      </c>
      <c r="G221" s="116"/>
      <c r="H221" s="115"/>
      <c r="I221" s="115"/>
      <c r="J221" s="115"/>
    </row>
    <row r="222" spans="1:10" hidden="1" outlineLevel="1" x14ac:dyDescent="0.25">
      <c r="A222" s="7">
        <v>45498</v>
      </c>
      <c r="B222" s="6">
        <v>0</v>
      </c>
      <c r="C222" s="6">
        <v>0</v>
      </c>
      <c r="D222" s="6">
        <v>0</v>
      </c>
      <c r="E222" s="6">
        <v>0</v>
      </c>
      <c r="F222" s="8">
        <v>0</v>
      </c>
      <c r="G222" s="116"/>
      <c r="H222" s="115"/>
      <c r="I222" s="115"/>
      <c r="J222" s="115"/>
    </row>
    <row r="223" spans="1:10" hidden="1" outlineLevel="1" x14ac:dyDescent="0.25">
      <c r="A223" s="7">
        <v>45499</v>
      </c>
      <c r="B223" s="6">
        <v>0</v>
      </c>
      <c r="C223" s="6">
        <v>0</v>
      </c>
      <c r="D223" s="6">
        <v>0</v>
      </c>
      <c r="E223" s="6">
        <v>0</v>
      </c>
      <c r="F223" s="8">
        <v>0</v>
      </c>
      <c r="G223" s="116"/>
      <c r="H223" s="115"/>
      <c r="I223" s="115"/>
      <c r="J223" s="115"/>
    </row>
    <row r="224" spans="1:10" hidden="1" outlineLevel="1" x14ac:dyDescent="0.25">
      <c r="A224" s="7">
        <v>45500</v>
      </c>
      <c r="B224" s="6">
        <v>0</v>
      </c>
      <c r="C224" s="6">
        <v>0</v>
      </c>
      <c r="D224" s="6">
        <v>0</v>
      </c>
      <c r="E224" s="6">
        <v>0</v>
      </c>
      <c r="F224" s="8">
        <v>0</v>
      </c>
      <c r="G224" s="116"/>
      <c r="H224" s="115"/>
      <c r="I224" s="115"/>
      <c r="J224" s="115"/>
    </row>
    <row r="225" spans="1:10" hidden="1" outlineLevel="1" x14ac:dyDescent="0.25">
      <c r="A225" s="7">
        <v>45501</v>
      </c>
      <c r="B225" s="6">
        <v>0</v>
      </c>
      <c r="C225" s="6">
        <v>0</v>
      </c>
      <c r="D225" s="6">
        <v>0</v>
      </c>
      <c r="E225" s="6">
        <v>0</v>
      </c>
      <c r="F225" s="8">
        <v>0</v>
      </c>
      <c r="G225" s="116"/>
      <c r="H225" s="115"/>
      <c r="I225" s="115"/>
      <c r="J225" s="115"/>
    </row>
    <row r="226" spans="1:10" hidden="1" outlineLevel="1" x14ac:dyDescent="0.25">
      <c r="A226" s="7">
        <v>45502</v>
      </c>
      <c r="B226" s="6">
        <v>0</v>
      </c>
      <c r="C226" s="6">
        <v>0</v>
      </c>
      <c r="D226" s="6">
        <v>0</v>
      </c>
      <c r="E226" s="6">
        <v>0</v>
      </c>
      <c r="F226" s="8">
        <v>0</v>
      </c>
      <c r="G226" s="116"/>
      <c r="H226" s="115"/>
      <c r="I226" s="115"/>
      <c r="J226" s="115"/>
    </row>
    <row r="227" spans="1:10" hidden="1" outlineLevel="1" x14ac:dyDescent="0.25">
      <c r="A227" s="7">
        <v>45503</v>
      </c>
      <c r="B227" s="6">
        <v>0</v>
      </c>
      <c r="C227" s="6">
        <v>0</v>
      </c>
      <c r="D227" s="6">
        <v>0</v>
      </c>
      <c r="E227" s="6">
        <v>0</v>
      </c>
      <c r="F227" s="8">
        <v>0</v>
      </c>
      <c r="G227" s="116"/>
      <c r="H227" s="115"/>
      <c r="I227" s="115"/>
      <c r="J227" s="115"/>
    </row>
    <row r="228" spans="1:10" hidden="1" outlineLevel="1" x14ac:dyDescent="0.25">
      <c r="A228" s="7">
        <v>45504</v>
      </c>
      <c r="B228" s="6">
        <v>0</v>
      </c>
      <c r="C228" s="6">
        <v>0</v>
      </c>
      <c r="D228" s="6">
        <v>0</v>
      </c>
      <c r="E228" s="6">
        <v>0</v>
      </c>
      <c r="F228" s="8">
        <v>0</v>
      </c>
      <c r="G228" s="116"/>
      <c r="H228" s="115"/>
      <c r="I228" s="115"/>
      <c r="J228" s="115"/>
    </row>
    <row r="229" spans="1:10" collapsed="1" x14ac:dyDescent="0.25">
      <c r="A229" s="7" t="s">
        <v>27</v>
      </c>
      <c r="B229" s="5">
        <v>0</v>
      </c>
      <c r="C229" s="5">
        <v>0</v>
      </c>
      <c r="D229" s="5">
        <v>0</v>
      </c>
      <c r="E229" s="5">
        <v>0</v>
      </c>
      <c r="F229" s="9">
        <v>0</v>
      </c>
      <c r="G229" s="4"/>
      <c r="H229" s="115"/>
      <c r="I229" s="115"/>
      <c r="J229" s="115"/>
    </row>
    <row r="230" spans="1:10" hidden="1" outlineLevel="1" x14ac:dyDescent="0.25">
      <c r="A230" s="7">
        <v>45505</v>
      </c>
      <c r="B230" s="6">
        <v>0</v>
      </c>
      <c r="C230" s="6">
        <v>0</v>
      </c>
      <c r="D230" s="6">
        <v>0</v>
      </c>
      <c r="E230" s="6">
        <v>0</v>
      </c>
      <c r="F230" s="8">
        <v>0</v>
      </c>
      <c r="G230" s="116"/>
      <c r="H230" s="115"/>
      <c r="I230" s="115"/>
      <c r="J230" s="115"/>
    </row>
    <row r="231" spans="1:10" hidden="1" outlineLevel="1" x14ac:dyDescent="0.25">
      <c r="A231" s="7">
        <v>45506</v>
      </c>
      <c r="B231" s="6">
        <v>0</v>
      </c>
      <c r="C231" s="6">
        <v>0</v>
      </c>
      <c r="D231" s="6">
        <v>0</v>
      </c>
      <c r="E231" s="6">
        <v>0</v>
      </c>
      <c r="F231" s="8">
        <v>0</v>
      </c>
      <c r="G231" s="116"/>
      <c r="H231" s="115"/>
      <c r="I231" s="115"/>
      <c r="J231" s="115"/>
    </row>
    <row r="232" spans="1:10" hidden="1" outlineLevel="1" x14ac:dyDescent="0.25">
      <c r="A232" s="7">
        <v>45507</v>
      </c>
      <c r="B232" s="6">
        <v>0</v>
      </c>
      <c r="C232" s="6">
        <v>0</v>
      </c>
      <c r="D232" s="6">
        <v>0</v>
      </c>
      <c r="E232" s="6">
        <v>0</v>
      </c>
      <c r="F232" s="8">
        <v>0</v>
      </c>
      <c r="G232" s="116"/>
      <c r="H232" s="115"/>
      <c r="I232" s="115"/>
      <c r="J232" s="115"/>
    </row>
    <row r="233" spans="1:10" hidden="1" outlineLevel="1" x14ac:dyDescent="0.25">
      <c r="A233" s="7">
        <v>45508</v>
      </c>
      <c r="B233" s="6">
        <v>0</v>
      </c>
      <c r="C233" s="6">
        <v>0</v>
      </c>
      <c r="D233" s="6">
        <v>0</v>
      </c>
      <c r="E233" s="6">
        <v>0</v>
      </c>
      <c r="F233" s="8">
        <v>0</v>
      </c>
      <c r="G233" s="116"/>
      <c r="H233" s="115"/>
      <c r="I233" s="115"/>
      <c r="J233" s="115"/>
    </row>
    <row r="234" spans="1:10" hidden="1" outlineLevel="1" x14ac:dyDescent="0.25">
      <c r="A234" s="7">
        <v>45509</v>
      </c>
      <c r="B234" s="6">
        <v>0</v>
      </c>
      <c r="C234" s="6">
        <v>0</v>
      </c>
      <c r="D234" s="6">
        <v>0</v>
      </c>
      <c r="E234" s="6">
        <v>0</v>
      </c>
      <c r="F234" s="8">
        <v>0</v>
      </c>
      <c r="G234" s="116"/>
      <c r="H234" s="115"/>
      <c r="I234" s="115"/>
      <c r="J234" s="115"/>
    </row>
    <row r="235" spans="1:10" hidden="1" outlineLevel="1" x14ac:dyDescent="0.25">
      <c r="A235" s="7">
        <v>45510</v>
      </c>
      <c r="B235" s="6">
        <v>0</v>
      </c>
      <c r="C235" s="6">
        <v>0</v>
      </c>
      <c r="D235" s="6">
        <v>0</v>
      </c>
      <c r="E235" s="6">
        <v>0</v>
      </c>
      <c r="F235" s="8">
        <v>0</v>
      </c>
      <c r="G235" s="116"/>
      <c r="H235" s="115"/>
      <c r="I235" s="115"/>
      <c r="J235" s="115"/>
    </row>
    <row r="236" spans="1:10" hidden="1" outlineLevel="1" x14ac:dyDescent="0.25">
      <c r="A236" s="7">
        <v>45511</v>
      </c>
      <c r="B236" s="6">
        <v>0</v>
      </c>
      <c r="C236" s="6">
        <v>0</v>
      </c>
      <c r="D236" s="6">
        <v>0</v>
      </c>
      <c r="E236" s="6">
        <v>0</v>
      </c>
      <c r="F236" s="8">
        <v>0</v>
      </c>
      <c r="G236" s="116"/>
      <c r="H236" s="115"/>
      <c r="I236" s="115"/>
      <c r="J236" s="115"/>
    </row>
    <row r="237" spans="1:10" hidden="1" outlineLevel="1" x14ac:dyDescent="0.25">
      <c r="A237" s="7">
        <v>45512</v>
      </c>
      <c r="B237" s="6">
        <v>0</v>
      </c>
      <c r="C237" s="6">
        <v>0</v>
      </c>
      <c r="D237" s="6">
        <v>0</v>
      </c>
      <c r="E237" s="6">
        <v>0</v>
      </c>
      <c r="F237" s="8">
        <v>0</v>
      </c>
      <c r="G237" s="116"/>
      <c r="H237" s="115"/>
      <c r="I237" s="115"/>
      <c r="J237" s="115"/>
    </row>
    <row r="238" spans="1:10" hidden="1" outlineLevel="1" x14ac:dyDescent="0.25">
      <c r="A238" s="7">
        <v>45513</v>
      </c>
      <c r="B238" s="6">
        <v>0</v>
      </c>
      <c r="C238" s="6">
        <v>0</v>
      </c>
      <c r="D238" s="6">
        <v>0</v>
      </c>
      <c r="E238" s="6">
        <v>0</v>
      </c>
      <c r="F238" s="8">
        <v>0</v>
      </c>
      <c r="G238" s="116"/>
      <c r="H238" s="115"/>
      <c r="I238" s="115"/>
      <c r="J238" s="115"/>
    </row>
    <row r="239" spans="1:10" hidden="1" outlineLevel="1" x14ac:dyDescent="0.25">
      <c r="A239" s="7">
        <v>45514</v>
      </c>
      <c r="B239" s="6">
        <v>0</v>
      </c>
      <c r="C239" s="6">
        <v>0</v>
      </c>
      <c r="D239" s="6">
        <v>0</v>
      </c>
      <c r="E239" s="6">
        <v>0</v>
      </c>
      <c r="F239" s="8">
        <v>0</v>
      </c>
      <c r="G239" s="116"/>
      <c r="H239" s="115"/>
      <c r="I239" s="115"/>
      <c r="J239" s="115"/>
    </row>
    <row r="240" spans="1:10" hidden="1" outlineLevel="1" x14ac:dyDescent="0.25">
      <c r="A240" s="7">
        <v>45515</v>
      </c>
      <c r="B240" s="6">
        <v>0</v>
      </c>
      <c r="C240" s="6">
        <v>0</v>
      </c>
      <c r="D240" s="6">
        <v>0</v>
      </c>
      <c r="E240" s="6">
        <v>0</v>
      </c>
      <c r="F240" s="8">
        <v>0</v>
      </c>
      <c r="G240" s="116"/>
      <c r="H240" s="115"/>
      <c r="I240" s="115"/>
      <c r="J240" s="115"/>
    </row>
    <row r="241" spans="1:10" hidden="1" outlineLevel="1" x14ac:dyDescent="0.25">
      <c r="A241" s="7">
        <v>45516</v>
      </c>
      <c r="B241" s="6">
        <v>0</v>
      </c>
      <c r="C241" s="6">
        <v>0</v>
      </c>
      <c r="D241" s="6">
        <v>0</v>
      </c>
      <c r="E241" s="6">
        <v>0</v>
      </c>
      <c r="F241" s="8">
        <v>0</v>
      </c>
      <c r="G241" s="116"/>
      <c r="H241" s="115"/>
      <c r="I241" s="115"/>
      <c r="J241" s="115"/>
    </row>
    <row r="242" spans="1:10" hidden="1" outlineLevel="1" x14ac:dyDescent="0.25">
      <c r="A242" s="7">
        <v>45517</v>
      </c>
      <c r="B242" s="6">
        <v>0</v>
      </c>
      <c r="C242" s="6">
        <v>0</v>
      </c>
      <c r="D242" s="6">
        <v>0</v>
      </c>
      <c r="E242" s="6">
        <v>0</v>
      </c>
      <c r="F242" s="8">
        <v>0</v>
      </c>
      <c r="G242" s="116"/>
      <c r="H242" s="115"/>
      <c r="I242" s="115"/>
      <c r="J242" s="115"/>
    </row>
    <row r="243" spans="1:10" hidden="1" outlineLevel="1" x14ac:dyDescent="0.25">
      <c r="A243" s="7">
        <v>45518</v>
      </c>
      <c r="B243" s="6">
        <v>0</v>
      </c>
      <c r="C243" s="6">
        <v>0</v>
      </c>
      <c r="D243" s="6">
        <v>0</v>
      </c>
      <c r="E243" s="6">
        <v>0</v>
      </c>
      <c r="F243" s="8">
        <v>0</v>
      </c>
      <c r="G243" s="116"/>
      <c r="H243" s="115"/>
      <c r="I243" s="115"/>
      <c r="J243" s="115"/>
    </row>
    <row r="244" spans="1:10" hidden="1" outlineLevel="1" x14ac:dyDescent="0.25">
      <c r="A244" s="7">
        <v>45519</v>
      </c>
      <c r="B244" s="6">
        <v>0</v>
      </c>
      <c r="C244" s="6">
        <v>0</v>
      </c>
      <c r="D244" s="6">
        <v>0</v>
      </c>
      <c r="E244" s="6">
        <v>0</v>
      </c>
      <c r="F244" s="8">
        <v>0</v>
      </c>
      <c r="G244" s="116"/>
      <c r="H244" s="115"/>
      <c r="I244" s="115"/>
      <c r="J244" s="115"/>
    </row>
    <row r="245" spans="1:10" hidden="1" outlineLevel="1" x14ac:dyDescent="0.25">
      <c r="A245" s="7">
        <v>45520</v>
      </c>
      <c r="B245" s="6">
        <v>0</v>
      </c>
      <c r="C245" s="6">
        <v>0</v>
      </c>
      <c r="D245" s="6">
        <v>0</v>
      </c>
      <c r="E245" s="6">
        <v>0</v>
      </c>
      <c r="F245" s="8">
        <v>0</v>
      </c>
      <c r="G245" s="116"/>
      <c r="H245" s="115"/>
      <c r="I245" s="115"/>
      <c r="J245" s="115"/>
    </row>
    <row r="246" spans="1:10" hidden="1" outlineLevel="1" x14ac:dyDescent="0.25">
      <c r="A246" s="7">
        <v>45521</v>
      </c>
      <c r="B246" s="6">
        <v>0</v>
      </c>
      <c r="C246" s="6">
        <v>0</v>
      </c>
      <c r="D246" s="6">
        <v>0</v>
      </c>
      <c r="E246" s="6">
        <v>0</v>
      </c>
      <c r="F246" s="8">
        <v>0</v>
      </c>
      <c r="G246" s="116"/>
      <c r="H246" s="115"/>
      <c r="I246" s="115"/>
      <c r="J246" s="115"/>
    </row>
    <row r="247" spans="1:10" hidden="1" outlineLevel="1" x14ac:dyDescent="0.25">
      <c r="A247" s="7">
        <v>45522</v>
      </c>
      <c r="B247" s="6">
        <v>0</v>
      </c>
      <c r="C247" s="6">
        <v>0</v>
      </c>
      <c r="D247" s="6">
        <v>0</v>
      </c>
      <c r="E247" s="6">
        <v>0</v>
      </c>
      <c r="F247" s="8">
        <v>0</v>
      </c>
      <c r="G247" s="116"/>
      <c r="H247" s="115"/>
      <c r="I247" s="115"/>
      <c r="J247" s="115"/>
    </row>
    <row r="248" spans="1:10" hidden="1" outlineLevel="1" x14ac:dyDescent="0.25">
      <c r="A248" s="7">
        <v>45523</v>
      </c>
      <c r="B248" s="6">
        <v>0</v>
      </c>
      <c r="C248" s="6">
        <v>0</v>
      </c>
      <c r="D248" s="6">
        <v>0</v>
      </c>
      <c r="E248" s="6">
        <v>0</v>
      </c>
      <c r="F248" s="8">
        <v>0</v>
      </c>
      <c r="G248" s="116"/>
      <c r="H248" s="115"/>
      <c r="I248" s="115"/>
      <c r="J248" s="115"/>
    </row>
    <row r="249" spans="1:10" hidden="1" outlineLevel="1" x14ac:dyDescent="0.25">
      <c r="A249" s="7">
        <v>45524</v>
      </c>
      <c r="B249" s="6">
        <v>0</v>
      </c>
      <c r="C249" s="6">
        <v>0</v>
      </c>
      <c r="D249" s="6">
        <v>0</v>
      </c>
      <c r="E249" s="6">
        <v>0</v>
      </c>
      <c r="F249" s="8">
        <v>0</v>
      </c>
      <c r="G249" s="116"/>
      <c r="H249" s="115"/>
      <c r="I249" s="115"/>
      <c r="J249" s="115"/>
    </row>
    <row r="250" spans="1:10" hidden="1" outlineLevel="1" x14ac:dyDescent="0.25">
      <c r="A250" s="7">
        <v>45525</v>
      </c>
      <c r="B250" s="6">
        <v>0</v>
      </c>
      <c r="C250" s="6">
        <v>0</v>
      </c>
      <c r="D250" s="6">
        <v>0</v>
      </c>
      <c r="E250" s="6">
        <v>0</v>
      </c>
      <c r="F250" s="8">
        <v>0</v>
      </c>
      <c r="G250" s="116"/>
      <c r="H250" s="115"/>
      <c r="I250" s="115"/>
      <c r="J250" s="115"/>
    </row>
    <row r="251" spans="1:10" hidden="1" outlineLevel="1" x14ac:dyDescent="0.25">
      <c r="A251" s="7">
        <v>45526</v>
      </c>
      <c r="B251" s="6">
        <v>0</v>
      </c>
      <c r="C251" s="6">
        <v>0</v>
      </c>
      <c r="D251" s="6">
        <v>0</v>
      </c>
      <c r="E251" s="6">
        <v>0</v>
      </c>
      <c r="F251" s="8">
        <v>0</v>
      </c>
      <c r="G251" s="116"/>
      <c r="H251" s="115"/>
      <c r="I251" s="115"/>
      <c r="J251" s="115"/>
    </row>
    <row r="252" spans="1:10" hidden="1" outlineLevel="1" x14ac:dyDescent="0.25">
      <c r="A252" s="7">
        <v>45527</v>
      </c>
      <c r="B252" s="6">
        <v>0</v>
      </c>
      <c r="C252" s="6">
        <v>0</v>
      </c>
      <c r="D252" s="6">
        <v>0</v>
      </c>
      <c r="E252" s="6">
        <v>0</v>
      </c>
      <c r="F252" s="8">
        <v>0</v>
      </c>
      <c r="G252" s="116"/>
      <c r="H252" s="115"/>
      <c r="I252" s="115"/>
      <c r="J252" s="115"/>
    </row>
    <row r="253" spans="1:10" hidden="1" outlineLevel="1" x14ac:dyDescent="0.25">
      <c r="A253" s="7">
        <v>45528</v>
      </c>
      <c r="B253" s="6">
        <v>0</v>
      </c>
      <c r="C253" s="6">
        <v>0</v>
      </c>
      <c r="D253" s="6">
        <v>0</v>
      </c>
      <c r="E253" s="6">
        <v>0</v>
      </c>
      <c r="F253" s="8">
        <v>0</v>
      </c>
      <c r="G253" s="116"/>
      <c r="H253" s="115"/>
      <c r="I253" s="115"/>
      <c r="J253" s="115"/>
    </row>
    <row r="254" spans="1:10" hidden="1" outlineLevel="1" x14ac:dyDescent="0.25">
      <c r="A254" s="7">
        <v>45529</v>
      </c>
      <c r="B254" s="6">
        <v>0</v>
      </c>
      <c r="C254" s="6">
        <v>0</v>
      </c>
      <c r="D254" s="6">
        <v>0</v>
      </c>
      <c r="E254" s="6">
        <v>0</v>
      </c>
      <c r="F254" s="8">
        <v>0</v>
      </c>
      <c r="G254" s="116"/>
      <c r="H254" s="115"/>
      <c r="I254" s="115"/>
      <c r="J254" s="115"/>
    </row>
    <row r="255" spans="1:10" hidden="1" outlineLevel="1" x14ac:dyDescent="0.25">
      <c r="A255" s="7">
        <v>45530</v>
      </c>
      <c r="B255" s="6">
        <v>0</v>
      </c>
      <c r="C255" s="6">
        <v>0</v>
      </c>
      <c r="D255" s="6">
        <v>0</v>
      </c>
      <c r="E255" s="6">
        <v>0</v>
      </c>
      <c r="F255" s="8">
        <v>0</v>
      </c>
      <c r="G255" s="116"/>
      <c r="H255" s="115"/>
      <c r="I255" s="115"/>
      <c r="J255" s="115"/>
    </row>
    <row r="256" spans="1:10" hidden="1" outlineLevel="1" x14ac:dyDescent="0.25">
      <c r="A256" s="7">
        <v>45531</v>
      </c>
      <c r="B256" s="6">
        <v>0</v>
      </c>
      <c r="C256" s="6">
        <v>0</v>
      </c>
      <c r="D256" s="6">
        <v>0</v>
      </c>
      <c r="E256" s="6">
        <v>0</v>
      </c>
      <c r="F256" s="8">
        <v>0</v>
      </c>
      <c r="G256" s="116"/>
      <c r="H256" s="115"/>
      <c r="I256" s="115"/>
      <c r="J256" s="115"/>
    </row>
    <row r="257" spans="1:10" hidden="1" outlineLevel="1" x14ac:dyDescent="0.25">
      <c r="A257" s="7">
        <v>45532</v>
      </c>
      <c r="B257" s="6">
        <v>0</v>
      </c>
      <c r="C257" s="6">
        <v>0</v>
      </c>
      <c r="D257" s="6">
        <v>0</v>
      </c>
      <c r="E257" s="6">
        <v>0</v>
      </c>
      <c r="F257" s="8">
        <v>0</v>
      </c>
      <c r="G257" s="116"/>
      <c r="H257" s="115"/>
      <c r="I257" s="115"/>
      <c r="J257" s="115"/>
    </row>
    <row r="258" spans="1:10" hidden="1" outlineLevel="1" x14ac:dyDescent="0.25">
      <c r="A258" s="7">
        <v>45533</v>
      </c>
      <c r="B258" s="6">
        <v>0</v>
      </c>
      <c r="C258" s="6">
        <v>0</v>
      </c>
      <c r="D258" s="6">
        <v>0</v>
      </c>
      <c r="E258" s="6">
        <v>0</v>
      </c>
      <c r="F258" s="8">
        <v>0</v>
      </c>
      <c r="G258" s="116"/>
      <c r="H258" s="115"/>
      <c r="I258" s="115"/>
      <c r="J258" s="115"/>
    </row>
    <row r="259" spans="1:10" hidden="1" outlineLevel="1" x14ac:dyDescent="0.25">
      <c r="A259" s="7">
        <v>45534</v>
      </c>
      <c r="B259" s="6">
        <v>0</v>
      </c>
      <c r="C259" s="6">
        <v>0</v>
      </c>
      <c r="D259" s="6">
        <v>0</v>
      </c>
      <c r="E259" s="6">
        <v>0</v>
      </c>
      <c r="F259" s="8">
        <v>0</v>
      </c>
      <c r="G259" s="116"/>
      <c r="H259" s="115"/>
      <c r="I259" s="115"/>
      <c r="J259" s="115"/>
    </row>
    <row r="260" spans="1:10" hidden="1" outlineLevel="1" x14ac:dyDescent="0.25">
      <c r="A260" s="7">
        <v>45535</v>
      </c>
      <c r="B260" s="6">
        <v>0</v>
      </c>
      <c r="C260" s="6">
        <v>0</v>
      </c>
      <c r="D260" s="6">
        <v>0</v>
      </c>
      <c r="E260" s="6">
        <v>0</v>
      </c>
      <c r="F260" s="8">
        <v>0</v>
      </c>
      <c r="G260" s="116"/>
      <c r="H260" s="115"/>
      <c r="I260" s="115"/>
      <c r="J260" s="115"/>
    </row>
    <row r="261" spans="1:10" collapsed="1" x14ac:dyDescent="0.25">
      <c r="A261" s="7" t="s">
        <v>28</v>
      </c>
      <c r="B261" s="5">
        <v>0</v>
      </c>
      <c r="C261" s="5">
        <v>0</v>
      </c>
      <c r="D261" s="5">
        <v>0</v>
      </c>
      <c r="E261" s="5">
        <v>0</v>
      </c>
      <c r="F261" s="9">
        <v>0</v>
      </c>
      <c r="G261" s="4"/>
      <c r="H261" s="115"/>
      <c r="I261" s="115"/>
      <c r="J261" s="115"/>
    </row>
    <row r="262" spans="1:10" hidden="1" outlineLevel="1" x14ac:dyDescent="0.25">
      <c r="A262" s="7">
        <v>45536</v>
      </c>
      <c r="B262" s="6">
        <v>0</v>
      </c>
      <c r="C262" s="6">
        <v>0</v>
      </c>
      <c r="D262" s="6">
        <v>0</v>
      </c>
      <c r="E262" s="6">
        <v>0</v>
      </c>
      <c r="F262" s="8">
        <v>0</v>
      </c>
      <c r="G262" s="116"/>
      <c r="H262" s="115"/>
      <c r="I262" s="115"/>
      <c r="J262" s="115"/>
    </row>
    <row r="263" spans="1:10" hidden="1" outlineLevel="1" x14ac:dyDescent="0.25">
      <c r="A263" s="7">
        <v>45537</v>
      </c>
      <c r="B263" s="6">
        <v>0</v>
      </c>
      <c r="C263" s="6">
        <v>0</v>
      </c>
      <c r="D263" s="6">
        <v>0</v>
      </c>
      <c r="E263" s="6">
        <v>0</v>
      </c>
      <c r="F263" s="8">
        <v>0</v>
      </c>
      <c r="G263" s="116"/>
      <c r="H263" s="115"/>
      <c r="I263" s="115"/>
      <c r="J263" s="115"/>
    </row>
    <row r="264" spans="1:10" hidden="1" outlineLevel="1" x14ac:dyDescent="0.25">
      <c r="A264" s="7">
        <v>45538</v>
      </c>
      <c r="B264" s="6">
        <v>0</v>
      </c>
      <c r="C264" s="6">
        <v>0</v>
      </c>
      <c r="D264" s="6">
        <v>0</v>
      </c>
      <c r="E264" s="6">
        <v>0</v>
      </c>
      <c r="F264" s="8">
        <v>0</v>
      </c>
      <c r="G264" s="116"/>
      <c r="H264" s="115"/>
      <c r="I264" s="115"/>
      <c r="J264" s="115"/>
    </row>
    <row r="265" spans="1:10" hidden="1" outlineLevel="1" x14ac:dyDescent="0.25">
      <c r="A265" s="7">
        <v>45539</v>
      </c>
      <c r="B265" s="6">
        <v>0</v>
      </c>
      <c r="C265" s="6">
        <v>0</v>
      </c>
      <c r="D265" s="6">
        <v>0</v>
      </c>
      <c r="E265" s="6">
        <v>0</v>
      </c>
      <c r="F265" s="8">
        <v>0</v>
      </c>
      <c r="G265" s="116"/>
      <c r="H265" s="115"/>
      <c r="I265" s="115"/>
      <c r="J265" s="115"/>
    </row>
    <row r="266" spans="1:10" hidden="1" outlineLevel="1" x14ac:dyDescent="0.25">
      <c r="A266" s="7">
        <v>45540</v>
      </c>
      <c r="B266" s="6">
        <v>0</v>
      </c>
      <c r="C266" s="6">
        <v>0</v>
      </c>
      <c r="D266" s="6">
        <v>0</v>
      </c>
      <c r="E266" s="6">
        <v>0</v>
      </c>
      <c r="F266" s="8">
        <v>0</v>
      </c>
      <c r="G266" s="116"/>
      <c r="H266" s="115"/>
      <c r="I266" s="115"/>
      <c r="J266" s="115"/>
    </row>
    <row r="267" spans="1:10" hidden="1" outlineLevel="1" x14ac:dyDescent="0.25">
      <c r="A267" s="7">
        <v>45541</v>
      </c>
      <c r="B267" s="6">
        <v>0</v>
      </c>
      <c r="C267" s="6">
        <v>0</v>
      </c>
      <c r="D267" s="6">
        <v>0</v>
      </c>
      <c r="E267" s="6">
        <v>0</v>
      </c>
      <c r="F267" s="8">
        <v>0</v>
      </c>
      <c r="G267" s="116"/>
      <c r="H267" s="115"/>
      <c r="I267" s="115"/>
      <c r="J267" s="115"/>
    </row>
    <row r="268" spans="1:10" hidden="1" outlineLevel="1" x14ac:dyDescent="0.25">
      <c r="A268" s="7">
        <v>45542</v>
      </c>
      <c r="B268" s="6">
        <v>0</v>
      </c>
      <c r="C268" s="6">
        <v>0</v>
      </c>
      <c r="D268" s="6">
        <v>0</v>
      </c>
      <c r="E268" s="6">
        <v>0</v>
      </c>
      <c r="F268" s="8">
        <v>0</v>
      </c>
      <c r="G268" s="116"/>
      <c r="H268" s="115"/>
      <c r="I268" s="115"/>
      <c r="J268" s="115"/>
    </row>
    <row r="269" spans="1:10" hidden="1" outlineLevel="1" x14ac:dyDescent="0.25">
      <c r="A269" s="7">
        <v>45543</v>
      </c>
      <c r="B269" s="6">
        <v>0</v>
      </c>
      <c r="C269" s="6">
        <v>0</v>
      </c>
      <c r="D269" s="6">
        <v>0</v>
      </c>
      <c r="E269" s="6">
        <v>0</v>
      </c>
      <c r="F269" s="8">
        <v>0</v>
      </c>
      <c r="G269" s="116"/>
      <c r="H269" s="115"/>
      <c r="I269" s="115"/>
      <c r="J269" s="115"/>
    </row>
    <row r="270" spans="1:10" hidden="1" outlineLevel="1" x14ac:dyDescent="0.25">
      <c r="A270" s="7">
        <v>45544</v>
      </c>
      <c r="B270" s="6">
        <v>0</v>
      </c>
      <c r="C270" s="6">
        <v>0</v>
      </c>
      <c r="D270" s="6">
        <v>0</v>
      </c>
      <c r="E270" s="6">
        <v>0</v>
      </c>
      <c r="F270" s="8">
        <v>0</v>
      </c>
      <c r="G270" s="116"/>
      <c r="H270" s="115"/>
      <c r="I270" s="115"/>
      <c r="J270" s="115"/>
    </row>
    <row r="271" spans="1:10" hidden="1" outlineLevel="1" x14ac:dyDescent="0.25">
      <c r="A271" s="7">
        <v>45545</v>
      </c>
      <c r="B271" s="6">
        <v>0</v>
      </c>
      <c r="C271" s="6">
        <v>0</v>
      </c>
      <c r="D271" s="6">
        <v>0</v>
      </c>
      <c r="E271" s="6">
        <v>0</v>
      </c>
      <c r="F271" s="8">
        <v>0</v>
      </c>
      <c r="G271" s="116"/>
      <c r="H271" s="115"/>
      <c r="I271" s="115"/>
      <c r="J271" s="115"/>
    </row>
    <row r="272" spans="1:10" hidden="1" outlineLevel="1" x14ac:dyDescent="0.25">
      <c r="A272" s="7">
        <v>45546</v>
      </c>
      <c r="B272" s="6">
        <v>0</v>
      </c>
      <c r="C272" s="6">
        <v>0</v>
      </c>
      <c r="D272" s="6">
        <v>0</v>
      </c>
      <c r="E272" s="6">
        <v>0</v>
      </c>
      <c r="F272" s="8">
        <v>0</v>
      </c>
      <c r="G272" s="116"/>
      <c r="H272" s="115"/>
      <c r="I272" s="115"/>
      <c r="J272" s="115"/>
    </row>
    <row r="273" spans="1:10" hidden="1" outlineLevel="1" x14ac:dyDescent="0.25">
      <c r="A273" s="7">
        <v>45547</v>
      </c>
      <c r="B273" s="6">
        <v>0</v>
      </c>
      <c r="C273" s="6">
        <v>0</v>
      </c>
      <c r="D273" s="6">
        <v>0</v>
      </c>
      <c r="E273" s="6">
        <v>0</v>
      </c>
      <c r="F273" s="8">
        <v>0</v>
      </c>
      <c r="G273" s="116"/>
      <c r="H273" s="115"/>
      <c r="I273" s="115"/>
      <c r="J273" s="115"/>
    </row>
    <row r="274" spans="1:10" hidden="1" outlineLevel="1" x14ac:dyDescent="0.25">
      <c r="A274" s="7">
        <v>45548</v>
      </c>
      <c r="B274" s="6">
        <v>0</v>
      </c>
      <c r="C274" s="6">
        <v>0</v>
      </c>
      <c r="D274" s="6">
        <v>0</v>
      </c>
      <c r="E274" s="6">
        <v>0</v>
      </c>
      <c r="F274" s="8">
        <v>0</v>
      </c>
      <c r="G274" s="116"/>
      <c r="H274" s="115"/>
      <c r="I274" s="115"/>
      <c r="J274" s="115"/>
    </row>
    <row r="275" spans="1:10" hidden="1" outlineLevel="1" x14ac:dyDescent="0.25">
      <c r="A275" s="7">
        <v>45549</v>
      </c>
      <c r="B275" s="6">
        <v>0</v>
      </c>
      <c r="C275" s="6">
        <v>0</v>
      </c>
      <c r="D275" s="6">
        <v>0</v>
      </c>
      <c r="E275" s="6">
        <v>0</v>
      </c>
      <c r="F275" s="8">
        <v>0</v>
      </c>
      <c r="G275" s="116"/>
      <c r="H275" s="115"/>
      <c r="I275" s="115"/>
      <c r="J275" s="115"/>
    </row>
    <row r="276" spans="1:10" hidden="1" outlineLevel="1" x14ac:dyDescent="0.25">
      <c r="A276" s="7">
        <v>45550</v>
      </c>
      <c r="B276" s="6">
        <v>0</v>
      </c>
      <c r="C276" s="6">
        <v>0</v>
      </c>
      <c r="D276" s="6">
        <v>0</v>
      </c>
      <c r="E276" s="6">
        <v>0</v>
      </c>
      <c r="F276" s="8">
        <v>0</v>
      </c>
      <c r="G276" s="116"/>
      <c r="H276" s="115"/>
      <c r="I276" s="115"/>
      <c r="J276" s="115"/>
    </row>
    <row r="277" spans="1:10" hidden="1" outlineLevel="1" x14ac:dyDescent="0.25">
      <c r="A277" s="7">
        <v>45551</v>
      </c>
      <c r="B277" s="6">
        <v>0</v>
      </c>
      <c r="C277" s="6">
        <v>0</v>
      </c>
      <c r="D277" s="6">
        <v>0</v>
      </c>
      <c r="E277" s="6">
        <v>0</v>
      </c>
      <c r="F277" s="8">
        <v>0</v>
      </c>
      <c r="G277" s="116"/>
      <c r="H277" s="115"/>
      <c r="I277" s="115"/>
      <c r="J277" s="115"/>
    </row>
    <row r="278" spans="1:10" hidden="1" outlineLevel="1" x14ac:dyDescent="0.25">
      <c r="A278" s="7">
        <v>45552</v>
      </c>
      <c r="B278" s="6">
        <v>0</v>
      </c>
      <c r="C278" s="6">
        <v>0</v>
      </c>
      <c r="D278" s="6">
        <v>0</v>
      </c>
      <c r="E278" s="6">
        <v>0</v>
      </c>
      <c r="F278" s="8">
        <v>0</v>
      </c>
      <c r="G278" s="116"/>
      <c r="H278" s="115"/>
      <c r="I278" s="115"/>
      <c r="J278" s="115"/>
    </row>
    <row r="279" spans="1:10" hidden="1" outlineLevel="1" x14ac:dyDescent="0.25">
      <c r="A279" s="7">
        <v>45553</v>
      </c>
      <c r="B279" s="6">
        <v>0</v>
      </c>
      <c r="C279" s="6">
        <v>0</v>
      </c>
      <c r="D279" s="6">
        <v>0</v>
      </c>
      <c r="E279" s="6">
        <v>0</v>
      </c>
      <c r="F279" s="8">
        <v>0</v>
      </c>
      <c r="G279" s="116"/>
      <c r="H279" s="115"/>
      <c r="I279" s="115"/>
      <c r="J279" s="115"/>
    </row>
    <row r="280" spans="1:10" hidden="1" outlineLevel="1" x14ac:dyDescent="0.25">
      <c r="A280" s="7">
        <v>45554</v>
      </c>
      <c r="B280" s="6">
        <v>0</v>
      </c>
      <c r="C280" s="6">
        <v>0</v>
      </c>
      <c r="D280" s="6">
        <v>0</v>
      </c>
      <c r="E280" s="6">
        <v>0</v>
      </c>
      <c r="F280" s="8">
        <v>0</v>
      </c>
      <c r="G280" s="116"/>
      <c r="H280" s="115"/>
      <c r="I280" s="115"/>
      <c r="J280" s="115"/>
    </row>
    <row r="281" spans="1:10" hidden="1" outlineLevel="1" x14ac:dyDescent="0.25">
      <c r="A281" s="7">
        <v>45555</v>
      </c>
      <c r="B281" s="6">
        <v>0</v>
      </c>
      <c r="C281" s="6">
        <v>0</v>
      </c>
      <c r="D281" s="6">
        <v>0</v>
      </c>
      <c r="E281" s="6">
        <v>0</v>
      </c>
      <c r="F281" s="8">
        <v>0</v>
      </c>
      <c r="G281" s="116"/>
      <c r="H281" s="115"/>
      <c r="I281" s="115"/>
      <c r="J281" s="115"/>
    </row>
    <row r="282" spans="1:10" hidden="1" outlineLevel="1" x14ac:dyDescent="0.25">
      <c r="A282" s="7">
        <v>45556</v>
      </c>
      <c r="B282" s="6">
        <v>0</v>
      </c>
      <c r="C282" s="6">
        <v>0</v>
      </c>
      <c r="D282" s="6">
        <v>0</v>
      </c>
      <c r="E282" s="6">
        <v>0</v>
      </c>
      <c r="F282" s="8">
        <v>0</v>
      </c>
      <c r="G282" s="116"/>
      <c r="H282" s="115"/>
      <c r="I282" s="115"/>
      <c r="J282" s="115"/>
    </row>
    <row r="283" spans="1:10" hidden="1" outlineLevel="1" x14ac:dyDescent="0.25">
      <c r="A283" s="7">
        <v>45557</v>
      </c>
      <c r="B283" s="6">
        <v>0</v>
      </c>
      <c r="C283" s="6">
        <v>0</v>
      </c>
      <c r="D283" s="6">
        <v>0</v>
      </c>
      <c r="E283" s="6">
        <v>0</v>
      </c>
      <c r="F283" s="8">
        <v>0</v>
      </c>
      <c r="G283" s="116"/>
      <c r="H283" s="115"/>
      <c r="I283" s="115"/>
      <c r="J283" s="115"/>
    </row>
    <row r="284" spans="1:10" hidden="1" outlineLevel="1" x14ac:dyDescent="0.25">
      <c r="A284" s="7">
        <v>45558</v>
      </c>
      <c r="B284" s="6">
        <v>0</v>
      </c>
      <c r="C284" s="6">
        <v>0</v>
      </c>
      <c r="D284" s="6">
        <v>0</v>
      </c>
      <c r="E284" s="6">
        <v>0</v>
      </c>
      <c r="F284" s="8">
        <v>0</v>
      </c>
      <c r="G284" s="116"/>
      <c r="H284" s="115"/>
      <c r="I284" s="115"/>
      <c r="J284" s="115"/>
    </row>
    <row r="285" spans="1:10" hidden="1" outlineLevel="1" x14ac:dyDescent="0.25">
      <c r="A285" s="7">
        <v>45559</v>
      </c>
      <c r="B285" s="6">
        <v>0</v>
      </c>
      <c r="C285" s="6">
        <v>0</v>
      </c>
      <c r="D285" s="6">
        <v>0</v>
      </c>
      <c r="E285" s="6">
        <v>0</v>
      </c>
      <c r="F285" s="8">
        <v>0</v>
      </c>
      <c r="G285" s="116"/>
      <c r="H285" s="115"/>
      <c r="I285" s="115"/>
      <c r="J285" s="115"/>
    </row>
    <row r="286" spans="1:10" hidden="1" outlineLevel="1" x14ac:dyDescent="0.25">
      <c r="A286" s="7">
        <v>45560</v>
      </c>
      <c r="B286" s="6">
        <v>0</v>
      </c>
      <c r="C286" s="6">
        <v>0</v>
      </c>
      <c r="D286" s="6">
        <v>0</v>
      </c>
      <c r="E286" s="6">
        <v>0</v>
      </c>
      <c r="F286" s="8">
        <v>0</v>
      </c>
      <c r="G286" s="116"/>
      <c r="H286" s="115"/>
      <c r="I286" s="115"/>
      <c r="J286" s="115"/>
    </row>
    <row r="287" spans="1:10" hidden="1" outlineLevel="1" x14ac:dyDescent="0.25">
      <c r="A287" s="7">
        <v>45561</v>
      </c>
      <c r="B287" s="6">
        <v>0</v>
      </c>
      <c r="C287" s="6">
        <v>0</v>
      </c>
      <c r="D287" s="6">
        <v>0</v>
      </c>
      <c r="E287" s="6">
        <v>0</v>
      </c>
      <c r="F287" s="8">
        <v>0</v>
      </c>
      <c r="G287" s="116"/>
      <c r="H287" s="115"/>
      <c r="I287" s="115"/>
      <c r="J287" s="115"/>
    </row>
    <row r="288" spans="1:10" hidden="1" outlineLevel="1" x14ac:dyDescent="0.25">
      <c r="A288" s="7">
        <v>45562</v>
      </c>
      <c r="B288" s="6">
        <v>0</v>
      </c>
      <c r="C288" s="6">
        <v>0</v>
      </c>
      <c r="D288" s="6">
        <v>0</v>
      </c>
      <c r="E288" s="6">
        <v>0</v>
      </c>
      <c r="F288" s="8">
        <v>0</v>
      </c>
      <c r="G288" s="116"/>
      <c r="H288" s="115"/>
      <c r="I288" s="115"/>
      <c r="J288" s="115"/>
    </row>
    <row r="289" spans="1:10" hidden="1" outlineLevel="1" x14ac:dyDescent="0.25">
      <c r="A289" s="7">
        <v>45563</v>
      </c>
      <c r="B289" s="6">
        <v>0</v>
      </c>
      <c r="C289" s="6">
        <v>0</v>
      </c>
      <c r="D289" s="6">
        <v>0</v>
      </c>
      <c r="E289" s="6">
        <v>0</v>
      </c>
      <c r="F289" s="8">
        <v>0</v>
      </c>
      <c r="G289" s="116"/>
      <c r="H289" s="115"/>
      <c r="I289" s="115"/>
      <c r="J289" s="115"/>
    </row>
    <row r="290" spans="1:10" hidden="1" outlineLevel="1" x14ac:dyDescent="0.25">
      <c r="A290" s="7">
        <v>45564</v>
      </c>
      <c r="B290" s="6">
        <v>0</v>
      </c>
      <c r="C290" s="6">
        <v>0</v>
      </c>
      <c r="D290" s="6">
        <v>0</v>
      </c>
      <c r="E290" s="6">
        <v>0</v>
      </c>
      <c r="F290" s="8">
        <v>0</v>
      </c>
      <c r="G290" s="116"/>
      <c r="H290" s="115"/>
      <c r="I290" s="115"/>
      <c r="J290" s="115"/>
    </row>
    <row r="291" spans="1:10" hidden="1" outlineLevel="1" x14ac:dyDescent="0.25">
      <c r="A291" s="7">
        <v>45565</v>
      </c>
      <c r="B291" s="6">
        <v>0</v>
      </c>
      <c r="C291" s="6">
        <v>0</v>
      </c>
      <c r="D291" s="6">
        <v>0</v>
      </c>
      <c r="E291" s="6">
        <v>0</v>
      </c>
      <c r="F291" s="8">
        <v>0</v>
      </c>
      <c r="G291" s="116"/>
      <c r="H291" s="115"/>
      <c r="I291" s="115"/>
      <c r="J291" s="115"/>
    </row>
    <row r="292" spans="1:10" collapsed="1" x14ac:dyDescent="0.25">
      <c r="A292" s="7" t="s">
        <v>29</v>
      </c>
      <c r="B292" s="5">
        <v>0</v>
      </c>
      <c r="C292" s="5">
        <v>0</v>
      </c>
      <c r="D292" s="5">
        <v>0</v>
      </c>
      <c r="E292" s="5">
        <v>0</v>
      </c>
      <c r="F292" s="9">
        <v>0</v>
      </c>
      <c r="G292" s="4"/>
      <c r="H292" s="115"/>
      <c r="I292" s="115"/>
      <c r="J292" s="115"/>
    </row>
    <row r="293" spans="1:10" hidden="1" outlineLevel="1" x14ac:dyDescent="0.25">
      <c r="A293" s="7">
        <v>45566</v>
      </c>
      <c r="B293" s="6">
        <v>0</v>
      </c>
      <c r="C293" s="6">
        <v>0</v>
      </c>
      <c r="D293" s="6">
        <v>0</v>
      </c>
      <c r="E293" s="6">
        <v>0</v>
      </c>
      <c r="F293" s="8">
        <v>0</v>
      </c>
      <c r="G293" s="116"/>
      <c r="H293" s="115"/>
      <c r="I293" s="115"/>
      <c r="J293" s="115"/>
    </row>
    <row r="294" spans="1:10" hidden="1" outlineLevel="1" x14ac:dyDescent="0.25">
      <c r="A294" s="7">
        <v>45567</v>
      </c>
      <c r="B294" s="6">
        <v>0</v>
      </c>
      <c r="C294" s="6">
        <v>0</v>
      </c>
      <c r="D294" s="6">
        <v>0</v>
      </c>
      <c r="E294" s="6">
        <v>0</v>
      </c>
      <c r="F294" s="8">
        <v>0</v>
      </c>
      <c r="G294" s="116"/>
      <c r="H294" s="115"/>
      <c r="I294" s="115"/>
      <c r="J294" s="115"/>
    </row>
    <row r="295" spans="1:10" hidden="1" outlineLevel="1" x14ac:dyDescent="0.25">
      <c r="A295" s="7">
        <v>45568</v>
      </c>
      <c r="B295" s="6">
        <v>0</v>
      </c>
      <c r="C295" s="6">
        <v>0</v>
      </c>
      <c r="D295" s="6">
        <v>0</v>
      </c>
      <c r="E295" s="6">
        <v>0</v>
      </c>
      <c r="F295" s="8">
        <v>0</v>
      </c>
      <c r="G295" s="116"/>
      <c r="H295" s="115"/>
      <c r="I295" s="115"/>
      <c r="J295" s="115"/>
    </row>
    <row r="296" spans="1:10" hidden="1" outlineLevel="1" x14ac:dyDescent="0.25">
      <c r="A296" s="7">
        <v>45569</v>
      </c>
      <c r="B296" s="6">
        <v>0</v>
      </c>
      <c r="C296" s="6">
        <v>0</v>
      </c>
      <c r="D296" s="6">
        <v>0</v>
      </c>
      <c r="E296" s="6">
        <v>0</v>
      </c>
      <c r="F296" s="8">
        <v>0</v>
      </c>
      <c r="G296" s="116"/>
      <c r="H296" s="115"/>
      <c r="I296" s="115"/>
      <c r="J296" s="115"/>
    </row>
    <row r="297" spans="1:10" hidden="1" outlineLevel="1" x14ac:dyDescent="0.25">
      <c r="A297" s="7">
        <v>45570</v>
      </c>
      <c r="B297" s="6">
        <v>0</v>
      </c>
      <c r="C297" s="6">
        <v>0</v>
      </c>
      <c r="D297" s="6">
        <v>0</v>
      </c>
      <c r="E297" s="6">
        <v>0</v>
      </c>
      <c r="F297" s="8">
        <v>0</v>
      </c>
      <c r="G297" s="116"/>
      <c r="H297" s="115"/>
      <c r="I297" s="115"/>
      <c r="J297" s="115"/>
    </row>
    <row r="298" spans="1:10" hidden="1" outlineLevel="1" x14ac:dyDescent="0.25">
      <c r="A298" s="7">
        <v>45571</v>
      </c>
      <c r="B298" s="6">
        <v>0</v>
      </c>
      <c r="C298" s="6">
        <v>0</v>
      </c>
      <c r="D298" s="6">
        <v>0</v>
      </c>
      <c r="E298" s="6">
        <v>0</v>
      </c>
      <c r="F298" s="8">
        <v>0</v>
      </c>
      <c r="G298" s="116"/>
      <c r="H298" s="115"/>
      <c r="I298" s="115"/>
      <c r="J298" s="115"/>
    </row>
    <row r="299" spans="1:10" hidden="1" outlineLevel="1" x14ac:dyDescent="0.25">
      <c r="A299" s="7">
        <v>45572</v>
      </c>
      <c r="B299" s="6">
        <v>0</v>
      </c>
      <c r="C299" s="6">
        <v>0</v>
      </c>
      <c r="D299" s="6">
        <v>0</v>
      </c>
      <c r="E299" s="6">
        <v>0</v>
      </c>
      <c r="F299" s="8">
        <v>0</v>
      </c>
      <c r="G299" s="116"/>
      <c r="H299" s="115"/>
      <c r="I299" s="115"/>
      <c r="J299" s="115"/>
    </row>
    <row r="300" spans="1:10" hidden="1" outlineLevel="1" x14ac:dyDescent="0.25">
      <c r="A300" s="7">
        <v>45573</v>
      </c>
      <c r="B300" s="6">
        <v>0</v>
      </c>
      <c r="C300" s="6">
        <v>0</v>
      </c>
      <c r="D300" s="6">
        <v>0</v>
      </c>
      <c r="E300" s="6">
        <v>0</v>
      </c>
      <c r="F300" s="8">
        <v>0</v>
      </c>
      <c r="G300" s="116"/>
      <c r="H300" s="115"/>
      <c r="I300" s="115"/>
      <c r="J300" s="115"/>
    </row>
    <row r="301" spans="1:10" hidden="1" outlineLevel="1" x14ac:dyDescent="0.25">
      <c r="A301" s="7">
        <v>45574</v>
      </c>
      <c r="B301" s="6">
        <v>0</v>
      </c>
      <c r="C301" s="6">
        <v>0</v>
      </c>
      <c r="D301" s="6">
        <v>0</v>
      </c>
      <c r="E301" s="6">
        <v>0</v>
      </c>
      <c r="F301" s="8">
        <v>0</v>
      </c>
      <c r="G301" s="116"/>
      <c r="H301" s="115"/>
      <c r="I301" s="115"/>
      <c r="J301" s="115"/>
    </row>
    <row r="302" spans="1:10" hidden="1" outlineLevel="1" x14ac:dyDescent="0.25">
      <c r="A302" s="7">
        <v>45575</v>
      </c>
      <c r="B302" s="6">
        <v>0</v>
      </c>
      <c r="C302" s="6">
        <v>0</v>
      </c>
      <c r="D302" s="6">
        <v>0</v>
      </c>
      <c r="E302" s="6">
        <v>0</v>
      </c>
      <c r="F302" s="8">
        <v>0</v>
      </c>
      <c r="G302" s="116"/>
      <c r="H302" s="115"/>
      <c r="I302" s="115"/>
      <c r="J302" s="115"/>
    </row>
    <row r="303" spans="1:10" hidden="1" outlineLevel="1" x14ac:dyDescent="0.25">
      <c r="A303" s="7">
        <v>45576</v>
      </c>
      <c r="B303" s="6">
        <v>0</v>
      </c>
      <c r="C303" s="6">
        <v>0</v>
      </c>
      <c r="D303" s="6">
        <v>0</v>
      </c>
      <c r="E303" s="6">
        <v>0</v>
      </c>
      <c r="F303" s="8">
        <v>0</v>
      </c>
      <c r="G303" s="116"/>
      <c r="H303" s="115"/>
      <c r="I303" s="115"/>
      <c r="J303" s="115"/>
    </row>
    <row r="304" spans="1:10" hidden="1" outlineLevel="1" x14ac:dyDescent="0.25">
      <c r="A304" s="7">
        <v>45577</v>
      </c>
      <c r="B304" s="6">
        <v>0</v>
      </c>
      <c r="C304" s="6">
        <v>0</v>
      </c>
      <c r="D304" s="6">
        <v>0</v>
      </c>
      <c r="E304" s="6">
        <v>0</v>
      </c>
      <c r="F304" s="8">
        <v>0</v>
      </c>
      <c r="G304" s="116"/>
      <c r="H304" s="115"/>
      <c r="I304" s="115"/>
      <c r="J304" s="115"/>
    </row>
    <row r="305" spans="1:10" hidden="1" outlineLevel="1" x14ac:dyDescent="0.25">
      <c r="A305" s="7">
        <v>45578</v>
      </c>
      <c r="B305" s="6">
        <v>0</v>
      </c>
      <c r="C305" s="6">
        <v>0</v>
      </c>
      <c r="D305" s="6">
        <v>0</v>
      </c>
      <c r="E305" s="6">
        <v>0</v>
      </c>
      <c r="F305" s="8">
        <v>0</v>
      </c>
      <c r="G305" s="116"/>
      <c r="H305" s="115"/>
      <c r="I305" s="115"/>
      <c r="J305" s="115"/>
    </row>
    <row r="306" spans="1:10" hidden="1" outlineLevel="1" x14ac:dyDescent="0.25">
      <c r="A306" s="7">
        <v>45579</v>
      </c>
      <c r="B306" s="6">
        <v>0</v>
      </c>
      <c r="C306" s="6">
        <v>0</v>
      </c>
      <c r="D306" s="6">
        <v>0</v>
      </c>
      <c r="E306" s="6">
        <v>0</v>
      </c>
      <c r="F306" s="8">
        <v>0</v>
      </c>
      <c r="G306" s="116"/>
      <c r="H306" s="115"/>
      <c r="I306" s="115"/>
      <c r="J306" s="115"/>
    </row>
    <row r="307" spans="1:10" hidden="1" outlineLevel="1" x14ac:dyDescent="0.25">
      <c r="A307" s="7">
        <v>45580</v>
      </c>
      <c r="B307" s="6">
        <v>0</v>
      </c>
      <c r="C307" s="6">
        <v>0</v>
      </c>
      <c r="D307" s="6">
        <v>0</v>
      </c>
      <c r="E307" s="6">
        <v>0</v>
      </c>
      <c r="F307" s="8">
        <v>0</v>
      </c>
      <c r="G307" s="116"/>
      <c r="H307" s="115"/>
      <c r="I307" s="115"/>
      <c r="J307" s="115"/>
    </row>
    <row r="308" spans="1:10" hidden="1" outlineLevel="1" x14ac:dyDescent="0.25">
      <c r="A308" s="7">
        <v>45581</v>
      </c>
      <c r="B308" s="6">
        <v>0</v>
      </c>
      <c r="C308" s="6">
        <v>0</v>
      </c>
      <c r="D308" s="6">
        <v>0</v>
      </c>
      <c r="E308" s="6">
        <v>0</v>
      </c>
      <c r="F308" s="8">
        <v>0</v>
      </c>
      <c r="G308" s="116"/>
      <c r="H308" s="115"/>
      <c r="I308" s="115"/>
      <c r="J308" s="115"/>
    </row>
    <row r="309" spans="1:10" hidden="1" outlineLevel="1" x14ac:dyDescent="0.25">
      <c r="A309" s="7">
        <v>45582</v>
      </c>
      <c r="B309" s="6">
        <v>0</v>
      </c>
      <c r="C309" s="6">
        <v>0</v>
      </c>
      <c r="D309" s="6">
        <v>0</v>
      </c>
      <c r="E309" s="6">
        <v>0</v>
      </c>
      <c r="F309" s="8">
        <v>0</v>
      </c>
      <c r="G309" s="116"/>
      <c r="H309" s="115"/>
      <c r="I309" s="115"/>
      <c r="J309" s="115"/>
    </row>
    <row r="310" spans="1:10" hidden="1" outlineLevel="1" x14ac:dyDescent="0.25">
      <c r="A310" s="7">
        <v>45583</v>
      </c>
      <c r="B310" s="6">
        <v>0</v>
      </c>
      <c r="C310" s="6">
        <v>0</v>
      </c>
      <c r="D310" s="6">
        <v>0</v>
      </c>
      <c r="E310" s="6">
        <v>0</v>
      </c>
      <c r="F310" s="8">
        <v>0</v>
      </c>
      <c r="G310" s="116"/>
      <c r="H310" s="115"/>
      <c r="I310" s="115"/>
      <c r="J310" s="115"/>
    </row>
    <row r="311" spans="1:10" hidden="1" outlineLevel="1" x14ac:dyDescent="0.25">
      <c r="A311" s="7">
        <v>45584</v>
      </c>
      <c r="B311" s="6">
        <v>0</v>
      </c>
      <c r="C311" s="6">
        <v>0</v>
      </c>
      <c r="D311" s="6">
        <v>0</v>
      </c>
      <c r="E311" s="6">
        <v>0</v>
      </c>
      <c r="F311" s="8">
        <v>0</v>
      </c>
      <c r="G311" s="116"/>
      <c r="H311" s="115"/>
      <c r="I311" s="115"/>
      <c r="J311" s="115"/>
    </row>
    <row r="312" spans="1:10" hidden="1" outlineLevel="1" x14ac:dyDescent="0.25">
      <c r="A312" s="7">
        <v>45585</v>
      </c>
      <c r="B312" s="6">
        <v>0</v>
      </c>
      <c r="C312" s="6">
        <v>0</v>
      </c>
      <c r="D312" s="6">
        <v>0</v>
      </c>
      <c r="E312" s="6">
        <v>0</v>
      </c>
      <c r="F312" s="8">
        <v>0</v>
      </c>
      <c r="G312" s="116"/>
      <c r="H312" s="115"/>
      <c r="I312" s="115"/>
      <c r="J312" s="115"/>
    </row>
    <row r="313" spans="1:10" hidden="1" outlineLevel="1" x14ac:dyDescent="0.25">
      <c r="A313" s="7">
        <v>45586</v>
      </c>
      <c r="B313" s="6">
        <v>0</v>
      </c>
      <c r="C313" s="6">
        <v>0</v>
      </c>
      <c r="D313" s="6">
        <v>0</v>
      </c>
      <c r="E313" s="6">
        <v>0</v>
      </c>
      <c r="F313" s="8">
        <v>0</v>
      </c>
      <c r="G313" s="116"/>
      <c r="H313" s="115"/>
      <c r="I313" s="115"/>
      <c r="J313" s="115"/>
    </row>
    <row r="314" spans="1:10" hidden="1" outlineLevel="1" x14ac:dyDescent="0.25">
      <c r="A314" s="7">
        <v>45587</v>
      </c>
      <c r="B314" s="6">
        <v>0</v>
      </c>
      <c r="C314" s="6">
        <v>0</v>
      </c>
      <c r="D314" s="6">
        <v>0</v>
      </c>
      <c r="E314" s="6">
        <v>0</v>
      </c>
      <c r="F314" s="8">
        <v>0</v>
      </c>
      <c r="G314" s="116"/>
      <c r="H314" s="115"/>
      <c r="I314" s="115"/>
      <c r="J314" s="115"/>
    </row>
    <row r="315" spans="1:10" hidden="1" outlineLevel="1" x14ac:dyDescent="0.25">
      <c r="A315" s="7">
        <v>45588</v>
      </c>
      <c r="B315" s="6">
        <v>0</v>
      </c>
      <c r="C315" s="6">
        <v>0</v>
      </c>
      <c r="D315" s="6">
        <v>0</v>
      </c>
      <c r="E315" s="6">
        <v>0</v>
      </c>
      <c r="F315" s="8">
        <v>0</v>
      </c>
      <c r="G315" s="116"/>
      <c r="H315" s="115"/>
      <c r="I315" s="115"/>
      <c r="J315" s="115"/>
    </row>
    <row r="316" spans="1:10" hidden="1" outlineLevel="1" x14ac:dyDescent="0.25">
      <c r="A316" s="7">
        <v>45589</v>
      </c>
      <c r="B316" s="6">
        <v>0</v>
      </c>
      <c r="C316" s="6">
        <v>0</v>
      </c>
      <c r="D316" s="6">
        <v>0</v>
      </c>
      <c r="E316" s="6">
        <v>0</v>
      </c>
      <c r="F316" s="8">
        <v>0</v>
      </c>
      <c r="G316" s="116"/>
      <c r="H316" s="115"/>
      <c r="I316" s="115"/>
      <c r="J316" s="115"/>
    </row>
    <row r="317" spans="1:10" hidden="1" outlineLevel="1" x14ac:dyDescent="0.25">
      <c r="A317" s="7">
        <v>45590</v>
      </c>
      <c r="B317" s="6">
        <v>0</v>
      </c>
      <c r="C317" s="6">
        <v>0</v>
      </c>
      <c r="D317" s="6">
        <v>0</v>
      </c>
      <c r="E317" s="6">
        <v>0</v>
      </c>
      <c r="F317" s="8">
        <v>0</v>
      </c>
      <c r="G317" s="116"/>
      <c r="H317" s="115"/>
      <c r="I317" s="115"/>
      <c r="J317" s="115"/>
    </row>
    <row r="318" spans="1:10" hidden="1" outlineLevel="1" x14ac:dyDescent="0.25">
      <c r="A318" s="7">
        <v>45591</v>
      </c>
      <c r="B318" s="6">
        <v>0</v>
      </c>
      <c r="C318" s="6">
        <v>0</v>
      </c>
      <c r="D318" s="6">
        <v>0</v>
      </c>
      <c r="E318" s="6">
        <v>0</v>
      </c>
      <c r="F318" s="8">
        <v>0</v>
      </c>
      <c r="G318" s="116"/>
      <c r="H318" s="115"/>
      <c r="I318" s="115"/>
      <c r="J318" s="115"/>
    </row>
    <row r="319" spans="1:10" hidden="1" outlineLevel="1" x14ac:dyDescent="0.25">
      <c r="A319" s="7">
        <v>45592</v>
      </c>
      <c r="B319" s="6">
        <v>0</v>
      </c>
      <c r="C319" s="6">
        <v>0</v>
      </c>
      <c r="D319" s="6">
        <v>0</v>
      </c>
      <c r="E319" s="6">
        <v>0</v>
      </c>
      <c r="F319" s="8">
        <v>0</v>
      </c>
      <c r="G319" s="116"/>
      <c r="H319" s="115"/>
      <c r="I319" s="115"/>
      <c r="J319" s="115"/>
    </row>
    <row r="320" spans="1:10" hidden="1" outlineLevel="1" x14ac:dyDescent="0.25">
      <c r="A320" s="7">
        <v>45593</v>
      </c>
      <c r="B320" s="6">
        <v>0</v>
      </c>
      <c r="C320" s="6">
        <v>0</v>
      </c>
      <c r="D320" s="6">
        <v>0</v>
      </c>
      <c r="E320" s="6">
        <v>0</v>
      </c>
      <c r="F320" s="8">
        <v>0</v>
      </c>
      <c r="G320" s="116"/>
      <c r="H320" s="115"/>
      <c r="I320" s="115"/>
      <c r="J320" s="115"/>
    </row>
    <row r="321" spans="1:10" hidden="1" outlineLevel="1" x14ac:dyDescent="0.25">
      <c r="A321" s="7">
        <v>45594</v>
      </c>
      <c r="B321" s="6">
        <v>0</v>
      </c>
      <c r="C321" s="6">
        <v>0</v>
      </c>
      <c r="D321" s="6">
        <v>0</v>
      </c>
      <c r="E321" s="6">
        <v>0</v>
      </c>
      <c r="F321" s="8">
        <v>0</v>
      </c>
      <c r="G321" s="116"/>
      <c r="H321" s="115"/>
      <c r="I321" s="115"/>
      <c r="J321" s="115"/>
    </row>
    <row r="322" spans="1:10" hidden="1" outlineLevel="1" x14ac:dyDescent="0.25">
      <c r="A322" s="7">
        <v>45595</v>
      </c>
      <c r="B322" s="6">
        <v>0</v>
      </c>
      <c r="C322" s="6">
        <v>0</v>
      </c>
      <c r="D322" s="6">
        <v>0</v>
      </c>
      <c r="E322" s="6">
        <v>0</v>
      </c>
      <c r="F322" s="8">
        <v>0</v>
      </c>
      <c r="G322" s="116"/>
      <c r="H322" s="115"/>
      <c r="I322" s="115"/>
      <c r="J322" s="115"/>
    </row>
    <row r="323" spans="1:10" hidden="1" outlineLevel="1" x14ac:dyDescent="0.25">
      <c r="A323" s="7">
        <v>45596</v>
      </c>
      <c r="B323" s="6">
        <v>0</v>
      </c>
      <c r="C323" s="6">
        <v>0</v>
      </c>
      <c r="D323" s="6">
        <v>0</v>
      </c>
      <c r="E323" s="6">
        <v>0</v>
      </c>
      <c r="F323" s="8">
        <v>0</v>
      </c>
      <c r="G323" s="116"/>
      <c r="H323" s="115"/>
      <c r="I323" s="115"/>
      <c r="J323" s="115"/>
    </row>
    <row r="324" spans="1:10" collapsed="1" x14ac:dyDescent="0.25">
      <c r="A324" s="7" t="s">
        <v>30</v>
      </c>
      <c r="B324" s="5">
        <v>0</v>
      </c>
      <c r="C324" s="5">
        <v>0</v>
      </c>
      <c r="D324" s="5">
        <v>0</v>
      </c>
      <c r="E324" s="5">
        <v>0</v>
      </c>
      <c r="F324" s="9">
        <v>0</v>
      </c>
      <c r="G324" s="4"/>
      <c r="H324" s="115"/>
      <c r="I324" s="115"/>
      <c r="J324" s="115"/>
    </row>
    <row r="325" spans="1:10" hidden="1" outlineLevel="1" x14ac:dyDescent="0.25">
      <c r="A325" s="7">
        <v>45597</v>
      </c>
      <c r="B325" s="6">
        <v>0</v>
      </c>
      <c r="C325" s="6">
        <v>0</v>
      </c>
      <c r="D325" s="6">
        <v>0</v>
      </c>
      <c r="E325" s="6">
        <v>0</v>
      </c>
      <c r="F325" s="8">
        <v>0</v>
      </c>
      <c r="G325" s="116"/>
      <c r="H325" s="115"/>
      <c r="I325" s="115"/>
      <c r="J325" s="115"/>
    </row>
    <row r="326" spans="1:10" hidden="1" outlineLevel="1" x14ac:dyDescent="0.25">
      <c r="A326" s="7">
        <v>45598</v>
      </c>
      <c r="B326" s="6">
        <v>0</v>
      </c>
      <c r="C326" s="6">
        <v>0</v>
      </c>
      <c r="D326" s="6">
        <v>0</v>
      </c>
      <c r="E326" s="6">
        <v>0</v>
      </c>
      <c r="F326" s="8">
        <v>0</v>
      </c>
      <c r="G326" s="116"/>
      <c r="H326" s="115"/>
      <c r="I326" s="115"/>
      <c r="J326" s="115"/>
    </row>
    <row r="327" spans="1:10" hidden="1" outlineLevel="1" x14ac:dyDescent="0.25">
      <c r="A327" s="7">
        <v>45599</v>
      </c>
      <c r="B327" s="6">
        <v>0</v>
      </c>
      <c r="C327" s="6">
        <v>0</v>
      </c>
      <c r="D327" s="6">
        <v>0</v>
      </c>
      <c r="E327" s="6">
        <v>0</v>
      </c>
      <c r="F327" s="8">
        <v>0</v>
      </c>
      <c r="G327" s="116"/>
      <c r="H327" s="115"/>
      <c r="I327" s="115"/>
      <c r="J327" s="115"/>
    </row>
    <row r="328" spans="1:10" hidden="1" outlineLevel="1" x14ac:dyDescent="0.25">
      <c r="A328" s="7">
        <v>45600</v>
      </c>
      <c r="B328" s="6">
        <v>0</v>
      </c>
      <c r="C328" s="6">
        <v>0</v>
      </c>
      <c r="D328" s="6">
        <v>0</v>
      </c>
      <c r="E328" s="6">
        <v>0</v>
      </c>
      <c r="F328" s="8">
        <v>0</v>
      </c>
      <c r="G328" s="116"/>
      <c r="H328" s="115"/>
      <c r="I328" s="115"/>
      <c r="J328" s="115"/>
    </row>
    <row r="329" spans="1:10" hidden="1" outlineLevel="1" x14ac:dyDescent="0.25">
      <c r="A329" s="7">
        <v>45601</v>
      </c>
      <c r="B329" s="6">
        <v>0</v>
      </c>
      <c r="C329" s="6">
        <v>0</v>
      </c>
      <c r="D329" s="6">
        <v>0</v>
      </c>
      <c r="E329" s="6">
        <v>0</v>
      </c>
      <c r="F329" s="8">
        <v>0</v>
      </c>
      <c r="G329" s="116"/>
      <c r="H329" s="115"/>
      <c r="I329" s="115"/>
      <c r="J329" s="115"/>
    </row>
    <row r="330" spans="1:10" hidden="1" outlineLevel="1" x14ac:dyDescent="0.25">
      <c r="A330" s="7">
        <v>45602</v>
      </c>
      <c r="B330" s="6">
        <v>0</v>
      </c>
      <c r="C330" s="6">
        <v>0</v>
      </c>
      <c r="D330" s="6">
        <v>0</v>
      </c>
      <c r="E330" s="6">
        <v>0</v>
      </c>
      <c r="F330" s="8">
        <v>0</v>
      </c>
      <c r="G330" s="116"/>
      <c r="H330" s="115"/>
      <c r="I330" s="115"/>
      <c r="J330" s="115"/>
    </row>
    <row r="331" spans="1:10" hidden="1" outlineLevel="1" x14ac:dyDescent="0.25">
      <c r="A331" s="7">
        <v>45603</v>
      </c>
      <c r="B331" s="6">
        <v>0</v>
      </c>
      <c r="C331" s="6">
        <v>0</v>
      </c>
      <c r="D331" s="6">
        <v>0</v>
      </c>
      <c r="E331" s="6">
        <v>0</v>
      </c>
      <c r="F331" s="8">
        <v>0</v>
      </c>
      <c r="G331" s="116"/>
      <c r="H331" s="115"/>
      <c r="I331" s="115"/>
      <c r="J331" s="115"/>
    </row>
    <row r="332" spans="1:10" hidden="1" outlineLevel="1" x14ac:dyDescent="0.25">
      <c r="A332" s="7">
        <v>45604</v>
      </c>
      <c r="B332" s="6">
        <v>0</v>
      </c>
      <c r="C332" s="6">
        <v>0</v>
      </c>
      <c r="D332" s="6">
        <v>0</v>
      </c>
      <c r="E332" s="6">
        <v>0</v>
      </c>
      <c r="F332" s="8">
        <v>0</v>
      </c>
      <c r="G332" s="116"/>
      <c r="H332" s="115"/>
      <c r="I332" s="115"/>
      <c r="J332" s="115"/>
    </row>
    <row r="333" spans="1:10" hidden="1" outlineLevel="1" x14ac:dyDescent="0.25">
      <c r="A333" s="7">
        <v>45605</v>
      </c>
      <c r="B333" s="6">
        <v>0</v>
      </c>
      <c r="C333" s="6">
        <v>0</v>
      </c>
      <c r="D333" s="6">
        <v>0</v>
      </c>
      <c r="E333" s="6">
        <v>0</v>
      </c>
      <c r="F333" s="8">
        <v>0</v>
      </c>
      <c r="G333" s="116"/>
      <c r="H333" s="115"/>
      <c r="I333" s="115"/>
      <c r="J333" s="115"/>
    </row>
    <row r="334" spans="1:10" hidden="1" outlineLevel="1" x14ac:dyDescent="0.25">
      <c r="A334" s="7">
        <v>45606</v>
      </c>
      <c r="B334" s="6">
        <v>0</v>
      </c>
      <c r="C334" s="6">
        <v>0</v>
      </c>
      <c r="D334" s="6">
        <v>0</v>
      </c>
      <c r="E334" s="6">
        <v>0</v>
      </c>
      <c r="F334" s="8">
        <v>0</v>
      </c>
      <c r="G334" s="116"/>
      <c r="H334" s="115"/>
      <c r="I334" s="115"/>
      <c r="J334" s="115"/>
    </row>
    <row r="335" spans="1:10" hidden="1" outlineLevel="1" x14ac:dyDescent="0.25">
      <c r="A335" s="7">
        <v>45607</v>
      </c>
      <c r="B335" s="6">
        <v>0</v>
      </c>
      <c r="C335" s="6">
        <v>0</v>
      </c>
      <c r="D335" s="6">
        <v>0</v>
      </c>
      <c r="E335" s="6">
        <v>0</v>
      </c>
      <c r="F335" s="8">
        <v>0</v>
      </c>
      <c r="G335" s="116"/>
      <c r="H335" s="115"/>
      <c r="I335" s="115"/>
      <c r="J335" s="115"/>
    </row>
    <row r="336" spans="1:10" hidden="1" outlineLevel="1" x14ac:dyDescent="0.25">
      <c r="A336" s="7">
        <v>45608</v>
      </c>
      <c r="B336" s="6">
        <v>0</v>
      </c>
      <c r="C336" s="6">
        <v>0</v>
      </c>
      <c r="D336" s="6">
        <v>0</v>
      </c>
      <c r="E336" s="6">
        <v>0</v>
      </c>
      <c r="F336" s="8">
        <v>0</v>
      </c>
      <c r="G336" s="116"/>
      <c r="H336" s="115"/>
      <c r="I336" s="115"/>
      <c r="J336" s="115"/>
    </row>
    <row r="337" spans="1:10" hidden="1" outlineLevel="1" x14ac:dyDescent="0.25">
      <c r="A337" s="7">
        <v>45609</v>
      </c>
      <c r="B337" s="6">
        <v>0</v>
      </c>
      <c r="C337" s="6">
        <v>0</v>
      </c>
      <c r="D337" s="6">
        <v>0</v>
      </c>
      <c r="E337" s="6">
        <v>0</v>
      </c>
      <c r="F337" s="8">
        <v>0</v>
      </c>
      <c r="G337" s="116"/>
      <c r="H337" s="115"/>
      <c r="I337" s="115"/>
      <c r="J337" s="115"/>
    </row>
    <row r="338" spans="1:10" hidden="1" outlineLevel="1" x14ac:dyDescent="0.25">
      <c r="A338" s="7">
        <v>45610</v>
      </c>
      <c r="B338" s="6">
        <v>0</v>
      </c>
      <c r="C338" s="6">
        <v>0</v>
      </c>
      <c r="D338" s="6">
        <v>0</v>
      </c>
      <c r="E338" s="6">
        <v>0</v>
      </c>
      <c r="F338" s="8">
        <v>0</v>
      </c>
      <c r="G338" s="116"/>
      <c r="H338" s="115"/>
      <c r="I338" s="115"/>
      <c r="J338" s="115"/>
    </row>
    <row r="339" spans="1:10" hidden="1" outlineLevel="1" x14ac:dyDescent="0.25">
      <c r="A339" s="7">
        <v>45611</v>
      </c>
      <c r="B339" s="6">
        <v>0</v>
      </c>
      <c r="C339" s="6">
        <v>0</v>
      </c>
      <c r="D339" s="6">
        <v>0</v>
      </c>
      <c r="E339" s="6">
        <v>0</v>
      </c>
      <c r="F339" s="8">
        <v>0</v>
      </c>
      <c r="G339" s="116"/>
      <c r="H339" s="115"/>
      <c r="I339" s="115"/>
      <c r="J339" s="115"/>
    </row>
    <row r="340" spans="1:10" hidden="1" outlineLevel="1" x14ac:dyDescent="0.25">
      <c r="A340" s="7">
        <v>45612</v>
      </c>
      <c r="B340" s="6">
        <v>0</v>
      </c>
      <c r="C340" s="6">
        <v>0</v>
      </c>
      <c r="D340" s="6">
        <v>0</v>
      </c>
      <c r="E340" s="6">
        <v>0</v>
      </c>
      <c r="F340" s="8">
        <v>0</v>
      </c>
      <c r="G340" s="116"/>
      <c r="H340" s="115"/>
      <c r="I340" s="115"/>
      <c r="J340" s="115"/>
    </row>
    <row r="341" spans="1:10" hidden="1" outlineLevel="1" x14ac:dyDescent="0.25">
      <c r="A341" s="7">
        <v>45613</v>
      </c>
      <c r="B341" s="6">
        <v>0</v>
      </c>
      <c r="C341" s="6">
        <v>0</v>
      </c>
      <c r="D341" s="6">
        <v>0</v>
      </c>
      <c r="E341" s="6">
        <v>0</v>
      </c>
      <c r="F341" s="8">
        <v>0</v>
      </c>
      <c r="G341" s="116"/>
      <c r="H341" s="115"/>
      <c r="I341" s="115"/>
      <c r="J341" s="115"/>
    </row>
    <row r="342" spans="1:10" hidden="1" outlineLevel="1" x14ac:dyDescent="0.25">
      <c r="A342" s="7">
        <v>45614</v>
      </c>
      <c r="B342" s="6">
        <v>0</v>
      </c>
      <c r="C342" s="6">
        <v>0</v>
      </c>
      <c r="D342" s="6">
        <v>0</v>
      </c>
      <c r="E342" s="6">
        <v>0</v>
      </c>
      <c r="F342" s="8">
        <v>0</v>
      </c>
      <c r="G342" s="116"/>
      <c r="H342" s="115"/>
      <c r="I342" s="115"/>
      <c r="J342" s="115"/>
    </row>
    <row r="343" spans="1:10" hidden="1" outlineLevel="1" x14ac:dyDescent="0.25">
      <c r="A343" s="7">
        <v>45615</v>
      </c>
      <c r="B343" s="6">
        <v>0</v>
      </c>
      <c r="C343" s="6">
        <v>0</v>
      </c>
      <c r="D343" s="6">
        <v>0</v>
      </c>
      <c r="E343" s="6">
        <v>0</v>
      </c>
      <c r="F343" s="8">
        <v>0</v>
      </c>
      <c r="G343" s="116"/>
      <c r="H343" s="115"/>
      <c r="I343" s="115"/>
      <c r="J343" s="115"/>
    </row>
    <row r="344" spans="1:10" hidden="1" outlineLevel="1" x14ac:dyDescent="0.25">
      <c r="A344" s="7">
        <v>45616</v>
      </c>
      <c r="B344" s="6">
        <v>0</v>
      </c>
      <c r="C344" s="6">
        <v>0</v>
      </c>
      <c r="D344" s="6">
        <v>0</v>
      </c>
      <c r="E344" s="6">
        <v>0</v>
      </c>
      <c r="F344" s="8">
        <v>0</v>
      </c>
      <c r="G344" s="116"/>
      <c r="H344" s="115"/>
      <c r="I344" s="115"/>
      <c r="J344" s="115"/>
    </row>
    <row r="345" spans="1:10" hidden="1" outlineLevel="1" x14ac:dyDescent="0.25">
      <c r="A345" s="7">
        <v>45617</v>
      </c>
      <c r="B345" s="6">
        <v>0</v>
      </c>
      <c r="C345" s="6">
        <v>0</v>
      </c>
      <c r="D345" s="6">
        <v>0</v>
      </c>
      <c r="E345" s="6">
        <v>0</v>
      </c>
      <c r="F345" s="8">
        <v>0</v>
      </c>
      <c r="G345" s="116"/>
      <c r="H345" s="115"/>
      <c r="I345" s="115"/>
      <c r="J345" s="115"/>
    </row>
    <row r="346" spans="1:10" hidden="1" outlineLevel="1" x14ac:dyDescent="0.25">
      <c r="A346" s="7">
        <v>45618</v>
      </c>
      <c r="B346" s="6">
        <v>0</v>
      </c>
      <c r="C346" s="6">
        <v>0</v>
      </c>
      <c r="D346" s="6">
        <v>0</v>
      </c>
      <c r="E346" s="6">
        <v>0</v>
      </c>
      <c r="F346" s="8">
        <v>0</v>
      </c>
      <c r="G346" s="116"/>
      <c r="H346" s="115"/>
      <c r="I346" s="115"/>
      <c r="J346" s="115"/>
    </row>
    <row r="347" spans="1:10" hidden="1" outlineLevel="1" x14ac:dyDescent="0.25">
      <c r="A347" s="7">
        <v>45619</v>
      </c>
      <c r="B347" s="6">
        <v>0</v>
      </c>
      <c r="C347" s="6">
        <v>0</v>
      </c>
      <c r="D347" s="6">
        <v>0</v>
      </c>
      <c r="E347" s="6">
        <v>0</v>
      </c>
      <c r="F347" s="8">
        <v>0</v>
      </c>
      <c r="G347" s="116"/>
      <c r="H347" s="115"/>
      <c r="I347" s="115"/>
      <c r="J347" s="115"/>
    </row>
    <row r="348" spans="1:10" hidden="1" outlineLevel="1" x14ac:dyDescent="0.25">
      <c r="A348" s="7">
        <v>45620</v>
      </c>
      <c r="B348" s="6">
        <v>0</v>
      </c>
      <c r="C348" s="6">
        <v>0</v>
      </c>
      <c r="D348" s="6">
        <v>0</v>
      </c>
      <c r="E348" s="6">
        <v>0</v>
      </c>
      <c r="F348" s="8">
        <v>0</v>
      </c>
      <c r="G348" s="116"/>
      <c r="H348" s="115"/>
      <c r="I348" s="115"/>
      <c r="J348" s="115"/>
    </row>
    <row r="349" spans="1:10" hidden="1" outlineLevel="1" x14ac:dyDescent="0.25">
      <c r="A349" s="7">
        <v>45621</v>
      </c>
      <c r="B349" s="6">
        <v>0</v>
      </c>
      <c r="C349" s="6">
        <v>0</v>
      </c>
      <c r="D349" s="6">
        <v>0</v>
      </c>
      <c r="E349" s="6">
        <v>0</v>
      </c>
      <c r="F349" s="8">
        <v>0</v>
      </c>
      <c r="G349" s="116"/>
      <c r="H349" s="115"/>
      <c r="I349" s="115"/>
      <c r="J349" s="115"/>
    </row>
    <row r="350" spans="1:10" hidden="1" outlineLevel="1" x14ac:dyDescent="0.25">
      <c r="A350" s="7">
        <v>45622</v>
      </c>
      <c r="B350" s="6">
        <v>0</v>
      </c>
      <c r="C350" s="6">
        <v>0</v>
      </c>
      <c r="D350" s="6">
        <v>0</v>
      </c>
      <c r="E350" s="6">
        <v>0</v>
      </c>
      <c r="F350" s="8">
        <v>0</v>
      </c>
      <c r="G350" s="116"/>
      <c r="H350" s="115"/>
      <c r="I350" s="115"/>
      <c r="J350" s="115"/>
    </row>
    <row r="351" spans="1:10" hidden="1" outlineLevel="1" x14ac:dyDescent="0.25">
      <c r="A351" s="7">
        <v>45623</v>
      </c>
      <c r="B351" s="6">
        <v>0</v>
      </c>
      <c r="C351" s="6">
        <v>0</v>
      </c>
      <c r="D351" s="6">
        <v>0</v>
      </c>
      <c r="E351" s="6">
        <v>0</v>
      </c>
      <c r="F351" s="8">
        <v>0</v>
      </c>
      <c r="G351" s="116"/>
      <c r="H351" s="115"/>
      <c r="I351" s="115"/>
      <c r="J351" s="115"/>
    </row>
    <row r="352" spans="1:10" hidden="1" outlineLevel="1" x14ac:dyDescent="0.25">
      <c r="A352" s="7">
        <v>45624</v>
      </c>
      <c r="B352" s="6">
        <v>0</v>
      </c>
      <c r="C352" s="6">
        <v>0</v>
      </c>
      <c r="D352" s="6">
        <v>0</v>
      </c>
      <c r="E352" s="6">
        <v>0</v>
      </c>
      <c r="F352" s="8">
        <v>0</v>
      </c>
      <c r="G352" s="116"/>
      <c r="H352" s="115"/>
      <c r="I352" s="115"/>
      <c r="J352" s="115"/>
    </row>
    <row r="353" spans="1:10" hidden="1" outlineLevel="1" x14ac:dyDescent="0.25">
      <c r="A353" s="7">
        <v>45625</v>
      </c>
      <c r="B353" s="6">
        <v>0</v>
      </c>
      <c r="C353" s="6">
        <v>0</v>
      </c>
      <c r="D353" s="6">
        <v>0</v>
      </c>
      <c r="E353" s="6">
        <v>0</v>
      </c>
      <c r="F353" s="8">
        <v>0</v>
      </c>
      <c r="G353" s="116"/>
      <c r="H353" s="115"/>
      <c r="I353" s="115"/>
      <c r="J353" s="115"/>
    </row>
    <row r="354" spans="1:10" hidden="1" outlineLevel="1" x14ac:dyDescent="0.25">
      <c r="A354" s="7">
        <v>45626</v>
      </c>
      <c r="B354" s="6">
        <v>0</v>
      </c>
      <c r="C354" s="6">
        <v>0</v>
      </c>
      <c r="D354" s="6">
        <v>0</v>
      </c>
      <c r="E354" s="6">
        <v>0</v>
      </c>
      <c r="F354" s="8">
        <v>0</v>
      </c>
      <c r="G354" s="116"/>
      <c r="H354" s="115"/>
      <c r="I354" s="115"/>
      <c r="J354" s="115"/>
    </row>
    <row r="355" spans="1:10" collapsed="1" x14ac:dyDescent="0.25">
      <c r="A355" s="7" t="s">
        <v>31</v>
      </c>
      <c r="B355" s="5">
        <v>0</v>
      </c>
      <c r="C355" s="5">
        <v>0</v>
      </c>
      <c r="D355" s="5">
        <v>0</v>
      </c>
      <c r="E355" s="5">
        <v>0</v>
      </c>
      <c r="F355" s="9">
        <v>0</v>
      </c>
      <c r="G355" s="4"/>
      <c r="H355" s="115"/>
      <c r="I355" s="115"/>
      <c r="J355" s="115"/>
    </row>
    <row r="356" spans="1:10" hidden="1" outlineLevel="1" x14ac:dyDescent="0.25">
      <c r="A356" s="7">
        <v>45627</v>
      </c>
      <c r="B356" s="6">
        <v>0</v>
      </c>
      <c r="C356" s="6">
        <v>0</v>
      </c>
      <c r="D356" s="6">
        <v>0</v>
      </c>
      <c r="E356" s="6">
        <v>0</v>
      </c>
      <c r="F356" s="8">
        <v>0</v>
      </c>
      <c r="G356" s="116"/>
      <c r="H356" s="115"/>
      <c r="I356" s="115"/>
      <c r="J356" s="115"/>
    </row>
    <row r="357" spans="1:10" hidden="1" outlineLevel="1" x14ac:dyDescent="0.25">
      <c r="A357" s="7">
        <v>45628</v>
      </c>
      <c r="B357" s="6">
        <v>0</v>
      </c>
      <c r="C357" s="6">
        <v>0</v>
      </c>
      <c r="D357" s="6">
        <v>0</v>
      </c>
      <c r="E357" s="6">
        <v>0</v>
      </c>
      <c r="F357" s="8">
        <v>0</v>
      </c>
      <c r="G357" s="116"/>
      <c r="H357" s="115"/>
      <c r="I357" s="115"/>
      <c r="J357" s="115"/>
    </row>
    <row r="358" spans="1:10" hidden="1" outlineLevel="1" x14ac:dyDescent="0.25">
      <c r="A358" s="7">
        <v>45629</v>
      </c>
      <c r="B358" s="6">
        <v>0</v>
      </c>
      <c r="C358" s="6">
        <v>0</v>
      </c>
      <c r="D358" s="6">
        <v>0</v>
      </c>
      <c r="E358" s="6">
        <v>0</v>
      </c>
      <c r="F358" s="8">
        <v>0</v>
      </c>
      <c r="G358" s="116"/>
      <c r="H358" s="115"/>
      <c r="I358" s="115"/>
      <c r="J358" s="115"/>
    </row>
    <row r="359" spans="1:10" hidden="1" outlineLevel="1" x14ac:dyDescent="0.25">
      <c r="A359" s="7">
        <v>45630</v>
      </c>
      <c r="B359" s="6">
        <v>0</v>
      </c>
      <c r="C359" s="6">
        <v>0</v>
      </c>
      <c r="D359" s="6">
        <v>0</v>
      </c>
      <c r="E359" s="6">
        <v>0</v>
      </c>
      <c r="F359" s="8">
        <v>0</v>
      </c>
      <c r="G359" s="116"/>
      <c r="H359" s="115"/>
      <c r="I359" s="115"/>
      <c r="J359" s="115"/>
    </row>
    <row r="360" spans="1:10" hidden="1" outlineLevel="1" x14ac:dyDescent="0.25">
      <c r="A360" s="7">
        <v>45631</v>
      </c>
      <c r="B360" s="6">
        <v>0</v>
      </c>
      <c r="C360" s="6">
        <v>0</v>
      </c>
      <c r="D360" s="6">
        <v>0</v>
      </c>
      <c r="E360" s="6">
        <v>0</v>
      </c>
      <c r="F360" s="8">
        <v>0</v>
      </c>
      <c r="G360" s="116"/>
      <c r="H360" s="115"/>
      <c r="I360" s="115"/>
      <c r="J360" s="115"/>
    </row>
    <row r="361" spans="1:10" hidden="1" outlineLevel="1" x14ac:dyDescent="0.25">
      <c r="A361" s="7">
        <v>45632</v>
      </c>
      <c r="B361" s="6">
        <v>0</v>
      </c>
      <c r="C361" s="6">
        <v>0</v>
      </c>
      <c r="D361" s="6">
        <v>0</v>
      </c>
      <c r="E361" s="6">
        <v>0</v>
      </c>
      <c r="F361" s="8">
        <v>0</v>
      </c>
      <c r="G361" s="116"/>
      <c r="H361" s="115"/>
      <c r="I361" s="115"/>
      <c r="J361" s="115"/>
    </row>
    <row r="362" spans="1:10" hidden="1" outlineLevel="1" x14ac:dyDescent="0.25">
      <c r="A362" s="7">
        <v>45633</v>
      </c>
      <c r="B362" s="6">
        <v>0</v>
      </c>
      <c r="C362" s="6">
        <v>0</v>
      </c>
      <c r="D362" s="6">
        <v>0</v>
      </c>
      <c r="E362" s="6">
        <v>0</v>
      </c>
      <c r="F362" s="8">
        <v>0</v>
      </c>
      <c r="G362" s="116"/>
      <c r="H362" s="115"/>
      <c r="I362" s="115"/>
      <c r="J362" s="115"/>
    </row>
    <row r="363" spans="1:10" hidden="1" outlineLevel="1" x14ac:dyDescent="0.25">
      <c r="A363" s="7">
        <v>45634</v>
      </c>
      <c r="B363" s="6">
        <v>0</v>
      </c>
      <c r="C363" s="6">
        <v>0</v>
      </c>
      <c r="D363" s="6">
        <v>0</v>
      </c>
      <c r="E363" s="6">
        <v>0</v>
      </c>
      <c r="F363" s="8">
        <v>0</v>
      </c>
      <c r="G363" s="116"/>
      <c r="H363" s="115"/>
      <c r="I363" s="115"/>
      <c r="J363" s="115"/>
    </row>
    <row r="364" spans="1:10" hidden="1" outlineLevel="1" x14ac:dyDescent="0.25">
      <c r="A364" s="7">
        <v>45635</v>
      </c>
      <c r="B364" s="6">
        <v>0</v>
      </c>
      <c r="C364" s="6">
        <v>0</v>
      </c>
      <c r="D364" s="6">
        <v>0</v>
      </c>
      <c r="E364" s="6">
        <v>0</v>
      </c>
      <c r="F364" s="8">
        <v>0</v>
      </c>
      <c r="G364" s="116"/>
      <c r="H364" s="115"/>
      <c r="I364" s="115"/>
      <c r="J364" s="115"/>
    </row>
    <row r="365" spans="1:10" hidden="1" outlineLevel="1" x14ac:dyDescent="0.25">
      <c r="A365" s="7">
        <v>45636</v>
      </c>
      <c r="B365" s="6">
        <v>0</v>
      </c>
      <c r="C365" s="6">
        <v>0</v>
      </c>
      <c r="D365" s="6">
        <v>0</v>
      </c>
      <c r="E365" s="6">
        <v>0</v>
      </c>
      <c r="F365" s="8">
        <v>0</v>
      </c>
      <c r="G365" s="116"/>
      <c r="H365" s="115"/>
      <c r="I365" s="115"/>
      <c r="J365" s="115"/>
    </row>
    <row r="366" spans="1:10" hidden="1" outlineLevel="1" x14ac:dyDescent="0.25">
      <c r="A366" s="7">
        <v>45637</v>
      </c>
      <c r="B366" s="6">
        <v>0</v>
      </c>
      <c r="C366" s="6">
        <v>0</v>
      </c>
      <c r="D366" s="6">
        <v>0</v>
      </c>
      <c r="E366" s="6">
        <v>0</v>
      </c>
      <c r="F366" s="8">
        <v>0</v>
      </c>
      <c r="G366" s="116"/>
      <c r="H366" s="115"/>
      <c r="I366" s="115"/>
      <c r="J366" s="115"/>
    </row>
    <row r="367" spans="1:10" hidden="1" outlineLevel="1" x14ac:dyDescent="0.25">
      <c r="A367" s="7">
        <v>45638</v>
      </c>
      <c r="B367" s="6">
        <v>0</v>
      </c>
      <c r="C367" s="6">
        <v>0</v>
      </c>
      <c r="D367" s="6">
        <v>0</v>
      </c>
      <c r="E367" s="6">
        <v>0</v>
      </c>
      <c r="F367" s="8">
        <v>0</v>
      </c>
      <c r="G367" s="116"/>
      <c r="H367" s="115"/>
      <c r="I367" s="115"/>
      <c r="J367" s="115"/>
    </row>
    <row r="368" spans="1:10" hidden="1" outlineLevel="1" x14ac:dyDescent="0.25">
      <c r="A368" s="7">
        <v>45639</v>
      </c>
      <c r="B368" s="6">
        <v>0</v>
      </c>
      <c r="C368" s="6">
        <v>0</v>
      </c>
      <c r="D368" s="6">
        <v>0</v>
      </c>
      <c r="E368" s="6">
        <v>0</v>
      </c>
      <c r="F368" s="8">
        <v>0</v>
      </c>
      <c r="G368" s="116"/>
      <c r="H368" s="115"/>
      <c r="I368" s="115"/>
      <c r="J368" s="115"/>
    </row>
    <row r="369" spans="1:10" hidden="1" outlineLevel="1" x14ac:dyDescent="0.25">
      <c r="A369" s="7">
        <v>45640</v>
      </c>
      <c r="B369" s="6">
        <v>0</v>
      </c>
      <c r="C369" s="6">
        <v>0</v>
      </c>
      <c r="D369" s="6">
        <v>0</v>
      </c>
      <c r="E369" s="6">
        <v>0</v>
      </c>
      <c r="F369" s="8">
        <v>0</v>
      </c>
      <c r="G369" s="116"/>
      <c r="H369" s="115"/>
      <c r="I369" s="115"/>
      <c r="J369" s="115"/>
    </row>
    <row r="370" spans="1:10" hidden="1" outlineLevel="1" x14ac:dyDescent="0.25">
      <c r="A370" s="7">
        <v>45641</v>
      </c>
      <c r="B370" s="6">
        <v>0</v>
      </c>
      <c r="C370" s="6">
        <v>0</v>
      </c>
      <c r="D370" s="6">
        <v>0</v>
      </c>
      <c r="E370" s="6">
        <v>0</v>
      </c>
      <c r="F370" s="8">
        <v>0</v>
      </c>
      <c r="G370" s="116"/>
      <c r="H370" s="115"/>
      <c r="I370" s="115"/>
      <c r="J370" s="115"/>
    </row>
    <row r="371" spans="1:10" hidden="1" outlineLevel="1" x14ac:dyDescent="0.25">
      <c r="A371" s="7">
        <v>45642</v>
      </c>
      <c r="B371" s="6">
        <v>0</v>
      </c>
      <c r="C371" s="6">
        <v>0</v>
      </c>
      <c r="D371" s="6">
        <v>0</v>
      </c>
      <c r="E371" s="6">
        <v>0</v>
      </c>
      <c r="F371" s="8">
        <v>0</v>
      </c>
      <c r="G371" s="116"/>
      <c r="H371" s="115"/>
      <c r="I371" s="115"/>
      <c r="J371" s="115"/>
    </row>
    <row r="372" spans="1:10" hidden="1" outlineLevel="1" x14ac:dyDescent="0.25">
      <c r="A372" s="7">
        <v>45643</v>
      </c>
      <c r="B372" s="6">
        <v>0</v>
      </c>
      <c r="C372" s="6">
        <v>0</v>
      </c>
      <c r="D372" s="6">
        <v>0</v>
      </c>
      <c r="E372" s="6">
        <v>0</v>
      </c>
      <c r="F372" s="8">
        <v>0</v>
      </c>
      <c r="G372" s="116"/>
      <c r="H372" s="115"/>
      <c r="I372" s="115"/>
      <c r="J372" s="115"/>
    </row>
    <row r="373" spans="1:10" hidden="1" outlineLevel="1" x14ac:dyDescent="0.25">
      <c r="A373" s="7">
        <v>45644</v>
      </c>
      <c r="B373" s="6">
        <v>0</v>
      </c>
      <c r="C373" s="6">
        <v>0</v>
      </c>
      <c r="D373" s="6">
        <v>0</v>
      </c>
      <c r="E373" s="6">
        <v>0</v>
      </c>
      <c r="F373" s="8">
        <v>0</v>
      </c>
      <c r="G373" s="116"/>
      <c r="H373" s="115"/>
      <c r="I373" s="115"/>
      <c r="J373" s="115"/>
    </row>
    <row r="374" spans="1:10" hidden="1" outlineLevel="1" x14ac:dyDescent="0.25">
      <c r="A374" s="7">
        <v>45645</v>
      </c>
      <c r="B374" s="6">
        <v>0</v>
      </c>
      <c r="C374" s="6">
        <v>0</v>
      </c>
      <c r="D374" s="6">
        <v>0</v>
      </c>
      <c r="E374" s="6">
        <v>0</v>
      </c>
      <c r="F374" s="8">
        <v>0</v>
      </c>
      <c r="G374" s="116"/>
      <c r="H374" s="115"/>
      <c r="I374" s="115"/>
      <c r="J374" s="115"/>
    </row>
    <row r="375" spans="1:10" hidden="1" outlineLevel="1" x14ac:dyDescent="0.25">
      <c r="A375" s="7">
        <v>45646</v>
      </c>
      <c r="B375" s="6">
        <v>0</v>
      </c>
      <c r="C375" s="6">
        <v>0</v>
      </c>
      <c r="D375" s="6">
        <v>0</v>
      </c>
      <c r="E375" s="6">
        <v>0</v>
      </c>
      <c r="F375" s="8">
        <v>0</v>
      </c>
      <c r="G375" s="116"/>
      <c r="H375" s="115"/>
      <c r="I375" s="115"/>
      <c r="J375" s="115"/>
    </row>
    <row r="376" spans="1:10" hidden="1" outlineLevel="1" x14ac:dyDescent="0.25">
      <c r="A376" s="7">
        <v>45647</v>
      </c>
      <c r="B376" s="6">
        <v>0</v>
      </c>
      <c r="C376" s="6">
        <v>0</v>
      </c>
      <c r="D376" s="6">
        <v>0</v>
      </c>
      <c r="E376" s="6">
        <v>0</v>
      </c>
      <c r="F376" s="8">
        <v>0</v>
      </c>
      <c r="G376" s="116"/>
      <c r="H376" s="115"/>
      <c r="I376" s="115"/>
      <c r="J376" s="115"/>
    </row>
    <row r="377" spans="1:10" hidden="1" outlineLevel="1" x14ac:dyDescent="0.25">
      <c r="A377" s="7">
        <v>45648</v>
      </c>
      <c r="B377" s="6">
        <v>0</v>
      </c>
      <c r="C377" s="6">
        <v>0</v>
      </c>
      <c r="D377" s="6">
        <v>0</v>
      </c>
      <c r="E377" s="6">
        <v>0</v>
      </c>
      <c r="F377" s="8">
        <v>0</v>
      </c>
      <c r="G377" s="116"/>
      <c r="H377" s="115"/>
      <c r="I377" s="115"/>
      <c r="J377" s="115"/>
    </row>
    <row r="378" spans="1:10" hidden="1" outlineLevel="1" x14ac:dyDescent="0.25">
      <c r="A378" s="7">
        <v>45649</v>
      </c>
      <c r="B378" s="6">
        <v>0</v>
      </c>
      <c r="C378" s="6">
        <v>0</v>
      </c>
      <c r="D378" s="6">
        <v>0</v>
      </c>
      <c r="E378" s="6">
        <v>0</v>
      </c>
      <c r="F378" s="8">
        <v>0</v>
      </c>
      <c r="G378" s="116"/>
      <c r="H378" s="115"/>
      <c r="I378" s="115"/>
      <c r="J378" s="115"/>
    </row>
    <row r="379" spans="1:10" hidden="1" outlineLevel="1" x14ac:dyDescent="0.25">
      <c r="A379" s="7">
        <v>45650</v>
      </c>
      <c r="B379" s="6">
        <v>0</v>
      </c>
      <c r="C379" s="6">
        <v>0</v>
      </c>
      <c r="D379" s="6">
        <v>0</v>
      </c>
      <c r="E379" s="6">
        <v>0</v>
      </c>
      <c r="F379" s="8">
        <v>0</v>
      </c>
      <c r="G379" s="116"/>
      <c r="H379" s="115"/>
      <c r="I379" s="115"/>
      <c r="J379" s="115"/>
    </row>
    <row r="380" spans="1:10" hidden="1" outlineLevel="1" x14ac:dyDescent="0.25">
      <c r="A380" s="7">
        <v>45651</v>
      </c>
      <c r="B380" s="6">
        <v>0</v>
      </c>
      <c r="C380" s="6">
        <v>0</v>
      </c>
      <c r="D380" s="6">
        <v>0</v>
      </c>
      <c r="E380" s="6">
        <v>0</v>
      </c>
      <c r="F380" s="8">
        <v>0</v>
      </c>
      <c r="G380" s="116"/>
      <c r="H380" s="115"/>
      <c r="I380" s="115"/>
      <c r="J380" s="115"/>
    </row>
    <row r="381" spans="1:10" hidden="1" outlineLevel="1" x14ac:dyDescent="0.25">
      <c r="A381" s="7">
        <v>45652</v>
      </c>
      <c r="B381" s="6">
        <v>0</v>
      </c>
      <c r="C381" s="6">
        <v>0</v>
      </c>
      <c r="D381" s="6">
        <v>0</v>
      </c>
      <c r="E381" s="6">
        <v>0</v>
      </c>
      <c r="F381" s="8">
        <v>0</v>
      </c>
      <c r="G381" s="116"/>
      <c r="H381" s="115"/>
      <c r="I381" s="115"/>
      <c r="J381" s="115"/>
    </row>
    <row r="382" spans="1:10" hidden="1" outlineLevel="1" x14ac:dyDescent="0.25">
      <c r="A382" s="7">
        <v>45653</v>
      </c>
      <c r="B382" s="6">
        <v>0</v>
      </c>
      <c r="C382" s="6">
        <v>0</v>
      </c>
      <c r="D382" s="6">
        <v>0</v>
      </c>
      <c r="E382" s="6">
        <v>0</v>
      </c>
      <c r="F382" s="8">
        <v>0</v>
      </c>
      <c r="G382" s="116"/>
      <c r="H382" s="115"/>
      <c r="I382" s="115"/>
      <c r="J382" s="115"/>
    </row>
    <row r="383" spans="1:10" hidden="1" outlineLevel="1" x14ac:dyDescent="0.25">
      <c r="A383" s="7">
        <v>45654</v>
      </c>
      <c r="B383" s="6">
        <v>0</v>
      </c>
      <c r="C383" s="6">
        <v>0</v>
      </c>
      <c r="D383" s="6">
        <v>0</v>
      </c>
      <c r="E383" s="6">
        <v>0</v>
      </c>
      <c r="F383" s="8">
        <v>0</v>
      </c>
      <c r="G383" s="116"/>
      <c r="H383" s="115"/>
      <c r="I383" s="115"/>
      <c r="J383" s="115"/>
    </row>
    <row r="384" spans="1:10" hidden="1" outlineLevel="1" x14ac:dyDescent="0.25">
      <c r="A384" s="7">
        <v>45655</v>
      </c>
      <c r="B384" s="6">
        <v>0</v>
      </c>
      <c r="C384" s="6">
        <v>0</v>
      </c>
      <c r="D384" s="6">
        <v>0</v>
      </c>
      <c r="E384" s="6">
        <v>0</v>
      </c>
      <c r="F384" s="8">
        <v>0</v>
      </c>
      <c r="G384" s="116"/>
      <c r="H384" s="115"/>
      <c r="I384" s="115"/>
      <c r="J384" s="115"/>
    </row>
    <row r="385" spans="1:10" hidden="1" outlineLevel="1" x14ac:dyDescent="0.25">
      <c r="A385" s="7">
        <v>45656</v>
      </c>
      <c r="B385" s="6">
        <v>0</v>
      </c>
      <c r="C385" s="6">
        <v>0</v>
      </c>
      <c r="D385" s="6">
        <v>0</v>
      </c>
      <c r="E385" s="6">
        <v>0</v>
      </c>
      <c r="F385" s="8">
        <v>0</v>
      </c>
      <c r="G385" s="116"/>
      <c r="H385" s="115"/>
      <c r="I385" s="115"/>
      <c r="J385" s="115"/>
    </row>
    <row r="386" spans="1:10" hidden="1" outlineLevel="1" x14ac:dyDescent="0.25">
      <c r="A386" s="7">
        <v>45657</v>
      </c>
      <c r="B386" s="6">
        <v>0</v>
      </c>
      <c r="C386" s="6">
        <v>0</v>
      </c>
      <c r="D386" s="6">
        <v>0</v>
      </c>
      <c r="E386" s="6">
        <v>0</v>
      </c>
      <c r="F386" s="8">
        <v>0</v>
      </c>
      <c r="G386" s="116"/>
      <c r="H386" s="115"/>
      <c r="I386" s="115"/>
      <c r="J386" s="115"/>
    </row>
    <row r="387" spans="1:10" ht="15.75" collapsed="1" thickBot="1" x14ac:dyDescent="0.3">
      <c r="A387" s="10" t="s">
        <v>32</v>
      </c>
      <c r="B387" s="11">
        <v>0</v>
      </c>
      <c r="C387" s="11">
        <v>0</v>
      </c>
      <c r="D387" s="11">
        <v>0</v>
      </c>
      <c r="E387" s="11">
        <v>0</v>
      </c>
      <c r="F387" s="12">
        <v>0</v>
      </c>
      <c r="G387" s="4"/>
      <c r="H387" s="115"/>
      <c r="I387" s="115"/>
      <c r="J387" s="115"/>
    </row>
    <row r="388" spans="1:10" x14ac:dyDescent="0.25">
      <c r="G388" s="115"/>
      <c r="H388" s="115"/>
      <c r="I388" s="115"/>
      <c r="J388" s="115"/>
    </row>
    <row r="389" spans="1:10" x14ac:dyDescent="0.25">
      <c r="G389" s="115"/>
      <c r="H389" s="115"/>
      <c r="I389" s="115"/>
      <c r="J389" s="115"/>
    </row>
    <row r="390" spans="1:10" x14ac:dyDescent="0.25">
      <c r="G390" s="115"/>
      <c r="H390" s="115"/>
      <c r="I390" s="115"/>
      <c r="J390" s="115"/>
    </row>
    <row r="391" spans="1:10" x14ac:dyDescent="0.25">
      <c r="G391" s="115"/>
      <c r="H391" s="115"/>
      <c r="I391" s="115"/>
      <c r="J391" s="115"/>
    </row>
    <row r="392" spans="1:10" x14ac:dyDescent="0.25">
      <c r="G392" s="115"/>
      <c r="H392" s="115"/>
      <c r="I392" s="115"/>
      <c r="J392" s="115"/>
    </row>
    <row r="393" spans="1:10" x14ac:dyDescent="0.25">
      <c r="G393" s="115"/>
      <c r="H393" s="115"/>
      <c r="I393" s="115"/>
      <c r="J393" s="115"/>
    </row>
    <row r="394" spans="1:10" x14ac:dyDescent="0.25">
      <c r="G394" s="115"/>
      <c r="H394" s="115"/>
      <c r="I394" s="115"/>
      <c r="J394" s="115"/>
    </row>
    <row r="395" spans="1:10" x14ac:dyDescent="0.25">
      <c r="G395" s="115"/>
      <c r="H395" s="115"/>
      <c r="I395" s="115"/>
      <c r="J395" s="115"/>
    </row>
    <row r="396" spans="1:10" x14ac:dyDescent="0.25">
      <c r="G396" s="115"/>
      <c r="H396" s="115"/>
      <c r="I396" s="115"/>
      <c r="J396" s="115"/>
    </row>
    <row r="397" spans="1:10" x14ac:dyDescent="0.25">
      <c r="G397" s="115"/>
      <c r="H397" s="115"/>
      <c r="I397" s="115"/>
      <c r="J397" s="115"/>
    </row>
    <row r="398" spans="1:10" x14ac:dyDescent="0.25">
      <c r="G398" s="115"/>
      <c r="H398" s="115"/>
      <c r="I398" s="115"/>
      <c r="J398" s="115"/>
    </row>
    <row r="399" spans="1:10" x14ac:dyDescent="0.25">
      <c r="G399" s="115"/>
      <c r="H399" s="115"/>
      <c r="I399" s="115"/>
      <c r="J399" s="115"/>
    </row>
    <row r="400" spans="1:10" x14ac:dyDescent="0.25">
      <c r="G400" s="115"/>
      <c r="H400" s="115"/>
      <c r="I400" s="115"/>
      <c r="J400" s="115"/>
    </row>
    <row r="401" spans="7:10" x14ac:dyDescent="0.25">
      <c r="G401" s="115"/>
      <c r="H401" s="115"/>
      <c r="I401" s="115"/>
      <c r="J401" s="115"/>
    </row>
    <row r="402" spans="7:10" x14ac:dyDescent="0.25">
      <c r="G402" s="115"/>
      <c r="H402" s="115"/>
      <c r="I402" s="115"/>
      <c r="J402" s="115"/>
    </row>
    <row r="403" spans="7:10" x14ac:dyDescent="0.25">
      <c r="G403" s="115"/>
      <c r="H403" s="115"/>
      <c r="I403" s="115"/>
      <c r="J403" s="115"/>
    </row>
    <row r="404" spans="7:10" x14ac:dyDescent="0.25">
      <c r="G404" s="115"/>
      <c r="H404" s="115"/>
      <c r="I404" s="115"/>
      <c r="J404" s="115"/>
    </row>
    <row r="405" spans="7:10" x14ac:dyDescent="0.25">
      <c r="G405" s="115"/>
      <c r="H405" s="115"/>
      <c r="I405" s="115"/>
      <c r="J405" s="115"/>
    </row>
    <row r="406" spans="7:10" x14ac:dyDescent="0.25">
      <c r="G406" s="115"/>
      <c r="H406" s="115"/>
      <c r="I406" s="115"/>
      <c r="J406" s="115"/>
    </row>
    <row r="407" spans="7:10" x14ac:dyDescent="0.25">
      <c r="G407" s="115"/>
      <c r="H407" s="115"/>
      <c r="I407" s="115"/>
      <c r="J407" s="115"/>
    </row>
  </sheetData>
  <mergeCells count="3">
    <mergeCell ref="C1:E1"/>
    <mergeCell ref="F1:H1"/>
    <mergeCell ref="I1:K1"/>
  </mergeCells>
  <conditionalFormatting sqref="B9:F9 I11:I19 J12:J22 G71 B104:G133 G103 B135:G165 G134 B167:G196 G166 B198:G228 G197 B230:G260 G229 B262:G291 G261 B293:G323 G292 B325:G354 G324 B356:G386 G355 G387 B41:G70 B72:G102 C11:F40 F10 H10:H40 G24">
    <cfRule type="cellIs" dxfId="157" priority="99" operator="equal">
      <formula>"МПС"</formula>
    </cfRule>
    <cfRule type="cellIs" dxfId="156" priority="100" operator="equal">
      <formula>"МСС"</formula>
    </cfRule>
    <cfRule type="cellIs" dxfId="155" priority="101" operator="equal">
      <formula>"ОР"</formula>
    </cfRule>
  </conditionalFormatting>
  <conditionalFormatting sqref="H9:J10 J11">
    <cfRule type="cellIs" dxfId="154" priority="93" operator="equal">
      <formula>"МПС"</formula>
    </cfRule>
    <cfRule type="cellIs" dxfId="153" priority="94" operator="equal">
      <formula>"МСС"</formula>
    </cfRule>
    <cfRule type="cellIs" dxfId="152" priority="95" operator="equal">
      <formula>"ОР"</formula>
    </cfRule>
  </conditionalFormatting>
  <conditionalFormatting sqref="A9">
    <cfRule type="cellIs" dxfId="151" priority="90" operator="equal">
      <formula>"МПС"</formula>
    </cfRule>
    <cfRule type="cellIs" dxfId="150" priority="91" operator="equal">
      <formula>"МСС"</formula>
    </cfRule>
    <cfRule type="cellIs" dxfId="149" priority="92" operator="equal">
      <formula>"ОР"</formula>
    </cfRule>
  </conditionalFormatting>
  <conditionalFormatting sqref="C71:F71">
    <cfRule type="cellIs" dxfId="148" priority="54" operator="equal">
      <formula>"МПС"</formula>
    </cfRule>
    <cfRule type="cellIs" dxfId="147" priority="55" operator="equal">
      <formula>"МСС"</formula>
    </cfRule>
    <cfRule type="cellIs" dxfId="146" priority="56" operator="equal">
      <formula>"ОР"</formula>
    </cfRule>
  </conditionalFormatting>
  <conditionalFormatting sqref="B103:F103">
    <cfRule type="cellIs" dxfId="145" priority="51" operator="equal">
      <formula>"МПС"</formula>
    </cfRule>
    <cfRule type="cellIs" dxfId="144" priority="52" operator="equal">
      <formula>"МСС"</formula>
    </cfRule>
    <cfRule type="cellIs" dxfId="143" priority="53" operator="equal">
      <formula>"ОР"</formula>
    </cfRule>
  </conditionalFormatting>
  <conditionalFormatting sqref="B134:F134">
    <cfRule type="cellIs" dxfId="142" priority="48" operator="equal">
      <formula>"МПС"</formula>
    </cfRule>
    <cfRule type="cellIs" dxfId="141" priority="49" operator="equal">
      <formula>"МСС"</formula>
    </cfRule>
    <cfRule type="cellIs" dxfId="140" priority="50" operator="equal">
      <formula>"ОР"</formula>
    </cfRule>
  </conditionalFormatting>
  <conditionalFormatting sqref="B166:F166">
    <cfRule type="cellIs" dxfId="139" priority="45" operator="equal">
      <formula>"МПС"</formula>
    </cfRule>
    <cfRule type="cellIs" dxfId="138" priority="46" operator="equal">
      <formula>"МСС"</formula>
    </cfRule>
    <cfRule type="cellIs" dxfId="137" priority="47" operator="equal">
      <formula>"ОР"</formula>
    </cfRule>
  </conditionalFormatting>
  <conditionalFormatting sqref="B197:F197">
    <cfRule type="cellIs" dxfId="136" priority="42" operator="equal">
      <formula>"МПС"</formula>
    </cfRule>
    <cfRule type="cellIs" dxfId="135" priority="43" operator="equal">
      <formula>"МСС"</formula>
    </cfRule>
    <cfRule type="cellIs" dxfId="134" priority="44" operator="equal">
      <formula>"ОР"</formula>
    </cfRule>
  </conditionalFormatting>
  <conditionalFormatting sqref="B229:F229">
    <cfRule type="cellIs" dxfId="133" priority="39" operator="equal">
      <formula>"МПС"</formula>
    </cfRule>
    <cfRule type="cellIs" dxfId="132" priority="40" operator="equal">
      <formula>"МСС"</formula>
    </cfRule>
    <cfRule type="cellIs" dxfId="131" priority="41" operator="equal">
      <formula>"ОР"</formula>
    </cfRule>
  </conditionalFormatting>
  <conditionalFormatting sqref="B261:F261">
    <cfRule type="cellIs" dxfId="130" priority="36" operator="equal">
      <formula>"МПС"</formula>
    </cfRule>
    <cfRule type="cellIs" dxfId="129" priority="37" operator="equal">
      <formula>"МСС"</formula>
    </cfRule>
    <cfRule type="cellIs" dxfId="128" priority="38" operator="equal">
      <formula>"ОР"</formula>
    </cfRule>
  </conditionalFormatting>
  <conditionalFormatting sqref="B292:F292">
    <cfRule type="cellIs" dxfId="127" priority="33" operator="equal">
      <formula>"МПС"</formula>
    </cfRule>
    <cfRule type="cellIs" dxfId="126" priority="34" operator="equal">
      <formula>"МСС"</formula>
    </cfRule>
    <cfRule type="cellIs" dxfId="125" priority="35" operator="equal">
      <formula>"ОР"</formula>
    </cfRule>
  </conditionalFormatting>
  <conditionalFormatting sqref="B324:F324">
    <cfRule type="cellIs" dxfId="124" priority="30" operator="equal">
      <formula>"МПС"</formula>
    </cfRule>
    <cfRule type="cellIs" dxfId="123" priority="31" operator="equal">
      <formula>"МСС"</formula>
    </cfRule>
    <cfRule type="cellIs" dxfId="122" priority="32" operator="equal">
      <formula>"ОР"</formula>
    </cfRule>
  </conditionalFormatting>
  <conditionalFormatting sqref="B355:F355">
    <cfRule type="cellIs" dxfId="121" priority="27" operator="equal">
      <formula>"МПС"</formula>
    </cfRule>
    <cfRule type="cellIs" dxfId="120" priority="28" operator="equal">
      <formula>"МСС"</formula>
    </cfRule>
    <cfRule type="cellIs" dxfId="119" priority="29" operator="equal">
      <formula>"ОР"</formula>
    </cfRule>
  </conditionalFormatting>
  <conditionalFormatting sqref="B387:F387">
    <cfRule type="cellIs" dxfId="118" priority="24" operator="equal">
      <formula>"МПС"</formula>
    </cfRule>
    <cfRule type="cellIs" dxfId="117" priority="25" operator="equal">
      <formula>"МСС"</formula>
    </cfRule>
    <cfRule type="cellIs" dxfId="116" priority="26" operator="equal">
      <formula>"ОР"</formula>
    </cfRule>
  </conditionalFormatting>
  <conditionalFormatting sqref="H114">
    <cfRule type="cellIs" dxfId="115" priority="7" operator="equal">
      <formula>"МПС"</formula>
    </cfRule>
    <cfRule type="cellIs" dxfId="114" priority="8" operator="equal">
      <formula>"МСС"</formula>
    </cfRule>
    <cfRule type="cellIs" dxfId="113" priority="9" operator="equal">
      <formula>"ОР"</formula>
    </cfRule>
  </conditionalFormatting>
  <conditionalFormatting sqref="B71">
    <cfRule type="cellIs" dxfId="112" priority="1" operator="equal">
      <formula>"МПС"</formula>
    </cfRule>
    <cfRule type="cellIs" dxfId="111" priority="2" operator="equal">
      <formula>"МСС"</formula>
    </cfRule>
    <cfRule type="cellIs" dxfId="110" priority="3" operator="equal">
      <formula>"ОР"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CJ132"/>
  <sheetViews>
    <sheetView showGridLines="0" topLeftCell="JM30" zoomScale="85" zoomScaleNormal="85" workbookViewId="0">
      <selection activeCell="JS50" sqref="JS50"/>
    </sheetView>
  </sheetViews>
  <sheetFormatPr defaultColWidth="9.140625" defaultRowHeight="15" outlineLevelCol="1" x14ac:dyDescent="0.25"/>
  <cols>
    <col min="1" max="1" width="3.140625" style="79" bestFit="1" customWidth="1"/>
    <col min="2" max="2" width="45.7109375" style="79" customWidth="1"/>
    <col min="3" max="3" width="12.140625" style="79" bestFit="1" customWidth="1"/>
    <col min="4" max="4" width="59.42578125" style="79" customWidth="1"/>
    <col min="5" max="5" width="16.5703125" style="79" hidden="1" customWidth="1" outlineLevel="1"/>
    <col min="6" max="6" width="17.85546875" style="79" hidden="1" customWidth="1" outlineLevel="1"/>
    <col min="7" max="7" width="16.5703125" style="79" hidden="1" customWidth="1" outlineLevel="1"/>
    <col min="8" max="8" width="17.85546875" style="79" hidden="1" customWidth="1" outlineLevel="1"/>
    <col min="9" max="9" width="16.5703125" style="79" hidden="1" customWidth="1" outlineLevel="1"/>
    <col min="10" max="10" width="17.85546875" style="79" hidden="1" customWidth="1" outlineLevel="1"/>
    <col min="11" max="11" width="16.5703125" style="79" hidden="1" customWidth="1" outlineLevel="1"/>
    <col min="12" max="12" width="17.85546875" style="79" hidden="1" customWidth="1" outlineLevel="1"/>
    <col min="13" max="13" width="16.5703125" style="79" hidden="1" customWidth="1" outlineLevel="1"/>
    <col min="14" max="14" width="17.85546875" style="79" hidden="1" customWidth="1" outlineLevel="1"/>
    <col min="15" max="15" width="16.5703125" style="79" hidden="1" customWidth="1" outlineLevel="1"/>
    <col min="16" max="16" width="17.85546875" style="79" hidden="1" customWidth="1" outlineLevel="1"/>
    <col min="17" max="17" width="16.5703125" style="79" hidden="1" customWidth="1" outlineLevel="1"/>
    <col min="18" max="18" width="17.85546875" style="79" hidden="1" customWidth="1" outlineLevel="1"/>
    <col min="19" max="19" width="16.5703125" style="79" hidden="1" customWidth="1" outlineLevel="1"/>
    <col min="20" max="20" width="17.85546875" style="79" hidden="1" customWidth="1" outlineLevel="1"/>
    <col min="21" max="21" width="16.5703125" style="79" hidden="1" customWidth="1" outlineLevel="1"/>
    <col min="22" max="22" width="17.85546875" style="79" hidden="1" customWidth="1" outlineLevel="1"/>
    <col min="23" max="23" width="16.5703125" style="79" hidden="1" customWidth="1" outlineLevel="1"/>
    <col min="24" max="24" width="17.85546875" style="79" hidden="1" customWidth="1" outlineLevel="1"/>
    <col min="25" max="25" width="16.5703125" style="79" hidden="1" customWidth="1" outlineLevel="1"/>
    <col min="26" max="26" width="17.85546875" style="79" hidden="1" customWidth="1" outlineLevel="1"/>
    <col min="27" max="27" width="16.5703125" style="79" hidden="1" customWidth="1" outlineLevel="1"/>
    <col min="28" max="28" width="17.85546875" style="79" hidden="1" customWidth="1" outlineLevel="1"/>
    <col min="29" max="29" width="16.5703125" style="79" hidden="1" customWidth="1" outlineLevel="1"/>
    <col min="30" max="30" width="17.85546875" style="79" hidden="1" customWidth="1" outlineLevel="1"/>
    <col min="31" max="31" width="16.5703125" style="79" hidden="1" customWidth="1" outlineLevel="1"/>
    <col min="32" max="32" width="17.85546875" style="79" hidden="1" customWidth="1" outlineLevel="1"/>
    <col min="33" max="33" width="16.5703125" style="79" hidden="1" customWidth="1" outlineLevel="1"/>
    <col min="34" max="34" width="17.85546875" style="79" hidden="1" customWidth="1" outlineLevel="1"/>
    <col min="35" max="35" width="16.5703125" style="79" hidden="1" customWidth="1" outlineLevel="1"/>
    <col min="36" max="36" width="17.85546875" style="79" hidden="1" customWidth="1" outlineLevel="1"/>
    <col min="37" max="37" width="16.5703125" style="79" hidden="1" customWidth="1" outlineLevel="1"/>
    <col min="38" max="38" width="17.85546875" style="79" hidden="1" customWidth="1" outlineLevel="1"/>
    <col min="39" max="39" width="16.5703125" style="79" hidden="1" customWidth="1" outlineLevel="1"/>
    <col min="40" max="40" width="17.85546875" style="79" hidden="1" customWidth="1" outlineLevel="1"/>
    <col min="41" max="41" width="16.5703125" style="79" hidden="1" customWidth="1" outlineLevel="1"/>
    <col min="42" max="42" width="17.85546875" style="79" hidden="1" customWidth="1" outlineLevel="1"/>
    <col min="43" max="43" width="16.5703125" style="79" hidden="1" customWidth="1" outlineLevel="1"/>
    <col min="44" max="44" width="17.85546875" style="79" hidden="1" customWidth="1" outlineLevel="1"/>
    <col min="45" max="45" width="16.5703125" style="79" hidden="1" customWidth="1" outlineLevel="1"/>
    <col min="46" max="46" width="17.85546875" style="79" hidden="1" customWidth="1" outlineLevel="1"/>
    <col min="47" max="47" width="16.5703125" style="79" hidden="1" customWidth="1" outlineLevel="1"/>
    <col min="48" max="48" width="17.85546875" style="79" hidden="1" customWidth="1" outlineLevel="1"/>
    <col min="49" max="49" width="16.5703125" style="79" hidden="1" customWidth="1" outlineLevel="1"/>
    <col min="50" max="50" width="17.85546875" style="79" hidden="1" customWidth="1" outlineLevel="1"/>
    <col min="51" max="51" width="16.5703125" style="79" hidden="1" customWidth="1" outlineLevel="1"/>
    <col min="52" max="52" width="17.85546875" style="79" hidden="1" customWidth="1" outlineLevel="1"/>
    <col min="53" max="53" width="16.5703125" style="79" hidden="1" customWidth="1" outlineLevel="1"/>
    <col min="54" max="54" width="17.85546875" style="79" hidden="1" customWidth="1" outlineLevel="1"/>
    <col min="55" max="55" width="16.5703125" style="79" hidden="1" customWidth="1" outlineLevel="1"/>
    <col min="56" max="56" width="17.85546875" style="79" hidden="1" customWidth="1" outlineLevel="1"/>
    <col min="57" max="57" width="16.5703125" style="79" hidden="1" customWidth="1" outlineLevel="1"/>
    <col min="58" max="58" width="17.85546875" style="79" hidden="1" customWidth="1" outlineLevel="1"/>
    <col min="59" max="59" width="16.5703125" style="79" hidden="1" customWidth="1" outlineLevel="1"/>
    <col min="60" max="60" width="17.85546875" style="79" hidden="1" customWidth="1" outlineLevel="1"/>
    <col min="61" max="61" width="16.5703125" style="79" hidden="1" customWidth="1" outlineLevel="1"/>
    <col min="62" max="62" width="17.85546875" style="79" hidden="1" customWidth="1" outlineLevel="1"/>
    <col min="63" max="63" width="16.5703125" style="79" hidden="1" customWidth="1" outlineLevel="1"/>
    <col min="64" max="64" width="17.85546875" style="79" hidden="1" customWidth="1" outlineLevel="1"/>
    <col min="65" max="65" width="16.5703125" style="79" hidden="1" customWidth="1" outlineLevel="1"/>
    <col min="66" max="66" width="23.28515625" style="79" hidden="1" customWidth="1" outlineLevel="1"/>
    <col min="67" max="67" width="17.85546875" style="46" customWidth="1" collapsed="1"/>
    <col min="68" max="68" width="17.85546875" style="46" customWidth="1"/>
    <col min="69" max="69" width="16.5703125" style="46" hidden="1" customWidth="1" outlineLevel="1"/>
    <col min="70" max="70" width="17.85546875" style="46" hidden="1" customWidth="1" outlineLevel="1"/>
    <col min="71" max="71" width="16.5703125" style="46" hidden="1" customWidth="1" outlineLevel="1"/>
    <col min="72" max="72" width="17.85546875" style="46" hidden="1" customWidth="1" outlineLevel="1"/>
    <col min="73" max="73" width="16.5703125" style="46" hidden="1" customWidth="1" outlineLevel="1"/>
    <col min="74" max="74" width="17.85546875" style="46" hidden="1" customWidth="1" outlineLevel="1"/>
    <col min="75" max="75" width="16.5703125" style="46" hidden="1" customWidth="1" outlineLevel="1"/>
    <col min="76" max="76" width="17.85546875" style="46" hidden="1" customWidth="1" outlineLevel="1"/>
    <col min="77" max="77" width="16.5703125" style="46" hidden="1" customWidth="1" outlineLevel="1"/>
    <col min="78" max="78" width="17.85546875" style="46" hidden="1" customWidth="1" outlineLevel="1"/>
    <col min="79" max="79" width="16.5703125" style="46" hidden="1" customWidth="1" outlineLevel="1"/>
    <col min="80" max="80" width="17.85546875" style="46" hidden="1" customWidth="1" outlineLevel="1"/>
    <col min="81" max="81" width="16.5703125" style="46" hidden="1" customWidth="1" outlineLevel="1"/>
    <col min="82" max="82" width="17.85546875" style="46" hidden="1" customWidth="1" outlineLevel="1"/>
    <col min="83" max="83" width="16.5703125" style="46" hidden="1" customWidth="1" outlineLevel="1"/>
    <col min="84" max="84" width="17.85546875" style="46" hidden="1" customWidth="1" outlineLevel="1"/>
    <col min="85" max="85" width="16.5703125" style="46" hidden="1" customWidth="1" outlineLevel="1"/>
    <col min="86" max="86" width="17.85546875" style="46" hidden="1" customWidth="1" outlineLevel="1"/>
    <col min="87" max="87" width="16.5703125" style="46" hidden="1" customWidth="1" outlineLevel="1"/>
    <col min="88" max="88" width="17.85546875" style="46" hidden="1" customWidth="1" outlineLevel="1"/>
    <col min="89" max="89" width="16.5703125" style="46" hidden="1" customWidth="1" outlineLevel="1"/>
    <col min="90" max="90" width="17.85546875" style="46" hidden="1" customWidth="1" outlineLevel="1"/>
    <col min="91" max="91" width="16.5703125" style="46" hidden="1" customWidth="1" outlineLevel="1"/>
    <col min="92" max="92" width="17.85546875" style="46" hidden="1" customWidth="1" outlineLevel="1"/>
    <col min="93" max="93" width="16.5703125" style="46" hidden="1" customWidth="1" outlineLevel="1"/>
    <col min="94" max="94" width="17.85546875" style="46" hidden="1" customWidth="1" outlineLevel="1"/>
    <col min="95" max="95" width="16.5703125" style="46" hidden="1" customWidth="1" outlineLevel="1"/>
    <col min="96" max="96" width="17.85546875" style="46" hidden="1" customWidth="1" outlineLevel="1"/>
    <col min="97" max="97" width="16.5703125" style="46" hidden="1" customWidth="1" outlineLevel="1"/>
    <col min="98" max="98" width="17.85546875" style="46" hidden="1" customWidth="1" outlineLevel="1"/>
    <col min="99" max="99" width="16.5703125" style="46" hidden="1" customWidth="1" outlineLevel="1"/>
    <col min="100" max="100" width="17.85546875" style="46" hidden="1" customWidth="1" outlineLevel="1"/>
    <col min="101" max="101" width="16.5703125" style="46" hidden="1" customWidth="1" outlineLevel="1"/>
    <col min="102" max="102" width="17.85546875" style="46" hidden="1" customWidth="1" outlineLevel="1"/>
    <col min="103" max="103" width="16.5703125" style="46" hidden="1" customWidth="1" outlineLevel="1"/>
    <col min="104" max="104" width="17.85546875" style="46" hidden="1" customWidth="1" outlineLevel="1"/>
    <col min="105" max="105" width="16.5703125" style="46" hidden="1" customWidth="1" outlineLevel="1"/>
    <col min="106" max="106" width="17.85546875" style="46" hidden="1" customWidth="1" outlineLevel="1"/>
    <col min="107" max="107" width="16.5703125" style="46" hidden="1" customWidth="1" outlineLevel="1"/>
    <col min="108" max="108" width="17.85546875" style="46" hidden="1" customWidth="1" outlineLevel="1"/>
    <col min="109" max="109" width="16.5703125" style="46" hidden="1" customWidth="1" outlineLevel="1"/>
    <col min="110" max="110" width="17.85546875" style="46" hidden="1" customWidth="1" outlineLevel="1"/>
    <col min="111" max="111" width="16.5703125" style="46" hidden="1" customWidth="1" outlineLevel="1"/>
    <col min="112" max="112" width="17.85546875" style="46" hidden="1" customWidth="1" outlineLevel="1"/>
    <col min="113" max="113" width="16.5703125" style="46" hidden="1" customWidth="1" outlineLevel="1"/>
    <col min="114" max="114" width="17.85546875" style="46" hidden="1" customWidth="1" outlineLevel="1"/>
    <col min="115" max="115" width="16.5703125" style="46" hidden="1" customWidth="1" outlineLevel="1"/>
    <col min="116" max="116" width="17.85546875" style="46" hidden="1" customWidth="1" outlineLevel="1"/>
    <col min="117" max="117" width="16.5703125" style="46" hidden="1" customWidth="1" outlineLevel="1"/>
    <col min="118" max="118" width="17.85546875" style="46" hidden="1" customWidth="1" outlineLevel="1"/>
    <col min="119" max="119" width="16.5703125" style="46" hidden="1" customWidth="1" outlineLevel="1"/>
    <col min="120" max="120" width="17.85546875" style="46" hidden="1" customWidth="1" outlineLevel="1"/>
    <col min="121" max="121" width="16.5703125" style="46" hidden="1" customWidth="1" outlineLevel="1"/>
    <col min="122" max="122" width="17.85546875" style="46" hidden="1" customWidth="1" outlineLevel="1"/>
    <col min="123" max="123" width="16.5703125" style="46" hidden="1" customWidth="1" outlineLevel="1"/>
    <col min="124" max="124" width="17.85546875" style="46" hidden="1" customWidth="1" outlineLevel="1"/>
    <col min="125" max="125" width="16.5703125" style="46" hidden="1" customWidth="1" outlineLevel="1"/>
    <col min="126" max="126" width="17.85546875" style="46" hidden="1" customWidth="1" outlineLevel="1"/>
    <col min="127" max="127" width="17.85546875" style="46" customWidth="1" collapsed="1"/>
    <col min="128" max="128" width="17.85546875" style="46" customWidth="1"/>
    <col min="129" max="129" width="16.5703125" style="46" hidden="1" customWidth="1" outlineLevel="1"/>
    <col min="130" max="130" width="17.85546875" style="46" hidden="1" customWidth="1" outlineLevel="1"/>
    <col min="131" max="131" width="16.5703125" style="46" hidden="1" customWidth="1" outlineLevel="1"/>
    <col min="132" max="132" width="17.85546875" style="46" hidden="1" customWidth="1" outlineLevel="1"/>
    <col min="133" max="133" width="16.5703125" style="46" hidden="1" customWidth="1" outlineLevel="1"/>
    <col min="134" max="134" width="17.85546875" style="46" hidden="1" customWidth="1" outlineLevel="1"/>
    <col min="135" max="135" width="16.5703125" style="46" hidden="1" customWidth="1" outlineLevel="1"/>
    <col min="136" max="136" width="17.85546875" style="46" hidden="1" customWidth="1" outlineLevel="1"/>
    <col min="137" max="137" width="16.5703125" style="46" hidden="1" customWidth="1" outlineLevel="1"/>
    <col min="138" max="138" width="17.85546875" style="46" hidden="1" customWidth="1" outlineLevel="1"/>
    <col min="139" max="139" width="16.5703125" style="46" hidden="1" customWidth="1" outlineLevel="1"/>
    <col min="140" max="140" width="17.85546875" style="46" hidden="1" customWidth="1" outlineLevel="1"/>
    <col min="141" max="141" width="16.5703125" style="46" hidden="1" customWidth="1" outlineLevel="1"/>
    <col min="142" max="142" width="17.85546875" style="46" hidden="1" customWidth="1" outlineLevel="1"/>
    <col min="143" max="143" width="16.5703125" style="46" hidden="1" customWidth="1" outlineLevel="1"/>
    <col min="144" max="144" width="17.85546875" style="46" hidden="1" customWidth="1" outlineLevel="1"/>
    <col min="145" max="145" width="16.5703125" style="46" hidden="1" customWidth="1" outlineLevel="1"/>
    <col min="146" max="146" width="17.85546875" style="46" hidden="1" customWidth="1" outlineLevel="1"/>
    <col min="147" max="147" width="16.5703125" style="46" hidden="1" customWidth="1" outlineLevel="1"/>
    <col min="148" max="148" width="17.85546875" style="46" hidden="1" customWidth="1" outlineLevel="1"/>
    <col min="149" max="149" width="16.5703125" style="46" hidden="1" customWidth="1" outlineLevel="1"/>
    <col min="150" max="150" width="17.85546875" style="46" hidden="1" customWidth="1" outlineLevel="1"/>
    <col min="151" max="151" width="16.5703125" style="46" hidden="1" customWidth="1" outlineLevel="1"/>
    <col min="152" max="152" width="17.85546875" style="46" hidden="1" customWidth="1" outlineLevel="1"/>
    <col min="153" max="153" width="16.5703125" style="46" hidden="1" customWidth="1" outlineLevel="1"/>
    <col min="154" max="154" width="17.85546875" style="46" hidden="1" customWidth="1" outlineLevel="1"/>
    <col min="155" max="155" width="16.5703125" style="46" hidden="1" customWidth="1" outlineLevel="1"/>
    <col min="156" max="156" width="17.85546875" style="46" hidden="1" customWidth="1" outlineLevel="1"/>
    <col min="157" max="157" width="16.5703125" style="46" hidden="1" customWidth="1" outlineLevel="1"/>
    <col min="158" max="158" width="17.85546875" style="46" hidden="1" customWidth="1" outlineLevel="1"/>
    <col min="159" max="159" width="16.5703125" style="46" hidden="1" customWidth="1" outlineLevel="1"/>
    <col min="160" max="160" width="17.85546875" style="46" hidden="1" customWidth="1" outlineLevel="1"/>
    <col min="161" max="161" width="16.5703125" style="46" hidden="1" customWidth="1" outlineLevel="1"/>
    <col min="162" max="162" width="17.85546875" style="46" hidden="1" customWidth="1" outlineLevel="1"/>
    <col min="163" max="163" width="16.5703125" style="46" hidden="1" customWidth="1" outlineLevel="1"/>
    <col min="164" max="164" width="17.85546875" style="46" hidden="1" customWidth="1" outlineLevel="1"/>
    <col min="165" max="165" width="16.5703125" style="46" hidden="1" customWidth="1" outlineLevel="1"/>
    <col min="166" max="166" width="17.85546875" style="46" hidden="1" customWidth="1" outlineLevel="1"/>
    <col min="167" max="167" width="16.5703125" style="46" hidden="1" customWidth="1" outlineLevel="1"/>
    <col min="168" max="168" width="17.85546875" style="46" hidden="1" customWidth="1" outlineLevel="1"/>
    <col min="169" max="169" width="16.5703125" style="46" hidden="1" customWidth="1" outlineLevel="1"/>
    <col min="170" max="170" width="17.85546875" style="46" hidden="1" customWidth="1" outlineLevel="1"/>
    <col min="171" max="171" width="16.5703125" style="46" hidden="1" customWidth="1" outlineLevel="1"/>
    <col min="172" max="172" width="17.85546875" style="46" hidden="1" customWidth="1" outlineLevel="1"/>
    <col min="173" max="173" width="16.5703125" style="46" hidden="1" customWidth="1" outlineLevel="1"/>
    <col min="174" max="174" width="17.85546875" style="46" hidden="1" customWidth="1" outlineLevel="1"/>
    <col min="175" max="175" width="16.5703125" style="46" hidden="1" customWidth="1" outlineLevel="1"/>
    <col min="176" max="176" width="17.85546875" style="46" hidden="1" customWidth="1" outlineLevel="1"/>
    <col min="177" max="177" width="16.5703125" style="46" hidden="1" customWidth="1" outlineLevel="1"/>
    <col min="178" max="178" width="17.85546875" style="46" hidden="1" customWidth="1" outlineLevel="1"/>
    <col min="179" max="179" width="16.5703125" style="46" hidden="1" customWidth="1" outlineLevel="1"/>
    <col min="180" max="180" width="17.85546875" style="46" hidden="1" customWidth="1" outlineLevel="1"/>
    <col min="181" max="181" width="16.5703125" style="46" hidden="1" customWidth="1" outlineLevel="1"/>
    <col min="182" max="182" width="17.85546875" style="46" hidden="1" customWidth="1" outlineLevel="1"/>
    <col min="183" max="183" width="16.5703125" style="46" hidden="1" customWidth="1" outlineLevel="1"/>
    <col min="184" max="184" width="17.85546875" style="46" hidden="1" customWidth="1" outlineLevel="1"/>
    <col min="185" max="185" width="16.5703125" style="46" hidden="1" customWidth="1" outlineLevel="1"/>
    <col min="186" max="186" width="17.85546875" style="46" hidden="1" customWidth="1" outlineLevel="1"/>
    <col min="187" max="187" width="16.5703125" style="46" hidden="1" customWidth="1" outlineLevel="1"/>
    <col min="188" max="188" width="17.85546875" style="46" hidden="1" customWidth="1" outlineLevel="1"/>
    <col min="189" max="189" width="16.5703125" style="46" hidden="1" customWidth="1" outlineLevel="1"/>
    <col min="190" max="190" width="17.85546875" style="46" hidden="1" customWidth="1" outlineLevel="1"/>
    <col min="191" max="191" width="17.85546875" style="46" customWidth="1" collapsed="1"/>
    <col min="192" max="192" width="17.85546875" style="46" customWidth="1"/>
    <col min="193" max="193" width="16.5703125" style="46" hidden="1" customWidth="1" outlineLevel="1"/>
    <col min="194" max="194" width="17.85546875" style="46" hidden="1" customWidth="1" outlineLevel="1"/>
    <col min="195" max="195" width="16.5703125" style="46" hidden="1" customWidth="1" outlineLevel="1"/>
    <col min="196" max="196" width="17.85546875" style="46" hidden="1" customWidth="1" outlineLevel="1"/>
    <col min="197" max="197" width="16.5703125" style="46" hidden="1" customWidth="1" outlineLevel="1"/>
    <col min="198" max="198" width="17.85546875" style="46" hidden="1" customWidth="1" outlineLevel="1"/>
    <col min="199" max="199" width="16.5703125" style="46" hidden="1" customWidth="1" outlineLevel="1"/>
    <col min="200" max="200" width="17.85546875" style="46" hidden="1" customWidth="1" outlineLevel="1"/>
    <col min="201" max="201" width="16.5703125" style="46" hidden="1" customWidth="1" outlineLevel="1"/>
    <col min="202" max="202" width="17.85546875" style="46" hidden="1" customWidth="1" outlineLevel="1"/>
    <col min="203" max="203" width="16.5703125" style="46" hidden="1" customWidth="1" outlineLevel="1"/>
    <col min="204" max="204" width="17.85546875" style="46" hidden="1" customWidth="1" outlineLevel="1"/>
    <col min="205" max="205" width="16.5703125" style="46" hidden="1" customWidth="1" outlineLevel="1"/>
    <col min="206" max="206" width="17.85546875" style="46" hidden="1" customWidth="1" outlineLevel="1"/>
    <col min="207" max="207" width="16.5703125" style="46" hidden="1" customWidth="1" outlineLevel="1"/>
    <col min="208" max="208" width="17.85546875" style="46" hidden="1" customWidth="1" outlineLevel="1"/>
    <col min="209" max="209" width="16.5703125" style="46" hidden="1" customWidth="1" outlineLevel="1"/>
    <col min="210" max="210" width="17.85546875" style="46" hidden="1" customWidth="1" outlineLevel="1"/>
    <col min="211" max="211" width="16.5703125" style="46" hidden="1" customWidth="1" outlineLevel="1"/>
    <col min="212" max="212" width="17.85546875" style="46" hidden="1" customWidth="1" outlineLevel="1"/>
    <col min="213" max="213" width="16.5703125" style="46" hidden="1" customWidth="1" outlineLevel="1"/>
    <col min="214" max="214" width="17.85546875" style="46" hidden="1" customWidth="1" outlineLevel="1"/>
    <col min="215" max="215" width="16.5703125" style="46" hidden="1" customWidth="1" outlineLevel="1"/>
    <col min="216" max="216" width="17.85546875" style="46" hidden="1" customWidth="1" outlineLevel="1"/>
    <col min="217" max="217" width="16.5703125" style="46" hidden="1" customWidth="1" outlineLevel="1"/>
    <col min="218" max="218" width="17.85546875" style="46" hidden="1" customWidth="1" outlineLevel="1"/>
    <col min="219" max="219" width="16.5703125" style="46" hidden="1" customWidth="1" outlineLevel="1"/>
    <col min="220" max="220" width="17.85546875" style="46" hidden="1" customWidth="1" outlineLevel="1"/>
    <col min="221" max="221" width="16.5703125" style="46" hidden="1" customWidth="1" outlineLevel="1"/>
    <col min="222" max="222" width="17.85546875" style="46" hidden="1" customWidth="1" outlineLevel="1"/>
    <col min="223" max="223" width="16.5703125" style="46" hidden="1" customWidth="1" outlineLevel="1"/>
    <col min="224" max="224" width="17.85546875" style="46" hidden="1" customWidth="1" outlineLevel="1"/>
    <col min="225" max="225" width="16.5703125" style="46" hidden="1" customWidth="1" outlineLevel="1"/>
    <col min="226" max="226" width="17.85546875" style="46" hidden="1" customWidth="1" outlineLevel="1"/>
    <col min="227" max="227" width="16.5703125" style="46" hidden="1" customWidth="1" outlineLevel="1"/>
    <col min="228" max="228" width="17.85546875" style="46" hidden="1" customWidth="1" outlineLevel="1"/>
    <col min="229" max="229" width="16.5703125" style="46" hidden="1" customWidth="1" outlineLevel="1"/>
    <col min="230" max="230" width="17.85546875" style="46" hidden="1" customWidth="1" outlineLevel="1"/>
    <col min="231" max="231" width="16.5703125" style="46" hidden="1" customWidth="1" outlineLevel="1"/>
    <col min="232" max="232" width="17.85546875" style="46" hidden="1" customWidth="1" outlineLevel="1"/>
    <col min="233" max="233" width="16.5703125" style="46" hidden="1" customWidth="1" outlineLevel="1"/>
    <col min="234" max="234" width="17.85546875" style="46" hidden="1" customWidth="1" outlineLevel="1"/>
    <col min="235" max="235" width="16.5703125" style="46" hidden="1" customWidth="1" outlineLevel="1"/>
    <col min="236" max="236" width="17.85546875" style="46" hidden="1" customWidth="1" outlineLevel="1"/>
    <col min="237" max="237" width="16.5703125" style="46" hidden="1" customWidth="1" outlineLevel="1"/>
    <col min="238" max="238" width="17.85546875" style="46" hidden="1" customWidth="1" outlineLevel="1"/>
    <col min="239" max="239" width="16.5703125" style="46" hidden="1" customWidth="1" outlineLevel="1"/>
    <col min="240" max="240" width="17.85546875" style="46" hidden="1" customWidth="1" outlineLevel="1"/>
    <col min="241" max="241" width="16.5703125" style="46" hidden="1" customWidth="1" outlineLevel="1"/>
    <col min="242" max="242" width="17.85546875" style="46" hidden="1" customWidth="1" outlineLevel="1"/>
    <col min="243" max="243" width="16.5703125" style="46" hidden="1" customWidth="1" outlineLevel="1"/>
    <col min="244" max="244" width="17.85546875" style="46" hidden="1" customWidth="1" outlineLevel="1"/>
    <col min="245" max="245" width="16.5703125" style="46" hidden="1" customWidth="1" outlineLevel="1"/>
    <col min="246" max="246" width="17.85546875" style="46" hidden="1" customWidth="1" outlineLevel="1"/>
    <col min="247" max="247" width="16.5703125" style="46" hidden="1" customWidth="1" outlineLevel="1"/>
    <col min="248" max="248" width="17.85546875" style="46" hidden="1" customWidth="1" outlineLevel="1"/>
    <col min="249" max="249" width="16.5703125" style="46" hidden="1" customWidth="1" outlineLevel="1"/>
    <col min="250" max="250" width="17.85546875" style="46" hidden="1" customWidth="1" outlineLevel="1"/>
    <col min="251" max="251" width="16.5703125" style="46" hidden="1" customWidth="1" outlineLevel="1"/>
    <col min="252" max="252" width="17.85546875" style="46" hidden="1" customWidth="1" outlineLevel="1"/>
    <col min="253" max="253" width="17.85546875" style="46" customWidth="1" collapsed="1"/>
    <col min="254" max="254" width="17.85546875" style="46" customWidth="1"/>
    <col min="255" max="255" width="16.5703125" style="46" customWidth="1" outlineLevel="1"/>
    <col min="256" max="256" width="17.85546875" style="46" customWidth="1" outlineLevel="1"/>
    <col min="257" max="257" width="16.5703125" style="46" customWidth="1" outlineLevel="1"/>
    <col min="258" max="258" width="17.85546875" style="46" customWidth="1" outlineLevel="1"/>
    <col min="259" max="259" width="16.5703125" style="46" customWidth="1" outlineLevel="1"/>
    <col min="260" max="260" width="17.85546875" style="46" customWidth="1" outlineLevel="1"/>
    <col min="261" max="261" width="16.5703125" style="46" customWidth="1" outlineLevel="1"/>
    <col min="262" max="262" width="17.85546875" style="46" customWidth="1" outlineLevel="1"/>
    <col min="263" max="263" width="16.5703125" style="46" customWidth="1" outlineLevel="1"/>
    <col min="264" max="264" width="17.85546875" style="46" customWidth="1" outlineLevel="1"/>
    <col min="265" max="265" width="16.5703125" style="46" customWidth="1" outlineLevel="1"/>
    <col min="266" max="266" width="17.85546875" style="46" customWidth="1" outlineLevel="1"/>
    <col min="267" max="267" width="16.5703125" style="46" customWidth="1" outlineLevel="1"/>
    <col min="268" max="268" width="17.85546875" style="46" customWidth="1" outlineLevel="1"/>
    <col min="269" max="269" width="16.5703125" style="46" customWidth="1" outlineLevel="1"/>
    <col min="270" max="270" width="17.85546875" style="46" customWidth="1" outlineLevel="1"/>
    <col min="271" max="271" width="16.5703125" style="46" customWidth="1" outlineLevel="1"/>
    <col min="272" max="272" width="17.85546875" style="46" customWidth="1" outlineLevel="1"/>
    <col min="273" max="273" width="16.5703125" style="46" customWidth="1" outlineLevel="1"/>
    <col min="274" max="274" width="17.85546875" style="46" customWidth="1" outlineLevel="1"/>
    <col min="275" max="275" width="16.5703125" style="46" customWidth="1" outlineLevel="1"/>
    <col min="276" max="276" width="17.85546875" style="46" customWidth="1" outlineLevel="1"/>
    <col min="277" max="277" width="16.5703125" style="46" customWidth="1" outlineLevel="1"/>
    <col min="278" max="278" width="17.85546875" style="46" customWidth="1" outlineLevel="1"/>
    <col min="279" max="279" width="16.5703125" style="46" customWidth="1" outlineLevel="1"/>
    <col min="280" max="280" width="17.85546875" style="46" customWidth="1" outlineLevel="1"/>
    <col min="281" max="281" width="16.5703125" style="46" customWidth="1" outlineLevel="1"/>
    <col min="282" max="282" width="17.85546875" style="46" customWidth="1" outlineLevel="1"/>
    <col min="283" max="283" width="16.5703125" style="46" customWidth="1" outlineLevel="1"/>
    <col min="284" max="284" width="17.85546875" style="46" customWidth="1" outlineLevel="1"/>
    <col min="285" max="285" width="16.5703125" style="46" customWidth="1" outlineLevel="1"/>
    <col min="286" max="286" width="17.85546875" style="46" customWidth="1" outlineLevel="1"/>
    <col min="287" max="287" width="16.5703125" style="46" customWidth="1" outlineLevel="1"/>
    <col min="288" max="288" width="17.85546875" style="46" customWidth="1" outlineLevel="1"/>
    <col min="289" max="289" width="16.5703125" style="46" customWidth="1" outlineLevel="1"/>
    <col min="290" max="290" width="17.85546875" style="46" customWidth="1" outlineLevel="1"/>
    <col min="291" max="291" width="16.5703125" style="46" customWidth="1" outlineLevel="1"/>
    <col min="292" max="292" width="17.85546875" style="46" customWidth="1" outlineLevel="1"/>
    <col min="293" max="293" width="16.5703125" style="46" customWidth="1" outlineLevel="1"/>
    <col min="294" max="294" width="17.85546875" style="46" customWidth="1" outlineLevel="1"/>
    <col min="295" max="295" width="16.5703125" style="46" customWidth="1" outlineLevel="1"/>
    <col min="296" max="296" width="17.85546875" style="46" customWidth="1" outlineLevel="1"/>
    <col min="297" max="297" width="16.5703125" style="46" customWidth="1" outlineLevel="1"/>
    <col min="298" max="298" width="17.85546875" style="46" customWidth="1" outlineLevel="1"/>
    <col min="299" max="299" width="16.5703125" style="46" customWidth="1" outlineLevel="1"/>
    <col min="300" max="300" width="17.85546875" style="46" customWidth="1" outlineLevel="1"/>
    <col min="301" max="301" width="16.5703125" style="46" customWidth="1" outlineLevel="1"/>
    <col min="302" max="302" width="17.85546875" style="46" customWidth="1" outlineLevel="1"/>
    <col min="303" max="303" width="16.5703125" style="46" customWidth="1" outlineLevel="1"/>
    <col min="304" max="304" width="17.85546875" style="46" customWidth="1" outlineLevel="1"/>
    <col min="305" max="305" width="16.5703125" style="46" customWidth="1" outlineLevel="1"/>
    <col min="306" max="306" width="17.85546875" style="46" customWidth="1" outlineLevel="1"/>
    <col min="307" max="307" width="16.5703125" style="46" customWidth="1" outlineLevel="1"/>
    <col min="308" max="308" width="17.85546875" style="46" customWidth="1" outlineLevel="1"/>
    <col min="309" max="309" width="16.5703125" style="46" customWidth="1" outlineLevel="1"/>
    <col min="310" max="310" width="17.85546875" style="46" customWidth="1" outlineLevel="1"/>
    <col min="311" max="311" width="16.5703125" style="46" customWidth="1" outlineLevel="1"/>
    <col min="312" max="312" width="17.85546875" style="46" customWidth="1" outlineLevel="1"/>
    <col min="313" max="313" width="16.5703125" style="46" customWidth="1" outlineLevel="1"/>
    <col min="314" max="314" width="17.85546875" style="46" customWidth="1" outlineLevel="1"/>
    <col min="315" max="315" width="16.5703125" style="46" customWidth="1" outlineLevel="1"/>
    <col min="316" max="316" width="17.85546875" style="46" customWidth="1" outlineLevel="1"/>
    <col min="317" max="318" width="17.85546875" style="46" customWidth="1"/>
    <col min="319" max="319" width="16.5703125" style="46" hidden="1" customWidth="1" outlineLevel="1"/>
    <col min="320" max="320" width="17.85546875" style="46" hidden="1" customWidth="1" outlineLevel="1"/>
    <col min="321" max="321" width="16.5703125" style="46" hidden="1" customWidth="1" outlineLevel="1"/>
    <col min="322" max="322" width="17.85546875" style="46" hidden="1" customWidth="1" outlineLevel="1"/>
    <col min="323" max="323" width="16.5703125" style="46" hidden="1" customWidth="1" outlineLevel="1"/>
    <col min="324" max="324" width="17.85546875" style="46" hidden="1" customWidth="1" outlineLevel="1"/>
    <col min="325" max="325" width="16.5703125" style="46" hidden="1" customWidth="1" outlineLevel="1"/>
    <col min="326" max="326" width="17.85546875" style="46" hidden="1" customWidth="1" outlineLevel="1"/>
    <col min="327" max="327" width="16.5703125" style="46" hidden="1" customWidth="1" outlineLevel="1"/>
    <col min="328" max="328" width="17.85546875" style="46" hidden="1" customWidth="1" outlineLevel="1"/>
    <col min="329" max="329" width="16.5703125" style="46" hidden="1" customWidth="1" outlineLevel="1"/>
    <col min="330" max="330" width="17.85546875" style="46" hidden="1" customWidth="1" outlineLevel="1"/>
    <col min="331" max="331" width="16.5703125" style="46" hidden="1" customWidth="1" outlineLevel="1"/>
    <col min="332" max="332" width="17.85546875" style="46" hidden="1" customWidth="1" outlineLevel="1"/>
    <col min="333" max="333" width="16.5703125" style="46" hidden="1" customWidth="1" outlineLevel="1"/>
    <col min="334" max="334" width="17.85546875" style="46" hidden="1" customWidth="1" outlineLevel="1"/>
    <col min="335" max="335" width="16.5703125" style="46" hidden="1" customWidth="1" outlineLevel="1"/>
    <col min="336" max="336" width="17.85546875" style="46" hidden="1" customWidth="1" outlineLevel="1"/>
    <col min="337" max="337" width="16.5703125" style="46" hidden="1" customWidth="1" outlineLevel="1"/>
    <col min="338" max="338" width="17.85546875" style="46" hidden="1" customWidth="1" outlineLevel="1"/>
    <col min="339" max="339" width="16.5703125" style="46" hidden="1" customWidth="1" outlineLevel="1"/>
    <col min="340" max="340" width="17.85546875" style="46" hidden="1" customWidth="1" outlineLevel="1"/>
    <col min="341" max="341" width="16.5703125" style="46" hidden="1" customWidth="1" outlineLevel="1"/>
    <col min="342" max="342" width="17.85546875" style="46" hidden="1" customWidth="1" outlineLevel="1"/>
    <col min="343" max="343" width="16.5703125" style="46" hidden="1" customWidth="1" outlineLevel="1"/>
    <col min="344" max="344" width="17.85546875" style="46" hidden="1" customWidth="1" outlineLevel="1"/>
    <col min="345" max="345" width="16.5703125" style="46" hidden="1" customWidth="1" outlineLevel="1"/>
    <col min="346" max="346" width="17.85546875" style="46" hidden="1" customWidth="1" outlineLevel="1"/>
    <col min="347" max="347" width="16.5703125" style="46" hidden="1" customWidth="1" outlineLevel="1"/>
    <col min="348" max="348" width="17.85546875" style="46" hidden="1" customWidth="1" outlineLevel="1"/>
    <col min="349" max="349" width="16.5703125" style="46" hidden="1" customWidth="1" outlineLevel="1"/>
    <col min="350" max="350" width="17.85546875" style="46" hidden="1" customWidth="1" outlineLevel="1"/>
    <col min="351" max="351" width="16.5703125" style="46" hidden="1" customWidth="1" outlineLevel="1"/>
    <col min="352" max="352" width="17.85546875" style="46" hidden="1" customWidth="1" outlineLevel="1"/>
    <col min="353" max="353" width="16.5703125" style="46" hidden="1" customWidth="1" outlineLevel="1"/>
    <col min="354" max="354" width="17.85546875" style="46" hidden="1" customWidth="1" outlineLevel="1"/>
    <col min="355" max="355" width="16.5703125" style="46" hidden="1" customWidth="1" outlineLevel="1"/>
    <col min="356" max="356" width="17.85546875" style="46" hidden="1" customWidth="1" outlineLevel="1"/>
    <col min="357" max="357" width="16.5703125" style="46" hidden="1" customWidth="1" outlineLevel="1"/>
    <col min="358" max="358" width="17.85546875" style="46" hidden="1" customWidth="1" outlineLevel="1"/>
    <col min="359" max="359" width="16.5703125" style="46" hidden="1" customWidth="1" outlineLevel="1"/>
    <col min="360" max="360" width="17.85546875" style="46" hidden="1" customWidth="1" outlineLevel="1"/>
    <col min="361" max="361" width="16.5703125" style="46" hidden="1" customWidth="1" outlineLevel="1"/>
    <col min="362" max="362" width="17.85546875" style="46" hidden="1" customWidth="1" outlineLevel="1"/>
    <col min="363" max="363" width="16.5703125" style="46" hidden="1" customWidth="1" outlineLevel="1"/>
    <col min="364" max="364" width="17.85546875" style="46" hidden="1" customWidth="1" outlineLevel="1"/>
    <col min="365" max="365" width="16.5703125" style="46" hidden="1" customWidth="1" outlineLevel="1"/>
    <col min="366" max="366" width="17.85546875" style="46" hidden="1" customWidth="1" outlineLevel="1"/>
    <col min="367" max="367" width="16.5703125" style="46" hidden="1" customWidth="1" outlineLevel="1"/>
    <col min="368" max="368" width="17.85546875" style="46" hidden="1" customWidth="1" outlineLevel="1"/>
    <col min="369" max="369" width="16.5703125" style="46" hidden="1" customWidth="1" outlineLevel="1"/>
    <col min="370" max="370" width="17.85546875" style="46" hidden="1" customWidth="1" outlineLevel="1"/>
    <col min="371" max="371" width="16.5703125" style="46" hidden="1" customWidth="1" outlineLevel="1"/>
    <col min="372" max="372" width="17.85546875" style="46" hidden="1" customWidth="1" outlineLevel="1"/>
    <col min="373" max="373" width="16.5703125" style="46" hidden="1" customWidth="1" outlineLevel="1"/>
    <col min="374" max="374" width="17.85546875" style="46" hidden="1" customWidth="1" outlineLevel="1"/>
    <col min="375" max="375" width="16.5703125" style="46" hidden="1" customWidth="1" outlineLevel="1"/>
    <col min="376" max="376" width="17.85546875" style="46" hidden="1" customWidth="1" outlineLevel="1"/>
    <col min="377" max="377" width="16.5703125" style="46" hidden="1" customWidth="1" outlineLevel="1"/>
    <col min="378" max="378" width="17.85546875" style="46" hidden="1" customWidth="1" outlineLevel="1"/>
    <col min="379" max="379" width="17.85546875" style="46" customWidth="1" collapsed="1"/>
    <col min="380" max="380" width="17.85546875" style="46" customWidth="1"/>
    <col min="381" max="381" width="16.5703125" style="46" hidden="1" customWidth="1" outlineLevel="1"/>
    <col min="382" max="382" width="17.85546875" style="46" hidden="1" customWidth="1" outlineLevel="1"/>
    <col min="383" max="383" width="16.5703125" style="46" hidden="1" customWidth="1" outlineLevel="1"/>
    <col min="384" max="384" width="17.85546875" style="46" hidden="1" customWidth="1" outlineLevel="1"/>
    <col min="385" max="385" width="16.5703125" style="46" hidden="1" customWidth="1" outlineLevel="1"/>
    <col min="386" max="386" width="17.85546875" style="46" hidden="1" customWidth="1" outlineLevel="1"/>
    <col min="387" max="387" width="16.5703125" style="46" hidden="1" customWidth="1" outlineLevel="1"/>
    <col min="388" max="388" width="17.85546875" style="46" hidden="1" customWidth="1" outlineLevel="1"/>
    <col min="389" max="389" width="16.5703125" style="46" hidden="1" customWidth="1" outlineLevel="1"/>
    <col min="390" max="390" width="17.85546875" style="46" hidden="1" customWidth="1" outlineLevel="1"/>
    <col min="391" max="391" width="16.5703125" style="46" hidden="1" customWidth="1" outlineLevel="1"/>
    <col min="392" max="392" width="17.85546875" style="46" hidden="1" customWidth="1" outlineLevel="1"/>
    <col min="393" max="393" width="16.5703125" style="46" hidden="1" customWidth="1" outlineLevel="1"/>
    <col min="394" max="394" width="17.85546875" style="46" hidden="1" customWidth="1" outlineLevel="1"/>
    <col min="395" max="395" width="16.5703125" style="46" hidden="1" customWidth="1" outlineLevel="1"/>
    <col min="396" max="396" width="17.85546875" style="46" hidden="1" customWidth="1" outlineLevel="1"/>
    <col min="397" max="397" width="16.5703125" style="46" hidden="1" customWidth="1" outlineLevel="1"/>
    <col min="398" max="398" width="17.85546875" style="46" hidden="1" customWidth="1" outlineLevel="1"/>
    <col min="399" max="399" width="16.5703125" style="46" hidden="1" customWidth="1" outlineLevel="1"/>
    <col min="400" max="400" width="17.85546875" style="46" hidden="1" customWidth="1" outlineLevel="1"/>
    <col min="401" max="401" width="16.5703125" style="46" hidden="1" customWidth="1" outlineLevel="1"/>
    <col min="402" max="402" width="17.85546875" style="46" hidden="1" customWidth="1" outlineLevel="1"/>
    <col min="403" max="403" width="16.5703125" style="46" hidden="1" customWidth="1" outlineLevel="1"/>
    <col min="404" max="404" width="17.85546875" style="46" hidden="1" customWidth="1" outlineLevel="1"/>
    <col min="405" max="405" width="16.5703125" style="46" hidden="1" customWidth="1" outlineLevel="1"/>
    <col min="406" max="406" width="17.85546875" style="46" hidden="1" customWidth="1" outlineLevel="1"/>
    <col min="407" max="407" width="16.5703125" style="46" hidden="1" customWidth="1" outlineLevel="1"/>
    <col min="408" max="408" width="17.85546875" style="46" hidden="1" customWidth="1" outlineLevel="1"/>
    <col min="409" max="409" width="16.5703125" style="46" hidden="1" customWidth="1" outlineLevel="1"/>
    <col min="410" max="410" width="17.85546875" style="46" hidden="1" customWidth="1" outlineLevel="1"/>
    <col min="411" max="411" width="16.5703125" style="46" hidden="1" customWidth="1" outlineLevel="1"/>
    <col min="412" max="412" width="17.85546875" style="46" hidden="1" customWidth="1" outlineLevel="1"/>
    <col min="413" max="413" width="16.5703125" style="46" hidden="1" customWidth="1" outlineLevel="1"/>
    <col min="414" max="414" width="17.85546875" style="46" hidden="1" customWidth="1" outlineLevel="1"/>
    <col min="415" max="415" width="16.5703125" style="46" hidden="1" customWidth="1" outlineLevel="1"/>
    <col min="416" max="416" width="17.85546875" style="46" hidden="1" customWidth="1" outlineLevel="1"/>
    <col min="417" max="417" width="16.5703125" style="46" hidden="1" customWidth="1" outlineLevel="1"/>
    <col min="418" max="418" width="17.85546875" style="46" hidden="1" customWidth="1" outlineLevel="1"/>
    <col min="419" max="419" width="16.5703125" style="46" hidden="1" customWidth="1" outlineLevel="1"/>
    <col min="420" max="420" width="17.85546875" style="46" hidden="1" customWidth="1" outlineLevel="1"/>
    <col min="421" max="421" width="16.5703125" style="46" hidden="1" customWidth="1" outlineLevel="1"/>
    <col min="422" max="422" width="17.85546875" style="46" hidden="1" customWidth="1" outlineLevel="1"/>
    <col min="423" max="423" width="16.5703125" style="46" hidden="1" customWidth="1" outlineLevel="1"/>
    <col min="424" max="424" width="17.85546875" style="46" hidden="1" customWidth="1" outlineLevel="1"/>
    <col min="425" max="425" width="16.5703125" style="46" hidden="1" customWidth="1" outlineLevel="1"/>
    <col min="426" max="426" width="17.85546875" style="46" hidden="1" customWidth="1" outlineLevel="1"/>
    <col min="427" max="427" width="16.5703125" style="46" hidden="1" customWidth="1" outlineLevel="1"/>
    <col min="428" max="428" width="17.85546875" style="46" hidden="1" customWidth="1" outlineLevel="1"/>
    <col min="429" max="429" width="16.5703125" style="46" hidden="1" customWidth="1" outlineLevel="1"/>
    <col min="430" max="430" width="17.85546875" style="46" hidden="1" customWidth="1" outlineLevel="1"/>
    <col min="431" max="431" width="16.5703125" style="46" hidden="1" customWidth="1" outlineLevel="1"/>
    <col min="432" max="432" width="17.85546875" style="46" hidden="1" customWidth="1" outlineLevel="1"/>
    <col min="433" max="433" width="16.5703125" style="46" hidden="1" customWidth="1" outlineLevel="1"/>
    <col min="434" max="434" width="17.85546875" style="46" hidden="1" customWidth="1" outlineLevel="1"/>
    <col min="435" max="435" width="16.5703125" style="46" hidden="1" customWidth="1" outlineLevel="1"/>
    <col min="436" max="436" width="17.85546875" style="46" hidden="1" customWidth="1" outlineLevel="1"/>
    <col min="437" max="437" width="16.5703125" style="46" hidden="1" customWidth="1" outlineLevel="1"/>
    <col min="438" max="438" width="17.85546875" style="46" hidden="1" customWidth="1" outlineLevel="1"/>
    <col min="439" max="439" width="16.5703125" style="46" hidden="1" customWidth="1" outlineLevel="1"/>
    <col min="440" max="440" width="17.85546875" style="46" hidden="1" customWidth="1" outlineLevel="1"/>
    <col min="441" max="441" width="16.5703125" style="46" hidden="1" customWidth="1" outlineLevel="1"/>
    <col min="442" max="442" width="17.85546875" style="46" hidden="1" customWidth="1" outlineLevel="1"/>
    <col min="443" max="443" width="17.85546875" style="46" customWidth="1" collapsed="1"/>
    <col min="444" max="444" width="17.85546875" style="46" customWidth="1"/>
    <col min="445" max="445" width="16.5703125" style="46" hidden="1" customWidth="1" outlineLevel="1"/>
    <col min="446" max="446" width="17.85546875" style="46" hidden="1" customWidth="1" outlineLevel="1"/>
    <col min="447" max="447" width="16.5703125" style="46" hidden="1" customWidth="1" outlineLevel="1"/>
    <col min="448" max="448" width="17.85546875" style="46" hidden="1" customWidth="1" outlineLevel="1"/>
    <col min="449" max="449" width="16.5703125" style="46" hidden="1" customWidth="1" outlineLevel="1"/>
    <col min="450" max="450" width="17.85546875" style="46" hidden="1" customWidth="1" outlineLevel="1"/>
    <col min="451" max="451" width="16.5703125" style="46" hidden="1" customWidth="1" outlineLevel="1"/>
    <col min="452" max="452" width="17.85546875" style="46" hidden="1" customWidth="1" outlineLevel="1"/>
    <col min="453" max="453" width="16.5703125" style="46" hidden="1" customWidth="1" outlineLevel="1"/>
    <col min="454" max="454" width="17.85546875" style="46" hidden="1" customWidth="1" outlineLevel="1"/>
    <col min="455" max="455" width="16.5703125" style="46" hidden="1" customWidth="1" outlineLevel="1"/>
    <col min="456" max="456" width="17.85546875" style="46" hidden="1" customWidth="1" outlineLevel="1"/>
    <col min="457" max="457" width="16.5703125" style="46" hidden="1" customWidth="1" outlineLevel="1"/>
    <col min="458" max="458" width="17.85546875" style="46" hidden="1" customWidth="1" outlineLevel="1"/>
    <col min="459" max="459" width="16.5703125" style="46" hidden="1" customWidth="1" outlineLevel="1"/>
    <col min="460" max="460" width="17.85546875" style="46" hidden="1" customWidth="1" outlineLevel="1"/>
    <col min="461" max="461" width="16.5703125" style="46" hidden="1" customWidth="1" outlineLevel="1"/>
    <col min="462" max="462" width="17.85546875" style="46" hidden="1" customWidth="1" outlineLevel="1"/>
    <col min="463" max="463" width="16.5703125" style="46" hidden="1" customWidth="1" outlineLevel="1"/>
    <col min="464" max="464" width="17.85546875" style="46" hidden="1" customWidth="1" outlineLevel="1"/>
    <col min="465" max="465" width="16.5703125" style="46" hidden="1" customWidth="1" outlineLevel="1"/>
    <col min="466" max="466" width="17.85546875" style="46" hidden="1" customWidth="1" outlineLevel="1"/>
    <col min="467" max="467" width="16.5703125" style="46" hidden="1" customWidth="1" outlineLevel="1"/>
    <col min="468" max="468" width="17.85546875" style="46" hidden="1" customWidth="1" outlineLevel="1"/>
    <col min="469" max="469" width="16.5703125" style="46" hidden="1" customWidth="1" outlineLevel="1"/>
    <col min="470" max="470" width="17.85546875" style="46" hidden="1" customWidth="1" outlineLevel="1"/>
    <col min="471" max="471" width="16.5703125" style="46" hidden="1" customWidth="1" outlineLevel="1"/>
    <col min="472" max="472" width="17.85546875" style="46" hidden="1" customWidth="1" outlineLevel="1"/>
    <col min="473" max="473" width="16.5703125" style="46" hidden="1" customWidth="1" outlineLevel="1"/>
    <col min="474" max="474" width="17.85546875" style="46" hidden="1" customWidth="1" outlineLevel="1"/>
    <col min="475" max="475" width="16.5703125" style="46" hidden="1" customWidth="1" outlineLevel="1"/>
    <col min="476" max="476" width="17.85546875" style="46" hidden="1" customWidth="1" outlineLevel="1"/>
    <col min="477" max="477" width="16.5703125" style="46" hidden="1" customWidth="1" outlineLevel="1"/>
    <col min="478" max="478" width="17.85546875" style="46" hidden="1" customWidth="1" outlineLevel="1"/>
    <col min="479" max="479" width="16.5703125" style="46" hidden="1" customWidth="1" outlineLevel="1"/>
    <col min="480" max="480" width="17.85546875" style="46" hidden="1" customWidth="1" outlineLevel="1"/>
    <col min="481" max="481" width="16.5703125" style="46" hidden="1" customWidth="1" outlineLevel="1"/>
    <col min="482" max="482" width="17.85546875" style="46" hidden="1" customWidth="1" outlineLevel="1"/>
    <col min="483" max="483" width="16.5703125" style="46" hidden="1" customWidth="1" outlineLevel="1"/>
    <col min="484" max="484" width="17.85546875" style="46" hidden="1" customWidth="1" outlineLevel="1"/>
    <col min="485" max="485" width="16.5703125" style="46" hidden="1" customWidth="1" outlineLevel="1"/>
    <col min="486" max="486" width="17.85546875" style="46" hidden="1" customWidth="1" outlineLevel="1"/>
    <col min="487" max="487" width="16.5703125" style="46" hidden="1" customWidth="1" outlineLevel="1"/>
    <col min="488" max="488" width="17.85546875" style="46" hidden="1" customWidth="1" outlineLevel="1"/>
    <col min="489" max="489" width="16.5703125" style="46" hidden="1" customWidth="1" outlineLevel="1"/>
    <col min="490" max="490" width="17.85546875" style="46" hidden="1" customWidth="1" outlineLevel="1"/>
    <col min="491" max="491" width="16.5703125" style="46" hidden="1" customWidth="1" outlineLevel="1"/>
    <col min="492" max="492" width="17.85546875" style="46" hidden="1" customWidth="1" outlineLevel="1"/>
    <col min="493" max="493" width="16.5703125" style="46" hidden="1" customWidth="1" outlineLevel="1"/>
    <col min="494" max="494" width="17.85546875" style="46" hidden="1" customWidth="1" outlineLevel="1"/>
    <col min="495" max="495" width="16.5703125" style="46" hidden="1" customWidth="1" outlineLevel="1"/>
    <col min="496" max="496" width="17.85546875" style="46" hidden="1" customWidth="1" outlineLevel="1"/>
    <col min="497" max="497" width="16.5703125" style="46" hidden="1" customWidth="1" outlineLevel="1"/>
    <col min="498" max="498" width="17.85546875" style="46" hidden="1" customWidth="1" outlineLevel="1"/>
    <col min="499" max="499" width="16.5703125" style="46" hidden="1" customWidth="1" outlineLevel="1"/>
    <col min="500" max="500" width="17.85546875" style="46" hidden="1" customWidth="1" outlineLevel="1"/>
    <col min="501" max="501" width="16.5703125" style="46" hidden="1" customWidth="1" outlineLevel="1"/>
    <col min="502" max="502" width="17.85546875" style="46" hidden="1" customWidth="1" outlineLevel="1"/>
    <col min="503" max="503" width="16.5703125" style="46" hidden="1" customWidth="1" outlineLevel="1"/>
    <col min="504" max="504" width="17.85546875" style="46" hidden="1" customWidth="1" outlineLevel="1"/>
    <col min="505" max="505" width="16.5703125" style="46" hidden="1" customWidth="1" outlineLevel="1"/>
    <col min="506" max="506" width="17.85546875" style="46" hidden="1" customWidth="1" outlineLevel="1"/>
    <col min="507" max="507" width="17.85546875" style="46" customWidth="1" collapsed="1"/>
    <col min="508" max="508" width="17.85546875" style="46" customWidth="1"/>
    <col min="509" max="509" width="16.5703125" style="46" hidden="1" customWidth="1" outlineLevel="1"/>
    <col min="510" max="510" width="17.85546875" style="46" hidden="1" customWidth="1" outlineLevel="1"/>
    <col min="511" max="511" width="16.5703125" style="46" hidden="1" customWidth="1" outlineLevel="1"/>
    <col min="512" max="512" width="17.85546875" style="46" hidden="1" customWidth="1" outlineLevel="1"/>
    <col min="513" max="513" width="16.5703125" style="46" hidden="1" customWidth="1" outlineLevel="1"/>
    <col min="514" max="514" width="17.85546875" style="46" hidden="1" customWidth="1" outlineLevel="1"/>
    <col min="515" max="515" width="16.5703125" style="46" hidden="1" customWidth="1" outlineLevel="1"/>
    <col min="516" max="516" width="17.85546875" style="46" hidden="1" customWidth="1" outlineLevel="1"/>
    <col min="517" max="517" width="16.5703125" style="46" hidden="1" customWidth="1" outlineLevel="1"/>
    <col min="518" max="518" width="17.85546875" style="46" hidden="1" customWidth="1" outlineLevel="1"/>
    <col min="519" max="519" width="16.5703125" style="46" hidden="1" customWidth="1" outlineLevel="1"/>
    <col min="520" max="520" width="17.85546875" style="46" hidden="1" customWidth="1" outlineLevel="1"/>
    <col min="521" max="521" width="16.5703125" style="46" hidden="1" customWidth="1" outlineLevel="1"/>
    <col min="522" max="522" width="17.85546875" style="46" hidden="1" customWidth="1" outlineLevel="1"/>
    <col min="523" max="523" width="16.5703125" style="46" hidden="1" customWidth="1" outlineLevel="1"/>
    <col min="524" max="524" width="17.85546875" style="46" hidden="1" customWidth="1" outlineLevel="1"/>
    <col min="525" max="525" width="16.5703125" style="46" hidden="1" customWidth="1" outlineLevel="1"/>
    <col min="526" max="526" width="17.85546875" style="46" hidden="1" customWidth="1" outlineLevel="1"/>
    <col min="527" max="527" width="16.5703125" style="46" hidden="1" customWidth="1" outlineLevel="1"/>
    <col min="528" max="528" width="17.85546875" style="46" hidden="1" customWidth="1" outlineLevel="1"/>
    <col min="529" max="529" width="16.5703125" style="46" hidden="1" customWidth="1" outlineLevel="1"/>
    <col min="530" max="530" width="17.85546875" style="46" hidden="1" customWidth="1" outlineLevel="1"/>
    <col min="531" max="531" width="16.5703125" style="46" hidden="1" customWidth="1" outlineLevel="1"/>
    <col min="532" max="532" width="17.85546875" style="46" hidden="1" customWidth="1" outlineLevel="1"/>
    <col min="533" max="533" width="16.5703125" style="46" hidden="1" customWidth="1" outlineLevel="1"/>
    <col min="534" max="534" width="17.85546875" style="46" hidden="1" customWidth="1" outlineLevel="1"/>
    <col min="535" max="535" width="16.5703125" style="46" hidden="1" customWidth="1" outlineLevel="1"/>
    <col min="536" max="536" width="17.85546875" style="46" hidden="1" customWidth="1" outlineLevel="1"/>
    <col min="537" max="537" width="16.5703125" style="46" hidden="1" customWidth="1" outlineLevel="1"/>
    <col min="538" max="538" width="17.85546875" style="46" hidden="1" customWidth="1" outlineLevel="1"/>
    <col min="539" max="539" width="16.5703125" style="46" hidden="1" customWidth="1" outlineLevel="1"/>
    <col min="540" max="540" width="17.85546875" style="46" hidden="1" customWidth="1" outlineLevel="1"/>
    <col min="541" max="541" width="16.5703125" style="46" hidden="1" customWidth="1" outlineLevel="1"/>
    <col min="542" max="542" width="17.85546875" style="46" hidden="1" customWidth="1" outlineLevel="1"/>
    <col min="543" max="543" width="16.5703125" style="46" hidden="1" customWidth="1" outlineLevel="1"/>
    <col min="544" max="544" width="17.85546875" style="46" hidden="1" customWidth="1" outlineLevel="1"/>
    <col min="545" max="545" width="16.5703125" style="46" hidden="1" customWidth="1" outlineLevel="1"/>
    <col min="546" max="546" width="17.85546875" style="46" hidden="1" customWidth="1" outlineLevel="1"/>
    <col min="547" max="547" width="16.5703125" style="46" hidden="1" customWidth="1" outlineLevel="1"/>
    <col min="548" max="548" width="17.85546875" style="46" hidden="1" customWidth="1" outlineLevel="1"/>
    <col min="549" max="549" width="16.5703125" style="46" hidden="1" customWidth="1" outlineLevel="1"/>
    <col min="550" max="550" width="17.85546875" style="46" hidden="1" customWidth="1" outlineLevel="1"/>
    <col min="551" max="551" width="16.5703125" style="46" hidden="1" customWidth="1" outlineLevel="1"/>
    <col min="552" max="552" width="17.85546875" style="46" hidden="1" customWidth="1" outlineLevel="1"/>
    <col min="553" max="553" width="16.5703125" style="46" hidden="1" customWidth="1" outlineLevel="1"/>
    <col min="554" max="554" width="17.85546875" style="46" hidden="1" customWidth="1" outlineLevel="1"/>
    <col min="555" max="555" width="16.5703125" style="46" hidden="1" customWidth="1" outlineLevel="1"/>
    <col min="556" max="556" width="17.85546875" style="46" hidden="1" customWidth="1" outlineLevel="1"/>
    <col min="557" max="557" width="16.5703125" style="46" hidden="1" customWidth="1" outlineLevel="1"/>
    <col min="558" max="558" width="17.85546875" style="46" hidden="1" customWidth="1" outlineLevel="1"/>
    <col min="559" max="559" width="16.5703125" style="46" hidden="1" customWidth="1" outlineLevel="1"/>
    <col min="560" max="560" width="17.85546875" style="46" hidden="1" customWidth="1" outlineLevel="1"/>
    <col min="561" max="561" width="16.5703125" style="46" hidden="1" customWidth="1" outlineLevel="1"/>
    <col min="562" max="562" width="17.85546875" style="46" hidden="1" customWidth="1" outlineLevel="1"/>
    <col min="563" max="563" width="16.5703125" style="46" hidden="1" customWidth="1" outlineLevel="1"/>
    <col min="564" max="564" width="17.85546875" style="46" hidden="1" customWidth="1" outlineLevel="1"/>
    <col min="565" max="565" width="16.5703125" style="46" hidden="1" customWidth="1" outlineLevel="1"/>
    <col min="566" max="566" width="17.85546875" style="46" hidden="1" customWidth="1" outlineLevel="1"/>
    <col min="567" max="567" width="16.5703125" style="46" hidden="1" customWidth="1" outlineLevel="1"/>
    <col min="568" max="568" width="17.85546875" style="46" hidden="1" customWidth="1" outlineLevel="1"/>
    <col min="569" max="569" width="17.85546875" style="46" customWidth="1" collapsed="1"/>
    <col min="570" max="570" width="17.85546875" style="46" customWidth="1"/>
    <col min="571" max="571" width="16.5703125" style="46" hidden="1" customWidth="1" outlineLevel="1"/>
    <col min="572" max="572" width="17.85546875" style="46" hidden="1" customWidth="1" outlineLevel="1"/>
    <col min="573" max="573" width="16.5703125" style="46" hidden="1" customWidth="1" outlineLevel="1"/>
    <col min="574" max="574" width="17.85546875" style="46" hidden="1" customWidth="1" outlineLevel="1"/>
    <col min="575" max="575" width="16.5703125" style="46" hidden="1" customWidth="1" outlineLevel="1"/>
    <col min="576" max="576" width="17.85546875" style="46" hidden="1" customWidth="1" outlineLevel="1"/>
    <col min="577" max="577" width="16.5703125" style="46" hidden="1" customWidth="1" outlineLevel="1"/>
    <col min="578" max="578" width="17.85546875" style="46" hidden="1" customWidth="1" outlineLevel="1"/>
    <col min="579" max="579" width="16.5703125" style="46" hidden="1" customWidth="1" outlineLevel="1"/>
    <col min="580" max="580" width="17.85546875" style="46" hidden="1" customWidth="1" outlineLevel="1"/>
    <col min="581" max="581" width="16.5703125" style="46" hidden="1" customWidth="1" outlineLevel="1"/>
    <col min="582" max="582" width="17.85546875" style="46" hidden="1" customWidth="1" outlineLevel="1"/>
    <col min="583" max="583" width="16.5703125" style="46" hidden="1" customWidth="1" outlineLevel="1"/>
    <col min="584" max="584" width="17.85546875" style="46" hidden="1" customWidth="1" outlineLevel="1"/>
    <col min="585" max="585" width="16.5703125" style="46" hidden="1" customWidth="1" outlineLevel="1"/>
    <col min="586" max="586" width="17.85546875" style="46" hidden="1" customWidth="1" outlineLevel="1"/>
    <col min="587" max="587" width="16.5703125" style="46" hidden="1" customWidth="1" outlineLevel="1"/>
    <col min="588" max="588" width="17.85546875" style="46" hidden="1" customWidth="1" outlineLevel="1"/>
    <col min="589" max="589" width="16.5703125" style="46" hidden="1" customWidth="1" outlineLevel="1"/>
    <col min="590" max="590" width="17.85546875" style="46" hidden="1" customWidth="1" outlineLevel="1"/>
    <col min="591" max="591" width="16.5703125" style="46" hidden="1" customWidth="1" outlineLevel="1"/>
    <col min="592" max="592" width="17.85546875" style="46" hidden="1" customWidth="1" outlineLevel="1"/>
    <col min="593" max="593" width="16.5703125" style="46" hidden="1" customWidth="1" outlineLevel="1"/>
    <col min="594" max="594" width="17.85546875" style="46" hidden="1" customWidth="1" outlineLevel="1"/>
    <col min="595" max="595" width="16.5703125" style="46" hidden="1" customWidth="1" outlineLevel="1"/>
    <col min="596" max="596" width="17.85546875" style="46" hidden="1" customWidth="1" outlineLevel="1"/>
    <col min="597" max="597" width="16.5703125" style="46" hidden="1" customWidth="1" outlineLevel="1"/>
    <col min="598" max="598" width="17.85546875" style="46" hidden="1" customWidth="1" outlineLevel="1"/>
    <col min="599" max="599" width="16.5703125" style="46" hidden="1" customWidth="1" outlineLevel="1"/>
    <col min="600" max="600" width="17.85546875" style="46" hidden="1" customWidth="1" outlineLevel="1"/>
    <col min="601" max="601" width="16.5703125" style="46" hidden="1" customWidth="1" outlineLevel="1"/>
    <col min="602" max="602" width="17.85546875" style="46" hidden="1" customWidth="1" outlineLevel="1"/>
    <col min="603" max="603" width="16.5703125" style="46" hidden="1" customWidth="1" outlineLevel="1"/>
    <col min="604" max="604" width="17.85546875" style="46" hidden="1" customWidth="1" outlineLevel="1"/>
    <col min="605" max="605" width="16.5703125" style="46" hidden="1" customWidth="1" outlineLevel="1"/>
    <col min="606" max="606" width="17.85546875" style="46" hidden="1" customWidth="1" outlineLevel="1"/>
    <col min="607" max="607" width="16.5703125" style="46" hidden="1" customWidth="1" outlineLevel="1"/>
    <col min="608" max="608" width="17.85546875" style="46" hidden="1" customWidth="1" outlineLevel="1"/>
    <col min="609" max="609" width="16.5703125" style="46" hidden="1" customWidth="1" outlineLevel="1"/>
    <col min="610" max="610" width="17.85546875" style="46" hidden="1" customWidth="1" outlineLevel="1"/>
    <col min="611" max="611" width="16.5703125" style="46" hidden="1" customWidth="1" outlineLevel="1"/>
    <col min="612" max="612" width="17.85546875" style="46" hidden="1" customWidth="1" outlineLevel="1"/>
    <col min="613" max="613" width="16.5703125" style="46" hidden="1" customWidth="1" outlineLevel="1"/>
    <col min="614" max="614" width="17.85546875" style="46" hidden="1" customWidth="1" outlineLevel="1"/>
    <col min="615" max="615" width="16.5703125" style="46" hidden="1" customWidth="1" outlineLevel="1"/>
    <col min="616" max="616" width="17.85546875" style="46" hidden="1" customWidth="1" outlineLevel="1"/>
    <col min="617" max="617" width="16.5703125" style="46" hidden="1" customWidth="1" outlineLevel="1"/>
    <col min="618" max="618" width="17.85546875" style="46" hidden="1" customWidth="1" outlineLevel="1"/>
    <col min="619" max="619" width="16.5703125" style="46" hidden="1" customWidth="1" outlineLevel="1"/>
    <col min="620" max="620" width="17.85546875" style="46" hidden="1" customWidth="1" outlineLevel="1"/>
    <col min="621" max="621" width="16.5703125" style="46" hidden="1" customWidth="1" outlineLevel="1"/>
    <col min="622" max="622" width="17.85546875" style="46" hidden="1" customWidth="1" outlineLevel="1"/>
    <col min="623" max="623" width="16.5703125" style="46" hidden="1" customWidth="1" outlineLevel="1"/>
    <col min="624" max="624" width="17.85546875" style="46" hidden="1" customWidth="1" outlineLevel="1"/>
    <col min="625" max="625" width="16.5703125" style="46" hidden="1" customWidth="1" outlineLevel="1"/>
    <col min="626" max="626" width="17.85546875" style="46" hidden="1" customWidth="1" outlineLevel="1"/>
    <col min="627" max="627" width="16.5703125" style="46" hidden="1" customWidth="1" outlineLevel="1"/>
    <col min="628" max="628" width="17.85546875" style="46" hidden="1" customWidth="1" outlineLevel="1"/>
    <col min="629" max="629" width="16.5703125" style="46" hidden="1" customWidth="1" outlineLevel="1"/>
    <col min="630" max="630" width="17.85546875" style="46" hidden="1" customWidth="1" outlineLevel="1"/>
    <col min="631" max="631" width="16.5703125" style="46" hidden="1" customWidth="1" outlineLevel="1"/>
    <col min="632" max="632" width="17.85546875" style="46" hidden="1" customWidth="1" outlineLevel="1"/>
    <col min="633" max="633" width="17.85546875" style="46" customWidth="1" collapsed="1"/>
    <col min="634" max="634" width="17.85546875" style="46" customWidth="1"/>
    <col min="635" max="635" width="16.5703125" style="46" hidden="1" customWidth="1" outlineLevel="1"/>
    <col min="636" max="636" width="17.85546875" style="46" hidden="1" customWidth="1" outlineLevel="1"/>
    <col min="637" max="637" width="16.5703125" style="46" hidden="1" customWidth="1" outlineLevel="1"/>
    <col min="638" max="638" width="17.85546875" style="46" hidden="1" customWidth="1" outlineLevel="1"/>
    <col min="639" max="639" width="16.5703125" style="46" hidden="1" customWidth="1" outlineLevel="1"/>
    <col min="640" max="640" width="17.85546875" style="46" hidden="1" customWidth="1" outlineLevel="1"/>
    <col min="641" max="641" width="16.5703125" style="46" hidden="1" customWidth="1" outlineLevel="1"/>
    <col min="642" max="642" width="17.85546875" style="46" hidden="1" customWidth="1" outlineLevel="1"/>
    <col min="643" max="643" width="16.5703125" style="46" hidden="1" customWidth="1" outlineLevel="1"/>
    <col min="644" max="644" width="17.85546875" style="46" hidden="1" customWidth="1" outlineLevel="1"/>
    <col min="645" max="645" width="16.5703125" style="46" hidden="1" customWidth="1" outlineLevel="1"/>
    <col min="646" max="646" width="17.85546875" style="46" hidden="1" customWidth="1" outlineLevel="1"/>
    <col min="647" max="647" width="16.5703125" style="46" hidden="1" customWidth="1" outlineLevel="1"/>
    <col min="648" max="648" width="17.85546875" style="46" hidden="1" customWidth="1" outlineLevel="1"/>
    <col min="649" max="649" width="16.5703125" style="46" hidden="1" customWidth="1" outlineLevel="1"/>
    <col min="650" max="650" width="17.85546875" style="46" hidden="1" customWidth="1" outlineLevel="1"/>
    <col min="651" max="651" width="16.5703125" style="46" hidden="1" customWidth="1" outlineLevel="1"/>
    <col min="652" max="652" width="17.85546875" style="46" hidden="1" customWidth="1" outlineLevel="1"/>
    <col min="653" max="653" width="16.5703125" style="46" hidden="1" customWidth="1" outlineLevel="1"/>
    <col min="654" max="654" width="17.85546875" style="46" hidden="1" customWidth="1" outlineLevel="1"/>
    <col min="655" max="655" width="16.5703125" style="46" hidden="1" customWidth="1" outlineLevel="1"/>
    <col min="656" max="656" width="17.85546875" style="46" hidden="1" customWidth="1" outlineLevel="1"/>
    <col min="657" max="657" width="16.5703125" style="46" hidden="1" customWidth="1" outlineLevel="1"/>
    <col min="658" max="658" width="17.85546875" style="46" hidden="1" customWidth="1" outlineLevel="1"/>
    <col min="659" max="659" width="16.5703125" style="46" hidden="1" customWidth="1" outlineLevel="1"/>
    <col min="660" max="660" width="17.85546875" style="46" hidden="1" customWidth="1" outlineLevel="1"/>
    <col min="661" max="661" width="16.5703125" style="46" hidden="1" customWidth="1" outlineLevel="1"/>
    <col min="662" max="662" width="17.85546875" style="46" hidden="1" customWidth="1" outlineLevel="1"/>
    <col min="663" max="663" width="16.5703125" style="46" hidden="1" customWidth="1" outlineLevel="1"/>
    <col min="664" max="664" width="17.85546875" style="46" hidden="1" customWidth="1" outlineLevel="1"/>
    <col min="665" max="665" width="16.5703125" style="46" hidden="1" customWidth="1" outlineLevel="1"/>
    <col min="666" max="666" width="17.85546875" style="46" hidden="1" customWidth="1" outlineLevel="1"/>
    <col min="667" max="667" width="16.5703125" style="46" hidden="1" customWidth="1" outlineLevel="1"/>
    <col min="668" max="668" width="17.85546875" style="46" hidden="1" customWidth="1" outlineLevel="1"/>
    <col min="669" max="669" width="16.5703125" style="46" hidden="1" customWidth="1" outlineLevel="1"/>
    <col min="670" max="670" width="17.85546875" style="46" hidden="1" customWidth="1" outlineLevel="1"/>
    <col min="671" max="671" width="16.5703125" style="46" hidden="1" customWidth="1" outlineLevel="1"/>
    <col min="672" max="672" width="17.85546875" style="46" hidden="1" customWidth="1" outlineLevel="1"/>
    <col min="673" max="673" width="16.5703125" style="46" hidden="1" customWidth="1" outlineLevel="1"/>
    <col min="674" max="674" width="17.85546875" style="46" hidden="1" customWidth="1" outlineLevel="1"/>
    <col min="675" max="675" width="16.5703125" style="46" hidden="1" customWidth="1" outlineLevel="1"/>
    <col min="676" max="676" width="17.85546875" style="46" hidden="1" customWidth="1" outlineLevel="1"/>
    <col min="677" max="677" width="16.5703125" style="46" hidden="1" customWidth="1" outlineLevel="1"/>
    <col min="678" max="678" width="17.85546875" style="46" hidden="1" customWidth="1" outlineLevel="1"/>
    <col min="679" max="679" width="16.5703125" style="46" hidden="1" customWidth="1" outlineLevel="1"/>
    <col min="680" max="680" width="17.85546875" style="46" hidden="1" customWidth="1" outlineLevel="1"/>
    <col min="681" max="681" width="16.5703125" style="46" hidden="1" customWidth="1" outlineLevel="1"/>
    <col min="682" max="682" width="17.85546875" style="46" hidden="1" customWidth="1" outlineLevel="1"/>
    <col min="683" max="683" width="16.5703125" style="46" hidden="1" customWidth="1" outlineLevel="1"/>
    <col min="684" max="684" width="17.85546875" style="46" hidden="1" customWidth="1" outlineLevel="1"/>
    <col min="685" max="685" width="16.5703125" style="46" hidden="1" customWidth="1" outlineLevel="1"/>
    <col min="686" max="686" width="17.85546875" style="46" hidden="1" customWidth="1" outlineLevel="1"/>
    <col min="687" max="687" width="16.5703125" style="46" hidden="1" customWidth="1" outlineLevel="1"/>
    <col min="688" max="688" width="17.85546875" style="46" hidden="1" customWidth="1" outlineLevel="1"/>
    <col min="689" max="689" width="16.5703125" style="46" hidden="1" customWidth="1" outlineLevel="1"/>
    <col min="690" max="690" width="17.85546875" style="46" hidden="1" customWidth="1" outlineLevel="1"/>
    <col min="691" max="691" width="16.5703125" style="46" hidden="1" customWidth="1" outlineLevel="1"/>
    <col min="692" max="692" width="17.85546875" style="46" hidden="1" customWidth="1" outlineLevel="1"/>
    <col min="693" max="693" width="16.5703125" style="46" hidden="1" customWidth="1" outlineLevel="1"/>
    <col min="694" max="694" width="17.85546875" style="46" hidden="1" customWidth="1" outlineLevel="1"/>
    <col min="695" max="695" width="17.85546875" style="46" customWidth="1" collapsed="1"/>
    <col min="696" max="696" width="17.85546875" style="46" customWidth="1"/>
    <col min="697" max="697" width="16.5703125" style="46" hidden="1" customWidth="1" outlineLevel="1"/>
    <col min="698" max="698" width="17.85546875" style="46" hidden="1" customWidth="1" outlineLevel="1"/>
    <col min="699" max="699" width="16.5703125" style="46" hidden="1" customWidth="1" outlineLevel="1"/>
    <col min="700" max="700" width="17.85546875" style="46" hidden="1" customWidth="1" outlineLevel="1"/>
    <col min="701" max="701" width="16.5703125" style="46" hidden="1" customWidth="1" outlineLevel="1"/>
    <col min="702" max="702" width="17.85546875" style="46" hidden="1" customWidth="1" outlineLevel="1"/>
    <col min="703" max="703" width="16.5703125" style="46" hidden="1" customWidth="1" outlineLevel="1"/>
    <col min="704" max="704" width="17.85546875" style="46" hidden="1" customWidth="1" outlineLevel="1"/>
    <col min="705" max="705" width="16.5703125" style="46" hidden="1" customWidth="1" outlineLevel="1"/>
    <col min="706" max="706" width="17.85546875" style="46" hidden="1" customWidth="1" outlineLevel="1"/>
    <col min="707" max="707" width="16.5703125" style="46" hidden="1" customWidth="1" outlineLevel="1"/>
    <col min="708" max="708" width="17.85546875" style="46" hidden="1" customWidth="1" outlineLevel="1"/>
    <col min="709" max="709" width="16.5703125" style="46" hidden="1" customWidth="1" outlineLevel="1"/>
    <col min="710" max="710" width="17.85546875" style="46" hidden="1" customWidth="1" outlineLevel="1"/>
    <col min="711" max="711" width="16.5703125" style="46" hidden="1" customWidth="1" outlineLevel="1"/>
    <col min="712" max="712" width="17.85546875" style="46" hidden="1" customWidth="1" outlineLevel="1"/>
    <col min="713" max="713" width="16.5703125" style="46" hidden="1" customWidth="1" outlineLevel="1"/>
    <col min="714" max="714" width="17.85546875" style="46" hidden="1" customWidth="1" outlineLevel="1"/>
    <col min="715" max="715" width="16.5703125" style="46" hidden="1" customWidth="1" outlineLevel="1"/>
    <col min="716" max="716" width="17.85546875" style="46" hidden="1" customWidth="1" outlineLevel="1"/>
    <col min="717" max="717" width="16.5703125" style="46" hidden="1" customWidth="1" outlineLevel="1"/>
    <col min="718" max="718" width="17.85546875" style="46" hidden="1" customWidth="1" outlineLevel="1"/>
    <col min="719" max="719" width="16.5703125" style="46" hidden="1" customWidth="1" outlineLevel="1"/>
    <col min="720" max="720" width="17.85546875" style="46" hidden="1" customWidth="1" outlineLevel="1"/>
    <col min="721" max="721" width="16.5703125" style="46" hidden="1" customWidth="1" outlineLevel="1"/>
    <col min="722" max="722" width="17.85546875" style="46" hidden="1" customWidth="1" outlineLevel="1"/>
    <col min="723" max="723" width="16.5703125" style="46" hidden="1" customWidth="1" outlineLevel="1"/>
    <col min="724" max="724" width="17.85546875" style="46" hidden="1" customWidth="1" outlineLevel="1"/>
    <col min="725" max="725" width="16.5703125" style="46" hidden="1" customWidth="1" outlineLevel="1"/>
    <col min="726" max="726" width="17.85546875" style="46" hidden="1" customWidth="1" outlineLevel="1"/>
    <col min="727" max="727" width="16.5703125" style="46" hidden="1" customWidth="1" outlineLevel="1"/>
    <col min="728" max="728" width="17.85546875" style="46" hidden="1" customWidth="1" outlineLevel="1"/>
    <col min="729" max="729" width="16.5703125" style="46" hidden="1" customWidth="1" outlineLevel="1"/>
    <col min="730" max="730" width="17.85546875" style="46" hidden="1" customWidth="1" outlineLevel="1"/>
    <col min="731" max="731" width="16.5703125" style="46" hidden="1" customWidth="1" outlineLevel="1"/>
    <col min="732" max="732" width="17.85546875" style="46" hidden="1" customWidth="1" outlineLevel="1"/>
    <col min="733" max="733" width="16.5703125" style="46" hidden="1" customWidth="1" outlineLevel="1"/>
    <col min="734" max="734" width="17.85546875" style="46" hidden="1" customWidth="1" outlineLevel="1"/>
    <col min="735" max="735" width="16.5703125" style="46" hidden="1" customWidth="1" outlineLevel="1"/>
    <col min="736" max="736" width="17.85546875" style="46" hidden="1" customWidth="1" outlineLevel="1"/>
    <col min="737" max="737" width="16.5703125" style="46" hidden="1" customWidth="1" outlineLevel="1"/>
    <col min="738" max="738" width="17.85546875" style="46" hidden="1" customWidth="1" outlineLevel="1"/>
    <col min="739" max="739" width="16.5703125" style="46" hidden="1" customWidth="1" outlineLevel="1"/>
    <col min="740" max="740" width="17.85546875" style="46" hidden="1" customWidth="1" outlineLevel="1"/>
    <col min="741" max="741" width="16.5703125" style="46" hidden="1" customWidth="1" outlineLevel="1"/>
    <col min="742" max="742" width="17.85546875" style="46" hidden="1" customWidth="1" outlineLevel="1"/>
    <col min="743" max="743" width="16.5703125" style="46" hidden="1" customWidth="1" outlineLevel="1"/>
    <col min="744" max="744" width="17.85546875" style="46" hidden="1" customWidth="1" outlineLevel="1"/>
    <col min="745" max="745" width="16.5703125" style="46" hidden="1" customWidth="1" outlineLevel="1"/>
    <col min="746" max="746" width="17.85546875" style="46" hidden="1" customWidth="1" outlineLevel="1"/>
    <col min="747" max="747" width="16.5703125" style="46" hidden="1" customWidth="1" outlineLevel="1"/>
    <col min="748" max="748" width="17.85546875" style="46" hidden="1" customWidth="1" outlineLevel="1"/>
    <col min="749" max="749" width="16.5703125" style="46" hidden="1" customWidth="1" outlineLevel="1"/>
    <col min="750" max="750" width="17.85546875" style="46" hidden="1" customWidth="1" outlineLevel="1"/>
    <col min="751" max="751" width="16.5703125" style="46" hidden="1" customWidth="1" outlineLevel="1"/>
    <col min="752" max="752" width="17.85546875" style="46" hidden="1" customWidth="1" outlineLevel="1"/>
    <col min="753" max="753" width="16.5703125" style="46" hidden="1" customWidth="1" outlineLevel="1"/>
    <col min="754" max="754" width="17.85546875" style="46" hidden="1" customWidth="1" outlineLevel="1"/>
    <col min="755" max="755" width="16.5703125" style="46" hidden="1" customWidth="1" outlineLevel="1"/>
    <col min="756" max="756" width="17.85546875" style="46" hidden="1" customWidth="1" outlineLevel="1"/>
    <col min="757" max="757" width="16.5703125" style="46" hidden="1" customWidth="1" outlineLevel="1"/>
    <col min="758" max="758" width="17.85546875" style="46" hidden="1" customWidth="1" outlineLevel="1"/>
    <col min="759" max="759" width="16.5703125" style="46" bestFit="1" customWidth="1" collapsed="1"/>
    <col min="760" max="760" width="17.85546875" style="46" bestFit="1" customWidth="1"/>
    <col min="761" max="761" width="16.5703125" style="46" bestFit="1" customWidth="1"/>
    <col min="762" max="762" width="17.85546875" style="46" bestFit="1" customWidth="1"/>
    <col min="763" max="763" width="104.42578125" style="71" customWidth="1"/>
    <col min="764" max="764" width="104.42578125" style="71" bestFit="1" customWidth="1"/>
    <col min="765" max="16384" width="9.140625" style="71"/>
  </cols>
  <sheetData>
    <row r="1" spans="1:764" x14ac:dyDescent="0.25">
      <c r="A1" s="145" t="s">
        <v>10</v>
      </c>
      <c r="B1" s="147" t="s">
        <v>1</v>
      </c>
      <c r="C1" s="149" t="s">
        <v>0</v>
      </c>
      <c r="D1" s="159" t="s">
        <v>5</v>
      </c>
      <c r="E1" s="69">
        <v>45292</v>
      </c>
      <c r="F1" s="67">
        <v>45292</v>
      </c>
      <c r="G1" s="70">
        <f>E1+1</f>
        <v>45293</v>
      </c>
      <c r="H1" s="70">
        <f>F1+1</f>
        <v>45293</v>
      </c>
      <c r="I1" s="70">
        <f t="shared" ref="I1:BN1" si="0">G1+1</f>
        <v>45294</v>
      </c>
      <c r="J1" s="70">
        <f t="shared" si="0"/>
        <v>45294</v>
      </c>
      <c r="K1" s="70">
        <f t="shared" si="0"/>
        <v>45295</v>
      </c>
      <c r="L1" s="70">
        <f t="shared" si="0"/>
        <v>45295</v>
      </c>
      <c r="M1" s="70">
        <f t="shared" si="0"/>
        <v>45296</v>
      </c>
      <c r="N1" s="70">
        <f t="shared" si="0"/>
        <v>45296</v>
      </c>
      <c r="O1" s="70">
        <f t="shared" si="0"/>
        <v>45297</v>
      </c>
      <c r="P1" s="70">
        <f t="shared" si="0"/>
        <v>45297</v>
      </c>
      <c r="Q1" s="70">
        <f t="shared" si="0"/>
        <v>45298</v>
      </c>
      <c r="R1" s="70">
        <f t="shared" si="0"/>
        <v>45298</v>
      </c>
      <c r="S1" s="70">
        <f t="shared" si="0"/>
        <v>45299</v>
      </c>
      <c r="T1" s="70">
        <f t="shared" si="0"/>
        <v>45299</v>
      </c>
      <c r="U1" s="70">
        <f t="shared" si="0"/>
        <v>45300</v>
      </c>
      <c r="V1" s="70">
        <f t="shared" si="0"/>
        <v>45300</v>
      </c>
      <c r="W1" s="70">
        <f t="shared" si="0"/>
        <v>45301</v>
      </c>
      <c r="X1" s="70">
        <f t="shared" si="0"/>
        <v>45301</v>
      </c>
      <c r="Y1" s="70">
        <f t="shared" si="0"/>
        <v>45302</v>
      </c>
      <c r="Z1" s="70">
        <f t="shared" si="0"/>
        <v>45302</v>
      </c>
      <c r="AA1" s="70">
        <f t="shared" si="0"/>
        <v>45303</v>
      </c>
      <c r="AB1" s="70">
        <f t="shared" si="0"/>
        <v>45303</v>
      </c>
      <c r="AC1" s="70">
        <f t="shared" si="0"/>
        <v>45304</v>
      </c>
      <c r="AD1" s="70">
        <f t="shared" si="0"/>
        <v>45304</v>
      </c>
      <c r="AE1" s="70">
        <f t="shared" si="0"/>
        <v>45305</v>
      </c>
      <c r="AF1" s="70">
        <f t="shared" si="0"/>
        <v>45305</v>
      </c>
      <c r="AG1" s="70">
        <f t="shared" si="0"/>
        <v>45306</v>
      </c>
      <c r="AH1" s="70">
        <f t="shared" si="0"/>
        <v>45306</v>
      </c>
      <c r="AI1" s="70">
        <f t="shared" si="0"/>
        <v>45307</v>
      </c>
      <c r="AJ1" s="70">
        <f t="shared" si="0"/>
        <v>45307</v>
      </c>
      <c r="AK1" s="70">
        <f t="shared" si="0"/>
        <v>45308</v>
      </c>
      <c r="AL1" s="70">
        <f t="shared" si="0"/>
        <v>45308</v>
      </c>
      <c r="AM1" s="70">
        <f t="shared" si="0"/>
        <v>45309</v>
      </c>
      <c r="AN1" s="70">
        <f t="shared" si="0"/>
        <v>45309</v>
      </c>
      <c r="AO1" s="70">
        <f t="shared" si="0"/>
        <v>45310</v>
      </c>
      <c r="AP1" s="70">
        <f t="shared" si="0"/>
        <v>45310</v>
      </c>
      <c r="AQ1" s="70">
        <f t="shared" si="0"/>
        <v>45311</v>
      </c>
      <c r="AR1" s="70">
        <f t="shared" si="0"/>
        <v>45311</v>
      </c>
      <c r="AS1" s="70">
        <f t="shared" si="0"/>
        <v>45312</v>
      </c>
      <c r="AT1" s="70">
        <f t="shared" si="0"/>
        <v>45312</v>
      </c>
      <c r="AU1" s="70">
        <f t="shared" si="0"/>
        <v>45313</v>
      </c>
      <c r="AV1" s="70">
        <f t="shared" si="0"/>
        <v>45313</v>
      </c>
      <c r="AW1" s="70">
        <f t="shared" si="0"/>
        <v>45314</v>
      </c>
      <c r="AX1" s="70">
        <f t="shared" si="0"/>
        <v>45314</v>
      </c>
      <c r="AY1" s="70">
        <f t="shared" si="0"/>
        <v>45315</v>
      </c>
      <c r="AZ1" s="70">
        <f t="shared" si="0"/>
        <v>45315</v>
      </c>
      <c r="BA1" s="70">
        <f t="shared" si="0"/>
        <v>45316</v>
      </c>
      <c r="BB1" s="70">
        <f t="shared" si="0"/>
        <v>45316</v>
      </c>
      <c r="BC1" s="70">
        <f t="shared" si="0"/>
        <v>45317</v>
      </c>
      <c r="BD1" s="70">
        <f t="shared" si="0"/>
        <v>45317</v>
      </c>
      <c r="BE1" s="70">
        <f t="shared" si="0"/>
        <v>45318</v>
      </c>
      <c r="BF1" s="70">
        <f t="shared" si="0"/>
        <v>45318</v>
      </c>
      <c r="BG1" s="70">
        <f t="shared" si="0"/>
        <v>45319</v>
      </c>
      <c r="BH1" s="70">
        <f t="shared" si="0"/>
        <v>45319</v>
      </c>
      <c r="BI1" s="70">
        <f t="shared" si="0"/>
        <v>45320</v>
      </c>
      <c r="BJ1" s="70">
        <f t="shared" si="0"/>
        <v>45320</v>
      </c>
      <c r="BK1" s="70">
        <f t="shared" si="0"/>
        <v>45321</v>
      </c>
      <c r="BL1" s="70">
        <f t="shared" si="0"/>
        <v>45321</v>
      </c>
      <c r="BM1" s="70">
        <f t="shared" si="0"/>
        <v>45322</v>
      </c>
      <c r="BN1" s="70">
        <f t="shared" si="0"/>
        <v>45322</v>
      </c>
      <c r="BO1" s="84" t="s">
        <v>33</v>
      </c>
      <c r="BP1" s="84" t="s">
        <v>33</v>
      </c>
      <c r="BQ1" s="84">
        <v>45323</v>
      </c>
      <c r="BR1" s="84">
        <v>45323</v>
      </c>
      <c r="BS1" s="84">
        <f t="shared" ref="BS1:BZ1" si="1">BQ1+1</f>
        <v>45324</v>
      </c>
      <c r="BT1" s="84">
        <f t="shared" si="1"/>
        <v>45324</v>
      </c>
      <c r="BU1" s="84">
        <f t="shared" si="1"/>
        <v>45325</v>
      </c>
      <c r="BV1" s="84">
        <f t="shared" si="1"/>
        <v>45325</v>
      </c>
      <c r="BW1" s="84">
        <f t="shared" si="1"/>
        <v>45326</v>
      </c>
      <c r="BX1" s="84">
        <f t="shared" si="1"/>
        <v>45326</v>
      </c>
      <c r="BY1" s="84">
        <f t="shared" si="1"/>
        <v>45327</v>
      </c>
      <c r="BZ1" s="84">
        <f t="shared" si="1"/>
        <v>45327</v>
      </c>
      <c r="CA1" s="84">
        <f t="shared" ref="CA1:DV1" si="2">BY1+1</f>
        <v>45328</v>
      </c>
      <c r="CB1" s="84">
        <f t="shared" si="2"/>
        <v>45328</v>
      </c>
      <c r="CC1" s="84">
        <f t="shared" si="2"/>
        <v>45329</v>
      </c>
      <c r="CD1" s="84">
        <f t="shared" si="2"/>
        <v>45329</v>
      </c>
      <c r="CE1" s="84">
        <f t="shared" si="2"/>
        <v>45330</v>
      </c>
      <c r="CF1" s="84">
        <f t="shared" si="2"/>
        <v>45330</v>
      </c>
      <c r="CG1" s="84">
        <f t="shared" si="2"/>
        <v>45331</v>
      </c>
      <c r="CH1" s="84">
        <f t="shared" si="2"/>
        <v>45331</v>
      </c>
      <c r="CI1" s="84">
        <f t="shared" si="2"/>
        <v>45332</v>
      </c>
      <c r="CJ1" s="84">
        <f t="shared" si="2"/>
        <v>45332</v>
      </c>
      <c r="CK1" s="84">
        <f t="shared" si="2"/>
        <v>45333</v>
      </c>
      <c r="CL1" s="84">
        <f t="shared" si="2"/>
        <v>45333</v>
      </c>
      <c r="CM1" s="84">
        <f t="shared" si="2"/>
        <v>45334</v>
      </c>
      <c r="CN1" s="84">
        <f t="shared" si="2"/>
        <v>45334</v>
      </c>
      <c r="CO1" s="84">
        <f t="shared" si="2"/>
        <v>45335</v>
      </c>
      <c r="CP1" s="84">
        <f t="shared" si="2"/>
        <v>45335</v>
      </c>
      <c r="CQ1" s="84">
        <f t="shared" si="2"/>
        <v>45336</v>
      </c>
      <c r="CR1" s="84">
        <f t="shared" si="2"/>
        <v>45336</v>
      </c>
      <c r="CS1" s="84">
        <f t="shared" si="2"/>
        <v>45337</v>
      </c>
      <c r="CT1" s="84">
        <f t="shared" si="2"/>
        <v>45337</v>
      </c>
      <c r="CU1" s="84">
        <f t="shared" si="2"/>
        <v>45338</v>
      </c>
      <c r="CV1" s="84">
        <f t="shared" si="2"/>
        <v>45338</v>
      </c>
      <c r="CW1" s="84">
        <f t="shared" si="2"/>
        <v>45339</v>
      </c>
      <c r="CX1" s="84">
        <f t="shared" si="2"/>
        <v>45339</v>
      </c>
      <c r="CY1" s="84">
        <f t="shared" si="2"/>
        <v>45340</v>
      </c>
      <c r="CZ1" s="84">
        <f t="shared" si="2"/>
        <v>45340</v>
      </c>
      <c r="DA1" s="84">
        <f t="shared" si="2"/>
        <v>45341</v>
      </c>
      <c r="DB1" s="84">
        <f t="shared" si="2"/>
        <v>45341</v>
      </c>
      <c r="DC1" s="84">
        <f t="shared" si="2"/>
        <v>45342</v>
      </c>
      <c r="DD1" s="84">
        <f t="shared" si="2"/>
        <v>45342</v>
      </c>
      <c r="DE1" s="84">
        <f t="shared" si="2"/>
        <v>45343</v>
      </c>
      <c r="DF1" s="84">
        <f t="shared" si="2"/>
        <v>45343</v>
      </c>
      <c r="DG1" s="84">
        <f t="shared" si="2"/>
        <v>45344</v>
      </c>
      <c r="DH1" s="84">
        <f t="shared" si="2"/>
        <v>45344</v>
      </c>
      <c r="DI1" s="84">
        <f t="shared" si="2"/>
        <v>45345</v>
      </c>
      <c r="DJ1" s="84">
        <f t="shared" si="2"/>
        <v>45345</v>
      </c>
      <c r="DK1" s="84">
        <f t="shared" si="2"/>
        <v>45346</v>
      </c>
      <c r="DL1" s="84">
        <f t="shared" si="2"/>
        <v>45346</v>
      </c>
      <c r="DM1" s="84">
        <f t="shared" si="2"/>
        <v>45347</v>
      </c>
      <c r="DN1" s="84">
        <f t="shared" si="2"/>
        <v>45347</v>
      </c>
      <c r="DO1" s="84">
        <f t="shared" si="2"/>
        <v>45348</v>
      </c>
      <c r="DP1" s="84">
        <f t="shared" si="2"/>
        <v>45348</v>
      </c>
      <c r="DQ1" s="84">
        <f t="shared" si="2"/>
        <v>45349</v>
      </c>
      <c r="DR1" s="84">
        <f t="shared" si="2"/>
        <v>45349</v>
      </c>
      <c r="DS1" s="84">
        <f t="shared" si="2"/>
        <v>45350</v>
      </c>
      <c r="DT1" s="84">
        <f t="shared" si="2"/>
        <v>45350</v>
      </c>
      <c r="DU1" s="84">
        <f t="shared" si="2"/>
        <v>45351</v>
      </c>
      <c r="DV1" s="84">
        <f t="shared" si="2"/>
        <v>45351</v>
      </c>
      <c r="DW1" s="84" t="s">
        <v>22</v>
      </c>
      <c r="DX1" s="84" t="s">
        <v>22</v>
      </c>
      <c r="DY1" s="84">
        <v>45352</v>
      </c>
      <c r="DZ1" s="84">
        <v>45352</v>
      </c>
      <c r="EA1" s="84">
        <f>DY1+1</f>
        <v>45353</v>
      </c>
      <c r="EB1" s="84">
        <f>DZ1+1</f>
        <v>45353</v>
      </c>
      <c r="EC1" s="84">
        <f t="shared" ref="EC1:GH1" si="3">EA1+1</f>
        <v>45354</v>
      </c>
      <c r="ED1" s="84">
        <f t="shared" si="3"/>
        <v>45354</v>
      </c>
      <c r="EE1" s="84">
        <f t="shared" si="3"/>
        <v>45355</v>
      </c>
      <c r="EF1" s="84">
        <f t="shared" si="3"/>
        <v>45355</v>
      </c>
      <c r="EG1" s="84">
        <f t="shared" si="3"/>
        <v>45356</v>
      </c>
      <c r="EH1" s="84">
        <f t="shared" si="3"/>
        <v>45356</v>
      </c>
      <c r="EI1" s="84">
        <f t="shared" si="3"/>
        <v>45357</v>
      </c>
      <c r="EJ1" s="84">
        <f t="shared" si="3"/>
        <v>45357</v>
      </c>
      <c r="EK1" s="84">
        <f t="shared" si="3"/>
        <v>45358</v>
      </c>
      <c r="EL1" s="84">
        <f t="shared" si="3"/>
        <v>45358</v>
      </c>
      <c r="EM1" s="84">
        <f t="shared" si="3"/>
        <v>45359</v>
      </c>
      <c r="EN1" s="84">
        <f t="shared" si="3"/>
        <v>45359</v>
      </c>
      <c r="EO1" s="84">
        <f t="shared" si="3"/>
        <v>45360</v>
      </c>
      <c r="EP1" s="84">
        <f t="shared" si="3"/>
        <v>45360</v>
      </c>
      <c r="EQ1" s="84">
        <f t="shared" si="3"/>
        <v>45361</v>
      </c>
      <c r="ER1" s="84">
        <f t="shared" si="3"/>
        <v>45361</v>
      </c>
      <c r="ES1" s="84">
        <f t="shared" si="3"/>
        <v>45362</v>
      </c>
      <c r="ET1" s="84">
        <f t="shared" si="3"/>
        <v>45362</v>
      </c>
      <c r="EU1" s="84">
        <f t="shared" si="3"/>
        <v>45363</v>
      </c>
      <c r="EV1" s="84">
        <f t="shared" si="3"/>
        <v>45363</v>
      </c>
      <c r="EW1" s="84">
        <f t="shared" si="3"/>
        <v>45364</v>
      </c>
      <c r="EX1" s="84">
        <f t="shared" si="3"/>
        <v>45364</v>
      </c>
      <c r="EY1" s="84">
        <f t="shared" si="3"/>
        <v>45365</v>
      </c>
      <c r="EZ1" s="84">
        <f t="shared" si="3"/>
        <v>45365</v>
      </c>
      <c r="FA1" s="84">
        <f t="shared" si="3"/>
        <v>45366</v>
      </c>
      <c r="FB1" s="84">
        <f t="shared" si="3"/>
        <v>45366</v>
      </c>
      <c r="FC1" s="84">
        <f t="shared" si="3"/>
        <v>45367</v>
      </c>
      <c r="FD1" s="84">
        <f t="shared" si="3"/>
        <v>45367</v>
      </c>
      <c r="FE1" s="84">
        <f t="shared" si="3"/>
        <v>45368</v>
      </c>
      <c r="FF1" s="84">
        <f t="shared" si="3"/>
        <v>45368</v>
      </c>
      <c r="FG1" s="84">
        <f t="shared" si="3"/>
        <v>45369</v>
      </c>
      <c r="FH1" s="84">
        <f t="shared" si="3"/>
        <v>45369</v>
      </c>
      <c r="FI1" s="84">
        <f t="shared" si="3"/>
        <v>45370</v>
      </c>
      <c r="FJ1" s="84">
        <f t="shared" si="3"/>
        <v>45370</v>
      </c>
      <c r="FK1" s="84">
        <f t="shared" si="3"/>
        <v>45371</v>
      </c>
      <c r="FL1" s="84">
        <f t="shared" si="3"/>
        <v>45371</v>
      </c>
      <c r="FM1" s="84">
        <f t="shared" si="3"/>
        <v>45372</v>
      </c>
      <c r="FN1" s="84">
        <f t="shared" si="3"/>
        <v>45372</v>
      </c>
      <c r="FO1" s="84">
        <f t="shared" si="3"/>
        <v>45373</v>
      </c>
      <c r="FP1" s="84">
        <f t="shared" si="3"/>
        <v>45373</v>
      </c>
      <c r="FQ1" s="84">
        <f t="shared" si="3"/>
        <v>45374</v>
      </c>
      <c r="FR1" s="84">
        <f t="shared" si="3"/>
        <v>45374</v>
      </c>
      <c r="FS1" s="84">
        <f t="shared" si="3"/>
        <v>45375</v>
      </c>
      <c r="FT1" s="84">
        <f t="shared" si="3"/>
        <v>45375</v>
      </c>
      <c r="FU1" s="84">
        <f t="shared" si="3"/>
        <v>45376</v>
      </c>
      <c r="FV1" s="84">
        <f t="shared" si="3"/>
        <v>45376</v>
      </c>
      <c r="FW1" s="84">
        <f t="shared" si="3"/>
        <v>45377</v>
      </c>
      <c r="FX1" s="84">
        <f t="shared" si="3"/>
        <v>45377</v>
      </c>
      <c r="FY1" s="84">
        <f t="shared" si="3"/>
        <v>45378</v>
      </c>
      <c r="FZ1" s="84">
        <f t="shared" si="3"/>
        <v>45378</v>
      </c>
      <c r="GA1" s="84">
        <f t="shared" si="3"/>
        <v>45379</v>
      </c>
      <c r="GB1" s="84">
        <f t="shared" si="3"/>
        <v>45379</v>
      </c>
      <c r="GC1" s="84">
        <f t="shared" si="3"/>
        <v>45380</v>
      </c>
      <c r="GD1" s="84">
        <f t="shared" si="3"/>
        <v>45380</v>
      </c>
      <c r="GE1" s="84">
        <f t="shared" si="3"/>
        <v>45381</v>
      </c>
      <c r="GF1" s="84">
        <f t="shared" si="3"/>
        <v>45381</v>
      </c>
      <c r="GG1" s="84">
        <f t="shared" si="3"/>
        <v>45382</v>
      </c>
      <c r="GH1" s="84">
        <f t="shared" si="3"/>
        <v>45382</v>
      </c>
      <c r="GI1" s="84" t="s">
        <v>23</v>
      </c>
      <c r="GJ1" s="84" t="s">
        <v>23</v>
      </c>
      <c r="GK1" s="84">
        <v>45383</v>
      </c>
      <c r="GL1" s="84">
        <v>45383</v>
      </c>
      <c r="GM1" s="84">
        <f t="shared" ref="GM1" si="4">GK1+1</f>
        <v>45384</v>
      </c>
      <c r="GN1" s="84">
        <f t="shared" ref="GN1" si="5">GL1+1</f>
        <v>45384</v>
      </c>
      <c r="GO1" s="84">
        <f t="shared" ref="GO1" si="6">GM1+1</f>
        <v>45385</v>
      </c>
      <c r="GP1" s="84">
        <f t="shared" ref="GP1" si="7">GN1+1</f>
        <v>45385</v>
      </c>
      <c r="GQ1" s="84">
        <f t="shared" ref="GQ1" si="8">GO1+1</f>
        <v>45386</v>
      </c>
      <c r="GR1" s="84">
        <f t="shared" ref="GR1" si="9">GP1+1</f>
        <v>45386</v>
      </c>
      <c r="GS1" s="84">
        <f t="shared" ref="GS1" si="10">GQ1+1</f>
        <v>45387</v>
      </c>
      <c r="GT1" s="84">
        <f t="shared" ref="GT1" si="11">GR1+1</f>
        <v>45387</v>
      </c>
      <c r="GU1" s="84">
        <f t="shared" ref="GU1" si="12">GS1+1</f>
        <v>45388</v>
      </c>
      <c r="GV1" s="84">
        <f t="shared" ref="GV1" si="13">GT1+1</f>
        <v>45388</v>
      </c>
      <c r="GW1" s="84">
        <f t="shared" ref="GW1" si="14">GU1+1</f>
        <v>45389</v>
      </c>
      <c r="GX1" s="84">
        <f t="shared" ref="GX1" si="15">GV1+1</f>
        <v>45389</v>
      </c>
      <c r="GY1" s="84">
        <f t="shared" ref="GY1" si="16">GW1+1</f>
        <v>45390</v>
      </c>
      <c r="GZ1" s="84">
        <f t="shared" ref="GZ1" si="17">GX1+1</f>
        <v>45390</v>
      </c>
      <c r="HA1" s="84">
        <f t="shared" ref="HA1" si="18">GY1+1</f>
        <v>45391</v>
      </c>
      <c r="HB1" s="84">
        <f t="shared" ref="HB1" si="19">GZ1+1</f>
        <v>45391</v>
      </c>
      <c r="HC1" s="84">
        <f t="shared" ref="HC1" si="20">HA1+1</f>
        <v>45392</v>
      </c>
      <c r="HD1" s="84">
        <f t="shared" ref="HD1" si="21">HB1+1</f>
        <v>45392</v>
      </c>
      <c r="HE1" s="84">
        <f t="shared" ref="HE1" si="22">HC1+1</f>
        <v>45393</v>
      </c>
      <c r="HF1" s="84">
        <f t="shared" ref="HF1" si="23">HD1+1</f>
        <v>45393</v>
      </c>
      <c r="HG1" s="84">
        <f t="shared" ref="HG1" si="24">HE1+1</f>
        <v>45394</v>
      </c>
      <c r="HH1" s="84">
        <f t="shared" ref="HH1" si="25">HF1+1</f>
        <v>45394</v>
      </c>
      <c r="HI1" s="84">
        <f t="shared" ref="HI1" si="26">HG1+1</f>
        <v>45395</v>
      </c>
      <c r="HJ1" s="84">
        <f t="shared" ref="HJ1" si="27">HH1+1</f>
        <v>45395</v>
      </c>
      <c r="HK1" s="84">
        <f t="shared" ref="HK1" si="28">HI1+1</f>
        <v>45396</v>
      </c>
      <c r="HL1" s="84">
        <f t="shared" ref="HL1" si="29">HJ1+1</f>
        <v>45396</v>
      </c>
      <c r="HM1" s="84">
        <f t="shared" ref="HM1" si="30">HK1+1</f>
        <v>45397</v>
      </c>
      <c r="HN1" s="84">
        <f t="shared" ref="HN1" si="31">HL1+1</f>
        <v>45397</v>
      </c>
      <c r="HO1" s="84">
        <f t="shared" ref="HO1" si="32">HM1+1</f>
        <v>45398</v>
      </c>
      <c r="HP1" s="84">
        <f t="shared" ref="HP1" si="33">HN1+1</f>
        <v>45398</v>
      </c>
      <c r="HQ1" s="84">
        <f t="shared" ref="HQ1" si="34">HO1+1</f>
        <v>45399</v>
      </c>
      <c r="HR1" s="84">
        <f t="shared" ref="HR1" si="35">HP1+1</f>
        <v>45399</v>
      </c>
      <c r="HS1" s="84">
        <f t="shared" ref="HS1" si="36">HQ1+1</f>
        <v>45400</v>
      </c>
      <c r="HT1" s="84">
        <f t="shared" ref="HT1" si="37">HR1+1</f>
        <v>45400</v>
      </c>
      <c r="HU1" s="84">
        <f t="shared" ref="HU1" si="38">HS1+1</f>
        <v>45401</v>
      </c>
      <c r="HV1" s="84">
        <f t="shared" ref="HV1" si="39">HT1+1</f>
        <v>45401</v>
      </c>
      <c r="HW1" s="84">
        <f t="shared" ref="HW1" si="40">HU1+1</f>
        <v>45402</v>
      </c>
      <c r="HX1" s="84">
        <f t="shared" ref="HX1" si="41">HV1+1</f>
        <v>45402</v>
      </c>
      <c r="HY1" s="84">
        <f t="shared" ref="HY1" si="42">HW1+1</f>
        <v>45403</v>
      </c>
      <c r="HZ1" s="84">
        <f t="shared" ref="HZ1" si="43">HX1+1</f>
        <v>45403</v>
      </c>
      <c r="IA1" s="84">
        <f t="shared" ref="IA1" si="44">HY1+1</f>
        <v>45404</v>
      </c>
      <c r="IB1" s="84">
        <f t="shared" ref="IB1" si="45">HZ1+1</f>
        <v>45404</v>
      </c>
      <c r="IC1" s="84">
        <f t="shared" ref="IC1" si="46">IA1+1</f>
        <v>45405</v>
      </c>
      <c r="ID1" s="84">
        <f t="shared" ref="ID1" si="47">IB1+1</f>
        <v>45405</v>
      </c>
      <c r="IE1" s="84">
        <f t="shared" ref="IE1" si="48">IC1+1</f>
        <v>45406</v>
      </c>
      <c r="IF1" s="84">
        <f t="shared" ref="IF1" si="49">ID1+1</f>
        <v>45406</v>
      </c>
      <c r="IG1" s="84">
        <f t="shared" ref="IG1" si="50">IE1+1</f>
        <v>45407</v>
      </c>
      <c r="IH1" s="84">
        <f t="shared" ref="IH1" si="51">IF1+1</f>
        <v>45407</v>
      </c>
      <c r="II1" s="84">
        <f t="shared" ref="II1" si="52">IG1+1</f>
        <v>45408</v>
      </c>
      <c r="IJ1" s="84">
        <f t="shared" ref="IJ1" si="53">IH1+1</f>
        <v>45408</v>
      </c>
      <c r="IK1" s="84">
        <f t="shared" ref="IK1" si="54">II1+1</f>
        <v>45409</v>
      </c>
      <c r="IL1" s="84">
        <f t="shared" ref="IL1" si="55">IJ1+1</f>
        <v>45409</v>
      </c>
      <c r="IM1" s="84">
        <f t="shared" ref="IM1" si="56">IK1+1</f>
        <v>45410</v>
      </c>
      <c r="IN1" s="84">
        <f t="shared" ref="IN1" si="57">IL1+1</f>
        <v>45410</v>
      </c>
      <c r="IO1" s="84">
        <f t="shared" ref="IO1" si="58">IM1+1</f>
        <v>45411</v>
      </c>
      <c r="IP1" s="84">
        <f t="shared" ref="IP1" si="59">IN1+1</f>
        <v>45411</v>
      </c>
      <c r="IQ1" s="84">
        <f t="shared" ref="IQ1" si="60">IO1+1</f>
        <v>45412</v>
      </c>
      <c r="IR1" s="84">
        <f t="shared" ref="IR1" si="61">IP1+1</f>
        <v>45412</v>
      </c>
      <c r="IS1" s="84" t="s">
        <v>24</v>
      </c>
      <c r="IT1" s="84" t="s">
        <v>24</v>
      </c>
      <c r="IU1" s="84">
        <v>45413</v>
      </c>
      <c r="IV1" s="84">
        <v>45413</v>
      </c>
      <c r="IW1" s="84">
        <f>IU1+1</f>
        <v>45414</v>
      </c>
      <c r="IX1" s="84">
        <f>IV1+1</f>
        <v>45414</v>
      </c>
      <c r="IY1" s="84">
        <f>IW1+1</f>
        <v>45415</v>
      </c>
      <c r="IZ1" s="84">
        <f>IX1+1</f>
        <v>45415</v>
      </c>
      <c r="JA1" s="84">
        <f t="shared" ref="JA1:LD1" si="62">IY1+1</f>
        <v>45416</v>
      </c>
      <c r="JB1" s="84">
        <f t="shared" si="62"/>
        <v>45416</v>
      </c>
      <c r="JC1" s="84">
        <f t="shared" si="62"/>
        <v>45417</v>
      </c>
      <c r="JD1" s="84">
        <f t="shared" si="62"/>
        <v>45417</v>
      </c>
      <c r="JE1" s="84">
        <f t="shared" si="62"/>
        <v>45418</v>
      </c>
      <c r="JF1" s="84">
        <f t="shared" si="62"/>
        <v>45418</v>
      </c>
      <c r="JG1" s="84">
        <f t="shared" si="62"/>
        <v>45419</v>
      </c>
      <c r="JH1" s="84">
        <f t="shared" si="62"/>
        <v>45419</v>
      </c>
      <c r="JI1" s="84">
        <f t="shared" si="62"/>
        <v>45420</v>
      </c>
      <c r="JJ1" s="84">
        <f t="shared" si="62"/>
        <v>45420</v>
      </c>
      <c r="JK1" s="84">
        <f t="shared" si="62"/>
        <v>45421</v>
      </c>
      <c r="JL1" s="84">
        <f t="shared" si="62"/>
        <v>45421</v>
      </c>
      <c r="JM1" s="84">
        <f t="shared" si="62"/>
        <v>45422</v>
      </c>
      <c r="JN1" s="84">
        <f t="shared" si="62"/>
        <v>45422</v>
      </c>
      <c r="JO1" s="84">
        <f t="shared" si="62"/>
        <v>45423</v>
      </c>
      <c r="JP1" s="84">
        <f t="shared" si="62"/>
        <v>45423</v>
      </c>
      <c r="JQ1" s="84">
        <f t="shared" si="62"/>
        <v>45424</v>
      </c>
      <c r="JR1" s="84">
        <f t="shared" si="62"/>
        <v>45424</v>
      </c>
      <c r="JS1" s="84">
        <f t="shared" si="62"/>
        <v>45425</v>
      </c>
      <c r="JT1" s="84">
        <f t="shared" si="62"/>
        <v>45425</v>
      </c>
      <c r="JU1" s="84">
        <f t="shared" si="62"/>
        <v>45426</v>
      </c>
      <c r="JV1" s="84">
        <f t="shared" si="62"/>
        <v>45426</v>
      </c>
      <c r="JW1" s="84">
        <f t="shared" si="62"/>
        <v>45427</v>
      </c>
      <c r="JX1" s="84">
        <f t="shared" si="62"/>
        <v>45427</v>
      </c>
      <c r="JY1" s="84">
        <f t="shared" si="62"/>
        <v>45428</v>
      </c>
      <c r="JZ1" s="84">
        <f t="shared" si="62"/>
        <v>45428</v>
      </c>
      <c r="KA1" s="84">
        <f t="shared" si="62"/>
        <v>45429</v>
      </c>
      <c r="KB1" s="84">
        <f t="shared" si="62"/>
        <v>45429</v>
      </c>
      <c r="KC1" s="84">
        <f t="shared" si="62"/>
        <v>45430</v>
      </c>
      <c r="KD1" s="84">
        <f t="shared" si="62"/>
        <v>45430</v>
      </c>
      <c r="KE1" s="84">
        <f t="shared" si="62"/>
        <v>45431</v>
      </c>
      <c r="KF1" s="84">
        <f t="shared" si="62"/>
        <v>45431</v>
      </c>
      <c r="KG1" s="84">
        <f t="shared" si="62"/>
        <v>45432</v>
      </c>
      <c r="KH1" s="84">
        <f t="shared" si="62"/>
        <v>45432</v>
      </c>
      <c r="KI1" s="84">
        <f t="shared" si="62"/>
        <v>45433</v>
      </c>
      <c r="KJ1" s="84">
        <f t="shared" si="62"/>
        <v>45433</v>
      </c>
      <c r="KK1" s="84">
        <f t="shared" si="62"/>
        <v>45434</v>
      </c>
      <c r="KL1" s="84">
        <f t="shared" si="62"/>
        <v>45434</v>
      </c>
      <c r="KM1" s="84">
        <f t="shared" si="62"/>
        <v>45435</v>
      </c>
      <c r="KN1" s="84">
        <f t="shared" si="62"/>
        <v>45435</v>
      </c>
      <c r="KO1" s="84">
        <f t="shared" si="62"/>
        <v>45436</v>
      </c>
      <c r="KP1" s="84">
        <f t="shared" si="62"/>
        <v>45436</v>
      </c>
      <c r="KQ1" s="84">
        <f t="shared" si="62"/>
        <v>45437</v>
      </c>
      <c r="KR1" s="84">
        <f t="shared" si="62"/>
        <v>45437</v>
      </c>
      <c r="KS1" s="84">
        <f t="shared" si="62"/>
        <v>45438</v>
      </c>
      <c r="KT1" s="84">
        <f t="shared" si="62"/>
        <v>45438</v>
      </c>
      <c r="KU1" s="84">
        <f t="shared" si="62"/>
        <v>45439</v>
      </c>
      <c r="KV1" s="84">
        <f t="shared" si="62"/>
        <v>45439</v>
      </c>
      <c r="KW1" s="84">
        <f t="shared" si="62"/>
        <v>45440</v>
      </c>
      <c r="KX1" s="84">
        <f t="shared" si="62"/>
        <v>45440</v>
      </c>
      <c r="KY1" s="84">
        <f t="shared" si="62"/>
        <v>45441</v>
      </c>
      <c r="KZ1" s="84">
        <f t="shared" si="62"/>
        <v>45441</v>
      </c>
      <c r="LA1" s="84">
        <f t="shared" si="62"/>
        <v>45442</v>
      </c>
      <c r="LB1" s="84">
        <f t="shared" si="62"/>
        <v>45442</v>
      </c>
      <c r="LC1" s="84">
        <f t="shared" si="62"/>
        <v>45443</v>
      </c>
      <c r="LD1" s="84">
        <f t="shared" si="62"/>
        <v>45443</v>
      </c>
      <c r="LE1" s="84" t="s">
        <v>25</v>
      </c>
      <c r="LF1" s="84" t="s">
        <v>25</v>
      </c>
      <c r="LG1" s="84">
        <v>45444</v>
      </c>
      <c r="LH1" s="84">
        <v>45444</v>
      </c>
      <c r="LI1" s="84">
        <f>LG1+1</f>
        <v>45445</v>
      </c>
      <c r="LJ1" s="84">
        <f>LH1+1</f>
        <v>45445</v>
      </c>
      <c r="LK1" s="84">
        <f t="shared" ref="LK1:NN1" si="63">LI1+1</f>
        <v>45446</v>
      </c>
      <c r="LL1" s="84">
        <f t="shared" si="63"/>
        <v>45446</v>
      </c>
      <c r="LM1" s="84">
        <f t="shared" si="63"/>
        <v>45447</v>
      </c>
      <c r="LN1" s="84">
        <f t="shared" si="63"/>
        <v>45447</v>
      </c>
      <c r="LO1" s="84">
        <f t="shared" si="63"/>
        <v>45448</v>
      </c>
      <c r="LP1" s="84">
        <f t="shared" si="63"/>
        <v>45448</v>
      </c>
      <c r="LQ1" s="84">
        <f t="shared" si="63"/>
        <v>45449</v>
      </c>
      <c r="LR1" s="84">
        <f t="shared" si="63"/>
        <v>45449</v>
      </c>
      <c r="LS1" s="84">
        <f t="shared" si="63"/>
        <v>45450</v>
      </c>
      <c r="LT1" s="84">
        <f t="shared" si="63"/>
        <v>45450</v>
      </c>
      <c r="LU1" s="84">
        <f t="shared" si="63"/>
        <v>45451</v>
      </c>
      <c r="LV1" s="84">
        <f t="shared" si="63"/>
        <v>45451</v>
      </c>
      <c r="LW1" s="84">
        <f t="shared" si="63"/>
        <v>45452</v>
      </c>
      <c r="LX1" s="84">
        <f t="shared" si="63"/>
        <v>45452</v>
      </c>
      <c r="LY1" s="84">
        <f t="shared" si="63"/>
        <v>45453</v>
      </c>
      <c r="LZ1" s="84">
        <f t="shared" si="63"/>
        <v>45453</v>
      </c>
      <c r="MA1" s="84">
        <f t="shared" si="63"/>
        <v>45454</v>
      </c>
      <c r="MB1" s="84">
        <f t="shared" si="63"/>
        <v>45454</v>
      </c>
      <c r="MC1" s="84">
        <f t="shared" si="63"/>
        <v>45455</v>
      </c>
      <c r="MD1" s="84">
        <f t="shared" si="63"/>
        <v>45455</v>
      </c>
      <c r="ME1" s="84">
        <f t="shared" si="63"/>
        <v>45456</v>
      </c>
      <c r="MF1" s="84">
        <f t="shared" si="63"/>
        <v>45456</v>
      </c>
      <c r="MG1" s="84">
        <f t="shared" si="63"/>
        <v>45457</v>
      </c>
      <c r="MH1" s="84">
        <f t="shared" si="63"/>
        <v>45457</v>
      </c>
      <c r="MI1" s="84">
        <f t="shared" si="63"/>
        <v>45458</v>
      </c>
      <c r="MJ1" s="84">
        <f t="shared" si="63"/>
        <v>45458</v>
      </c>
      <c r="MK1" s="84">
        <f t="shared" si="63"/>
        <v>45459</v>
      </c>
      <c r="ML1" s="84">
        <f t="shared" si="63"/>
        <v>45459</v>
      </c>
      <c r="MM1" s="84">
        <f t="shared" si="63"/>
        <v>45460</v>
      </c>
      <c r="MN1" s="84">
        <f t="shared" si="63"/>
        <v>45460</v>
      </c>
      <c r="MO1" s="84">
        <f t="shared" si="63"/>
        <v>45461</v>
      </c>
      <c r="MP1" s="84">
        <f t="shared" si="63"/>
        <v>45461</v>
      </c>
      <c r="MQ1" s="84">
        <f t="shared" si="63"/>
        <v>45462</v>
      </c>
      <c r="MR1" s="84">
        <f t="shared" si="63"/>
        <v>45462</v>
      </c>
      <c r="MS1" s="84">
        <f t="shared" si="63"/>
        <v>45463</v>
      </c>
      <c r="MT1" s="84">
        <f t="shared" si="63"/>
        <v>45463</v>
      </c>
      <c r="MU1" s="84">
        <f t="shared" si="63"/>
        <v>45464</v>
      </c>
      <c r="MV1" s="84">
        <f t="shared" si="63"/>
        <v>45464</v>
      </c>
      <c r="MW1" s="84">
        <f t="shared" si="63"/>
        <v>45465</v>
      </c>
      <c r="MX1" s="84">
        <f t="shared" si="63"/>
        <v>45465</v>
      </c>
      <c r="MY1" s="84">
        <f t="shared" si="63"/>
        <v>45466</v>
      </c>
      <c r="MZ1" s="84">
        <f t="shared" si="63"/>
        <v>45466</v>
      </c>
      <c r="NA1" s="84">
        <f t="shared" si="63"/>
        <v>45467</v>
      </c>
      <c r="NB1" s="84">
        <f t="shared" si="63"/>
        <v>45467</v>
      </c>
      <c r="NC1" s="84">
        <f t="shared" si="63"/>
        <v>45468</v>
      </c>
      <c r="ND1" s="84">
        <f t="shared" si="63"/>
        <v>45468</v>
      </c>
      <c r="NE1" s="84">
        <f t="shared" si="63"/>
        <v>45469</v>
      </c>
      <c r="NF1" s="84">
        <f t="shared" si="63"/>
        <v>45469</v>
      </c>
      <c r="NG1" s="84">
        <f t="shared" si="63"/>
        <v>45470</v>
      </c>
      <c r="NH1" s="84">
        <f t="shared" si="63"/>
        <v>45470</v>
      </c>
      <c r="NI1" s="84">
        <f t="shared" si="63"/>
        <v>45471</v>
      </c>
      <c r="NJ1" s="84">
        <f t="shared" si="63"/>
        <v>45471</v>
      </c>
      <c r="NK1" s="84">
        <f t="shared" si="63"/>
        <v>45472</v>
      </c>
      <c r="NL1" s="84">
        <f t="shared" si="63"/>
        <v>45472</v>
      </c>
      <c r="NM1" s="84">
        <f t="shared" si="63"/>
        <v>45473</v>
      </c>
      <c r="NN1" s="84">
        <f t="shared" si="63"/>
        <v>45473</v>
      </c>
      <c r="NO1" s="84" t="s">
        <v>26</v>
      </c>
      <c r="NP1" s="84" t="s">
        <v>26</v>
      </c>
      <c r="NQ1" s="84">
        <v>45474</v>
      </c>
      <c r="NR1" s="84">
        <v>45474</v>
      </c>
      <c r="NS1" s="84">
        <f>NQ1+1</f>
        <v>45475</v>
      </c>
      <c r="NT1" s="84">
        <f>NR1+1</f>
        <v>45475</v>
      </c>
      <c r="NU1" s="84">
        <f t="shared" ref="NU1:PZ1" si="64">NS1+1</f>
        <v>45476</v>
      </c>
      <c r="NV1" s="84">
        <f t="shared" si="64"/>
        <v>45476</v>
      </c>
      <c r="NW1" s="84">
        <f t="shared" si="64"/>
        <v>45477</v>
      </c>
      <c r="NX1" s="84">
        <f t="shared" si="64"/>
        <v>45477</v>
      </c>
      <c r="NY1" s="84">
        <f t="shared" si="64"/>
        <v>45478</v>
      </c>
      <c r="NZ1" s="84">
        <f t="shared" si="64"/>
        <v>45478</v>
      </c>
      <c r="OA1" s="84">
        <f t="shared" si="64"/>
        <v>45479</v>
      </c>
      <c r="OB1" s="84">
        <f t="shared" si="64"/>
        <v>45479</v>
      </c>
      <c r="OC1" s="84">
        <f t="shared" si="64"/>
        <v>45480</v>
      </c>
      <c r="OD1" s="84">
        <f t="shared" si="64"/>
        <v>45480</v>
      </c>
      <c r="OE1" s="84">
        <f t="shared" si="64"/>
        <v>45481</v>
      </c>
      <c r="OF1" s="84">
        <f t="shared" si="64"/>
        <v>45481</v>
      </c>
      <c r="OG1" s="84">
        <f t="shared" si="64"/>
        <v>45482</v>
      </c>
      <c r="OH1" s="84">
        <f t="shared" si="64"/>
        <v>45482</v>
      </c>
      <c r="OI1" s="84">
        <f t="shared" si="64"/>
        <v>45483</v>
      </c>
      <c r="OJ1" s="84">
        <f t="shared" si="64"/>
        <v>45483</v>
      </c>
      <c r="OK1" s="84">
        <f t="shared" si="64"/>
        <v>45484</v>
      </c>
      <c r="OL1" s="84">
        <f t="shared" si="64"/>
        <v>45484</v>
      </c>
      <c r="OM1" s="84">
        <f t="shared" si="64"/>
        <v>45485</v>
      </c>
      <c r="ON1" s="84">
        <f t="shared" si="64"/>
        <v>45485</v>
      </c>
      <c r="OO1" s="84">
        <f t="shared" si="64"/>
        <v>45486</v>
      </c>
      <c r="OP1" s="84">
        <f t="shared" si="64"/>
        <v>45486</v>
      </c>
      <c r="OQ1" s="84">
        <f t="shared" si="64"/>
        <v>45487</v>
      </c>
      <c r="OR1" s="84">
        <f t="shared" si="64"/>
        <v>45487</v>
      </c>
      <c r="OS1" s="84">
        <f t="shared" si="64"/>
        <v>45488</v>
      </c>
      <c r="OT1" s="84">
        <f t="shared" si="64"/>
        <v>45488</v>
      </c>
      <c r="OU1" s="84">
        <f t="shared" si="64"/>
        <v>45489</v>
      </c>
      <c r="OV1" s="84">
        <f t="shared" si="64"/>
        <v>45489</v>
      </c>
      <c r="OW1" s="84">
        <f t="shared" si="64"/>
        <v>45490</v>
      </c>
      <c r="OX1" s="84">
        <f t="shared" si="64"/>
        <v>45490</v>
      </c>
      <c r="OY1" s="84">
        <f t="shared" si="64"/>
        <v>45491</v>
      </c>
      <c r="OZ1" s="84">
        <f t="shared" si="64"/>
        <v>45491</v>
      </c>
      <c r="PA1" s="84">
        <f t="shared" si="64"/>
        <v>45492</v>
      </c>
      <c r="PB1" s="84">
        <f t="shared" si="64"/>
        <v>45492</v>
      </c>
      <c r="PC1" s="84">
        <f t="shared" si="64"/>
        <v>45493</v>
      </c>
      <c r="PD1" s="84">
        <f t="shared" si="64"/>
        <v>45493</v>
      </c>
      <c r="PE1" s="84">
        <f t="shared" si="64"/>
        <v>45494</v>
      </c>
      <c r="PF1" s="84">
        <f t="shared" si="64"/>
        <v>45494</v>
      </c>
      <c r="PG1" s="84">
        <f t="shared" si="64"/>
        <v>45495</v>
      </c>
      <c r="PH1" s="84">
        <f t="shared" si="64"/>
        <v>45495</v>
      </c>
      <c r="PI1" s="84">
        <f t="shared" si="64"/>
        <v>45496</v>
      </c>
      <c r="PJ1" s="84">
        <f t="shared" si="64"/>
        <v>45496</v>
      </c>
      <c r="PK1" s="84">
        <f t="shared" si="64"/>
        <v>45497</v>
      </c>
      <c r="PL1" s="84">
        <f t="shared" si="64"/>
        <v>45497</v>
      </c>
      <c r="PM1" s="84">
        <f t="shared" si="64"/>
        <v>45498</v>
      </c>
      <c r="PN1" s="84">
        <f t="shared" si="64"/>
        <v>45498</v>
      </c>
      <c r="PO1" s="84">
        <f t="shared" si="64"/>
        <v>45499</v>
      </c>
      <c r="PP1" s="84">
        <f t="shared" si="64"/>
        <v>45499</v>
      </c>
      <c r="PQ1" s="84">
        <f t="shared" si="64"/>
        <v>45500</v>
      </c>
      <c r="PR1" s="84">
        <f t="shared" si="64"/>
        <v>45500</v>
      </c>
      <c r="PS1" s="84">
        <f t="shared" si="64"/>
        <v>45501</v>
      </c>
      <c r="PT1" s="84">
        <f t="shared" si="64"/>
        <v>45501</v>
      </c>
      <c r="PU1" s="84">
        <f t="shared" si="64"/>
        <v>45502</v>
      </c>
      <c r="PV1" s="84">
        <f t="shared" si="64"/>
        <v>45502</v>
      </c>
      <c r="PW1" s="84">
        <f t="shared" si="64"/>
        <v>45503</v>
      </c>
      <c r="PX1" s="84">
        <f t="shared" si="64"/>
        <v>45503</v>
      </c>
      <c r="PY1" s="84">
        <f t="shared" si="64"/>
        <v>45504</v>
      </c>
      <c r="PZ1" s="84">
        <f t="shared" si="64"/>
        <v>45504</v>
      </c>
      <c r="QA1" s="84" t="s">
        <v>27</v>
      </c>
      <c r="QB1" s="84" t="s">
        <v>27</v>
      </c>
      <c r="QC1" s="84">
        <v>45505</v>
      </c>
      <c r="QD1" s="84">
        <v>45505</v>
      </c>
      <c r="QE1" s="84">
        <f>QC1+1</f>
        <v>45506</v>
      </c>
      <c r="QF1" s="84">
        <f>QD1+1</f>
        <v>45506</v>
      </c>
      <c r="QG1" s="84">
        <f t="shared" ref="QG1:SL1" si="65">QE1+1</f>
        <v>45507</v>
      </c>
      <c r="QH1" s="84">
        <f t="shared" si="65"/>
        <v>45507</v>
      </c>
      <c r="QI1" s="84">
        <f t="shared" si="65"/>
        <v>45508</v>
      </c>
      <c r="QJ1" s="84">
        <f t="shared" si="65"/>
        <v>45508</v>
      </c>
      <c r="QK1" s="84">
        <f t="shared" si="65"/>
        <v>45509</v>
      </c>
      <c r="QL1" s="84">
        <f t="shared" si="65"/>
        <v>45509</v>
      </c>
      <c r="QM1" s="84">
        <f t="shared" si="65"/>
        <v>45510</v>
      </c>
      <c r="QN1" s="84">
        <f t="shared" si="65"/>
        <v>45510</v>
      </c>
      <c r="QO1" s="84">
        <f t="shared" si="65"/>
        <v>45511</v>
      </c>
      <c r="QP1" s="84">
        <f t="shared" si="65"/>
        <v>45511</v>
      </c>
      <c r="QQ1" s="84">
        <f t="shared" si="65"/>
        <v>45512</v>
      </c>
      <c r="QR1" s="84">
        <f t="shared" si="65"/>
        <v>45512</v>
      </c>
      <c r="QS1" s="84">
        <f t="shared" si="65"/>
        <v>45513</v>
      </c>
      <c r="QT1" s="84">
        <f t="shared" si="65"/>
        <v>45513</v>
      </c>
      <c r="QU1" s="84">
        <f t="shared" si="65"/>
        <v>45514</v>
      </c>
      <c r="QV1" s="84">
        <f t="shared" si="65"/>
        <v>45514</v>
      </c>
      <c r="QW1" s="84">
        <f t="shared" si="65"/>
        <v>45515</v>
      </c>
      <c r="QX1" s="84">
        <f t="shared" si="65"/>
        <v>45515</v>
      </c>
      <c r="QY1" s="84">
        <f t="shared" si="65"/>
        <v>45516</v>
      </c>
      <c r="QZ1" s="84">
        <f t="shared" si="65"/>
        <v>45516</v>
      </c>
      <c r="RA1" s="84">
        <f t="shared" si="65"/>
        <v>45517</v>
      </c>
      <c r="RB1" s="84">
        <f t="shared" si="65"/>
        <v>45517</v>
      </c>
      <c r="RC1" s="84">
        <f t="shared" si="65"/>
        <v>45518</v>
      </c>
      <c r="RD1" s="84">
        <f t="shared" si="65"/>
        <v>45518</v>
      </c>
      <c r="RE1" s="84">
        <f t="shared" si="65"/>
        <v>45519</v>
      </c>
      <c r="RF1" s="84">
        <f t="shared" si="65"/>
        <v>45519</v>
      </c>
      <c r="RG1" s="84">
        <f t="shared" si="65"/>
        <v>45520</v>
      </c>
      <c r="RH1" s="84">
        <f t="shared" si="65"/>
        <v>45520</v>
      </c>
      <c r="RI1" s="84">
        <f t="shared" si="65"/>
        <v>45521</v>
      </c>
      <c r="RJ1" s="84">
        <f t="shared" si="65"/>
        <v>45521</v>
      </c>
      <c r="RK1" s="84">
        <f t="shared" si="65"/>
        <v>45522</v>
      </c>
      <c r="RL1" s="84">
        <f t="shared" si="65"/>
        <v>45522</v>
      </c>
      <c r="RM1" s="84">
        <f t="shared" si="65"/>
        <v>45523</v>
      </c>
      <c r="RN1" s="84">
        <f t="shared" si="65"/>
        <v>45523</v>
      </c>
      <c r="RO1" s="84">
        <f t="shared" si="65"/>
        <v>45524</v>
      </c>
      <c r="RP1" s="84">
        <f t="shared" si="65"/>
        <v>45524</v>
      </c>
      <c r="RQ1" s="84">
        <f t="shared" si="65"/>
        <v>45525</v>
      </c>
      <c r="RR1" s="84">
        <f t="shared" si="65"/>
        <v>45525</v>
      </c>
      <c r="RS1" s="84">
        <f t="shared" si="65"/>
        <v>45526</v>
      </c>
      <c r="RT1" s="84">
        <f t="shared" si="65"/>
        <v>45526</v>
      </c>
      <c r="RU1" s="84">
        <f t="shared" si="65"/>
        <v>45527</v>
      </c>
      <c r="RV1" s="84">
        <f t="shared" si="65"/>
        <v>45527</v>
      </c>
      <c r="RW1" s="84">
        <f t="shared" si="65"/>
        <v>45528</v>
      </c>
      <c r="RX1" s="84">
        <f t="shared" si="65"/>
        <v>45528</v>
      </c>
      <c r="RY1" s="84">
        <f t="shared" si="65"/>
        <v>45529</v>
      </c>
      <c r="RZ1" s="84">
        <f t="shared" si="65"/>
        <v>45529</v>
      </c>
      <c r="SA1" s="84">
        <f t="shared" si="65"/>
        <v>45530</v>
      </c>
      <c r="SB1" s="84">
        <f t="shared" si="65"/>
        <v>45530</v>
      </c>
      <c r="SC1" s="84">
        <f t="shared" si="65"/>
        <v>45531</v>
      </c>
      <c r="SD1" s="84">
        <f t="shared" si="65"/>
        <v>45531</v>
      </c>
      <c r="SE1" s="84">
        <f t="shared" si="65"/>
        <v>45532</v>
      </c>
      <c r="SF1" s="84">
        <f t="shared" si="65"/>
        <v>45532</v>
      </c>
      <c r="SG1" s="84">
        <f t="shared" si="65"/>
        <v>45533</v>
      </c>
      <c r="SH1" s="84">
        <f t="shared" si="65"/>
        <v>45533</v>
      </c>
      <c r="SI1" s="84">
        <f t="shared" si="65"/>
        <v>45534</v>
      </c>
      <c r="SJ1" s="84">
        <f t="shared" si="65"/>
        <v>45534</v>
      </c>
      <c r="SK1" s="84">
        <f t="shared" si="65"/>
        <v>45535</v>
      </c>
      <c r="SL1" s="84">
        <f t="shared" si="65"/>
        <v>45535</v>
      </c>
      <c r="SM1" s="84" t="s">
        <v>28</v>
      </c>
      <c r="SN1" s="84" t="s">
        <v>28</v>
      </c>
      <c r="SO1" s="84">
        <v>45536</v>
      </c>
      <c r="SP1" s="84">
        <v>45536</v>
      </c>
      <c r="SQ1" s="84">
        <f>SO1+1</f>
        <v>45537</v>
      </c>
      <c r="SR1" s="84">
        <f>SP1+1</f>
        <v>45537</v>
      </c>
      <c r="SS1" s="84">
        <f t="shared" ref="SS1:UV1" si="66">SQ1+1</f>
        <v>45538</v>
      </c>
      <c r="ST1" s="84">
        <f t="shared" si="66"/>
        <v>45538</v>
      </c>
      <c r="SU1" s="84">
        <f t="shared" si="66"/>
        <v>45539</v>
      </c>
      <c r="SV1" s="84">
        <f t="shared" si="66"/>
        <v>45539</v>
      </c>
      <c r="SW1" s="84">
        <f t="shared" si="66"/>
        <v>45540</v>
      </c>
      <c r="SX1" s="84">
        <f t="shared" si="66"/>
        <v>45540</v>
      </c>
      <c r="SY1" s="84">
        <f t="shared" si="66"/>
        <v>45541</v>
      </c>
      <c r="SZ1" s="84">
        <f t="shared" si="66"/>
        <v>45541</v>
      </c>
      <c r="TA1" s="84">
        <f t="shared" si="66"/>
        <v>45542</v>
      </c>
      <c r="TB1" s="84">
        <f t="shared" si="66"/>
        <v>45542</v>
      </c>
      <c r="TC1" s="84">
        <f t="shared" si="66"/>
        <v>45543</v>
      </c>
      <c r="TD1" s="84">
        <f t="shared" si="66"/>
        <v>45543</v>
      </c>
      <c r="TE1" s="84">
        <f t="shared" si="66"/>
        <v>45544</v>
      </c>
      <c r="TF1" s="84">
        <f t="shared" si="66"/>
        <v>45544</v>
      </c>
      <c r="TG1" s="84">
        <f t="shared" si="66"/>
        <v>45545</v>
      </c>
      <c r="TH1" s="84">
        <f t="shared" si="66"/>
        <v>45545</v>
      </c>
      <c r="TI1" s="84">
        <f t="shared" si="66"/>
        <v>45546</v>
      </c>
      <c r="TJ1" s="84">
        <f t="shared" si="66"/>
        <v>45546</v>
      </c>
      <c r="TK1" s="84">
        <f t="shared" si="66"/>
        <v>45547</v>
      </c>
      <c r="TL1" s="84">
        <f t="shared" si="66"/>
        <v>45547</v>
      </c>
      <c r="TM1" s="84">
        <f t="shared" si="66"/>
        <v>45548</v>
      </c>
      <c r="TN1" s="84">
        <f t="shared" si="66"/>
        <v>45548</v>
      </c>
      <c r="TO1" s="84">
        <f t="shared" si="66"/>
        <v>45549</v>
      </c>
      <c r="TP1" s="84">
        <f t="shared" si="66"/>
        <v>45549</v>
      </c>
      <c r="TQ1" s="84">
        <f t="shared" si="66"/>
        <v>45550</v>
      </c>
      <c r="TR1" s="84">
        <f t="shared" si="66"/>
        <v>45550</v>
      </c>
      <c r="TS1" s="84">
        <f t="shared" si="66"/>
        <v>45551</v>
      </c>
      <c r="TT1" s="84">
        <f t="shared" si="66"/>
        <v>45551</v>
      </c>
      <c r="TU1" s="84">
        <f t="shared" si="66"/>
        <v>45552</v>
      </c>
      <c r="TV1" s="84">
        <f t="shared" si="66"/>
        <v>45552</v>
      </c>
      <c r="TW1" s="84">
        <f t="shared" si="66"/>
        <v>45553</v>
      </c>
      <c r="TX1" s="84">
        <f t="shared" si="66"/>
        <v>45553</v>
      </c>
      <c r="TY1" s="84">
        <f t="shared" si="66"/>
        <v>45554</v>
      </c>
      <c r="TZ1" s="84">
        <f t="shared" si="66"/>
        <v>45554</v>
      </c>
      <c r="UA1" s="84">
        <f t="shared" si="66"/>
        <v>45555</v>
      </c>
      <c r="UB1" s="84">
        <f t="shared" si="66"/>
        <v>45555</v>
      </c>
      <c r="UC1" s="84">
        <f t="shared" si="66"/>
        <v>45556</v>
      </c>
      <c r="UD1" s="84">
        <f t="shared" si="66"/>
        <v>45556</v>
      </c>
      <c r="UE1" s="84">
        <f t="shared" si="66"/>
        <v>45557</v>
      </c>
      <c r="UF1" s="84">
        <f t="shared" si="66"/>
        <v>45557</v>
      </c>
      <c r="UG1" s="84">
        <f t="shared" si="66"/>
        <v>45558</v>
      </c>
      <c r="UH1" s="84">
        <f t="shared" si="66"/>
        <v>45558</v>
      </c>
      <c r="UI1" s="84">
        <f t="shared" si="66"/>
        <v>45559</v>
      </c>
      <c r="UJ1" s="84">
        <f t="shared" si="66"/>
        <v>45559</v>
      </c>
      <c r="UK1" s="84">
        <f t="shared" si="66"/>
        <v>45560</v>
      </c>
      <c r="UL1" s="84">
        <f t="shared" si="66"/>
        <v>45560</v>
      </c>
      <c r="UM1" s="84">
        <f t="shared" si="66"/>
        <v>45561</v>
      </c>
      <c r="UN1" s="84">
        <f t="shared" si="66"/>
        <v>45561</v>
      </c>
      <c r="UO1" s="84">
        <f t="shared" si="66"/>
        <v>45562</v>
      </c>
      <c r="UP1" s="84">
        <f t="shared" si="66"/>
        <v>45562</v>
      </c>
      <c r="UQ1" s="84">
        <f t="shared" si="66"/>
        <v>45563</v>
      </c>
      <c r="UR1" s="84">
        <f t="shared" si="66"/>
        <v>45563</v>
      </c>
      <c r="US1" s="84">
        <f t="shared" si="66"/>
        <v>45564</v>
      </c>
      <c r="UT1" s="84">
        <f t="shared" si="66"/>
        <v>45564</v>
      </c>
      <c r="UU1" s="84">
        <f t="shared" si="66"/>
        <v>45565</v>
      </c>
      <c r="UV1" s="84">
        <f t="shared" si="66"/>
        <v>45565</v>
      </c>
      <c r="UW1" s="84" t="s">
        <v>29</v>
      </c>
      <c r="UX1" s="84" t="s">
        <v>29</v>
      </c>
      <c r="UY1" s="84">
        <v>45566</v>
      </c>
      <c r="UZ1" s="84">
        <v>45566</v>
      </c>
      <c r="VA1" s="84">
        <f>UY1+1</f>
        <v>45567</v>
      </c>
      <c r="VB1" s="84">
        <f>UZ1+1</f>
        <v>45567</v>
      </c>
      <c r="VC1" s="84">
        <f t="shared" ref="VC1:XH1" si="67">VA1+1</f>
        <v>45568</v>
      </c>
      <c r="VD1" s="84">
        <f t="shared" si="67"/>
        <v>45568</v>
      </c>
      <c r="VE1" s="84">
        <f t="shared" si="67"/>
        <v>45569</v>
      </c>
      <c r="VF1" s="84">
        <f t="shared" si="67"/>
        <v>45569</v>
      </c>
      <c r="VG1" s="84">
        <f t="shared" si="67"/>
        <v>45570</v>
      </c>
      <c r="VH1" s="84">
        <f t="shared" si="67"/>
        <v>45570</v>
      </c>
      <c r="VI1" s="84">
        <f t="shared" si="67"/>
        <v>45571</v>
      </c>
      <c r="VJ1" s="84">
        <f t="shared" si="67"/>
        <v>45571</v>
      </c>
      <c r="VK1" s="84">
        <f t="shared" si="67"/>
        <v>45572</v>
      </c>
      <c r="VL1" s="84">
        <f t="shared" si="67"/>
        <v>45572</v>
      </c>
      <c r="VM1" s="84">
        <f t="shared" si="67"/>
        <v>45573</v>
      </c>
      <c r="VN1" s="84">
        <f t="shared" si="67"/>
        <v>45573</v>
      </c>
      <c r="VO1" s="84">
        <f t="shared" si="67"/>
        <v>45574</v>
      </c>
      <c r="VP1" s="84">
        <f t="shared" si="67"/>
        <v>45574</v>
      </c>
      <c r="VQ1" s="84">
        <f t="shared" si="67"/>
        <v>45575</v>
      </c>
      <c r="VR1" s="84">
        <f t="shared" si="67"/>
        <v>45575</v>
      </c>
      <c r="VS1" s="84">
        <f t="shared" si="67"/>
        <v>45576</v>
      </c>
      <c r="VT1" s="84">
        <f t="shared" si="67"/>
        <v>45576</v>
      </c>
      <c r="VU1" s="84">
        <f t="shared" si="67"/>
        <v>45577</v>
      </c>
      <c r="VV1" s="84">
        <f t="shared" si="67"/>
        <v>45577</v>
      </c>
      <c r="VW1" s="84">
        <f t="shared" si="67"/>
        <v>45578</v>
      </c>
      <c r="VX1" s="84">
        <f t="shared" si="67"/>
        <v>45578</v>
      </c>
      <c r="VY1" s="84">
        <f t="shared" si="67"/>
        <v>45579</v>
      </c>
      <c r="VZ1" s="84">
        <f t="shared" si="67"/>
        <v>45579</v>
      </c>
      <c r="WA1" s="84">
        <f t="shared" si="67"/>
        <v>45580</v>
      </c>
      <c r="WB1" s="84">
        <f t="shared" si="67"/>
        <v>45580</v>
      </c>
      <c r="WC1" s="84">
        <f t="shared" si="67"/>
        <v>45581</v>
      </c>
      <c r="WD1" s="84">
        <f t="shared" si="67"/>
        <v>45581</v>
      </c>
      <c r="WE1" s="84">
        <f t="shared" si="67"/>
        <v>45582</v>
      </c>
      <c r="WF1" s="84">
        <f t="shared" si="67"/>
        <v>45582</v>
      </c>
      <c r="WG1" s="84">
        <f t="shared" si="67"/>
        <v>45583</v>
      </c>
      <c r="WH1" s="84">
        <f t="shared" si="67"/>
        <v>45583</v>
      </c>
      <c r="WI1" s="84">
        <f t="shared" si="67"/>
        <v>45584</v>
      </c>
      <c r="WJ1" s="84">
        <f t="shared" si="67"/>
        <v>45584</v>
      </c>
      <c r="WK1" s="84">
        <f t="shared" si="67"/>
        <v>45585</v>
      </c>
      <c r="WL1" s="84">
        <f t="shared" si="67"/>
        <v>45585</v>
      </c>
      <c r="WM1" s="84">
        <f t="shared" si="67"/>
        <v>45586</v>
      </c>
      <c r="WN1" s="84">
        <f t="shared" si="67"/>
        <v>45586</v>
      </c>
      <c r="WO1" s="84">
        <f t="shared" si="67"/>
        <v>45587</v>
      </c>
      <c r="WP1" s="84">
        <f t="shared" si="67"/>
        <v>45587</v>
      </c>
      <c r="WQ1" s="84">
        <f t="shared" si="67"/>
        <v>45588</v>
      </c>
      <c r="WR1" s="84">
        <f t="shared" si="67"/>
        <v>45588</v>
      </c>
      <c r="WS1" s="84">
        <f t="shared" si="67"/>
        <v>45589</v>
      </c>
      <c r="WT1" s="84">
        <f t="shared" si="67"/>
        <v>45589</v>
      </c>
      <c r="WU1" s="84">
        <f t="shared" si="67"/>
        <v>45590</v>
      </c>
      <c r="WV1" s="84">
        <f t="shared" si="67"/>
        <v>45590</v>
      </c>
      <c r="WW1" s="84">
        <f t="shared" si="67"/>
        <v>45591</v>
      </c>
      <c r="WX1" s="84">
        <f t="shared" si="67"/>
        <v>45591</v>
      </c>
      <c r="WY1" s="84">
        <f t="shared" si="67"/>
        <v>45592</v>
      </c>
      <c r="WZ1" s="84">
        <f t="shared" si="67"/>
        <v>45592</v>
      </c>
      <c r="XA1" s="84">
        <f t="shared" si="67"/>
        <v>45593</v>
      </c>
      <c r="XB1" s="84">
        <f t="shared" si="67"/>
        <v>45593</v>
      </c>
      <c r="XC1" s="84">
        <f t="shared" si="67"/>
        <v>45594</v>
      </c>
      <c r="XD1" s="84">
        <f t="shared" si="67"/>
        <v>45594</v>
      </c>
      <c r="XE1" s="84">
        <f t="shared" si="67"/>
        <v>45595</v>
      </c>
      <c r="XF1" s="84">
        <f t="shared" si="67"/>
        <v>45595</v>
      </c>
      <c r="XG1" s="84">
        <f t="shared" si="67"/>
        <v>45596</v>
      </c>
      <c r="XH1" s="84">
        <f t="shared" si="67"/>
        <v>45596</v>
      </c>
      <c r="XI1" s="84" t="s">
        <v>30</v>
      </c>
      <c r="XJ1" s="84" t="s">
        <v>30</v>
      </c>
      <c r="XK1" s="84">
        <v>45597</v>
      </c>
      <c r="XL1" s="84">
        <v>45597</v>
      </c>
      <c r="XM1" s="84">
        <f>XK1+1</f>
        <v>45598</v>
      </c>
      <c r="XN1" s="84">
        <f>XL1+1</f>
        <v>45598</v>
      </c>
      <c r="XO1" s="84">
        <f t="shared" ref="XO1:ZR1" si="68">XM1+1</f>
        <v>45599</v>
      </c>
      <c r="XP1" s="84">
        <f t="shared" si="68"/>
        <v>45599</v>
      </c>
      <c r="XQ1" s="84">
        <f t="shared" si="68"/>
        <v>45600</v>
      </c>
      <c r="XR1" s="84">
        <f t="shared" si="68"/>
        <v>45600</v>
      </c>
      <c r="XS1" s="84">
        <f t="shared" si="68"/>
        <v>45601</v>
      </c>
      <c r="XT1" s="84">
        <f t="shared" si="68"/>
        <v>45601</v>
      </c>
      <c r="XU1" s="84">
        <f t="shared" si="68"/>
        <v>45602</v>
      </c>
      <c r="XV1" s="84">
        <f t="shared" si="68"/>
        <v>45602</v>
      </c>
      <c r="XW1" s="84">
        <f t="shared" si="68"/>
        <v>45603</v>
      </c>
      <c r="XX1" s="84">
        <f t="shared" si="68"/>
        <v>45603</v>
      </c>
      <c r="XY1" s="84">
        <f t="shared" si="68"/>
        <v>45604</v>
      </c>
      <c r="XZ1" s="84">
        <f t="shared" si="68"/>
        <v>45604</v>
      </c>
      <c r="YA1" s="84">
        <f t="shared" si="68"/>
        <v>45605</v>
      </c>
      <c r="YB1" s="84">
        <f t="shared" si="68"/>
        <v>45605</v>
      </c>
      <c r="YC1" s="84">
        <f t="shared" si="68"/>
        <v>45606</v>
      </c>
      <c r="YD1" s="84">
        <f t="shared" si="68"/>
        <v>45606</v>
      </c>
      <c r="YE1" s="84">
        <f t="shared" si="68"/>
        <v>45607</v>
      </c>
      <c r="YF1" s="84">
        <f t="shared" si="68"/>
        <v>45607</v>
      </c>
      <c r="YG1" s="84">
        <f t="shared" si="68"/>
        <v>45608</v>
      </c>
      <c r="YH1" s="84">
        <f t="shared" si="68"/>
        <v>45608</v>
      </c>
      <c r="YI1" s="84">
        <f t="shared" si="68"/>
        <v>45609</v>
      </c>
      <c r="YJ1" s="84">
        <f t="shared" si="68"/>
        <v>45609</v>
      </c>
      <c r="YK1" s="84">
        <f t="shared" si="68"/>
        <v>45610</v>
      </c>
      <c r="YL1" s="84">
        <f t="shared" si="68"/>
        <v>45610</v>
      </c>
      <c r="YM1" s="84">
        <f t="shared" si="68"/>
        <v>45611</v>
      </c>
      <c r="YN1" s="84">
        <f t="shared" si="68"/>
        <v>45611</v>
      </c>
      <c r="YO1" s="84">
        <f t="shared" si="68"/>
        <v>45612</v>
      </c>
      <c r="YP1" s="84">
        <f t="shared" si="68"/>
        <v>45612</v>
      </c>
      <c r="YQ1" s="84">
        <f t="shared" si="68"/>
        <v>45613</v>
      </c>
      <c r="YR1" s="84">
        <f t="shared" si="68"/>
        <v>45613</v>
      </c>
      <c r="YS1" s="84">
        <f t="shared" si="68"/>
        <v>45614</v>
      </c>
      <c r="YT1" s="84">
        <f t="shared" si="68"/>
        <v>45614</v>
      </c>
      <c r="YU1" s="84">
        <f t="shared" si="68"/>
        <v>45615</v>
      </c>
      <c r="YV1" s="84">
        <f t="shared" si="68"/>
        <v>45615</v>
      </c>
      <c r="YW1" s="84">
        <f t="shared" si="68"/>
        <v>45616</v>
      </c>
      <c r="YX1" s="84">
        <f t="shared" si="68"/>
        <v>45616</v>
      </c>
      <c r="YY1" s="84">
        <f t="shared" si="68"/>
        <v>45617</v>
      </c>
      <c r="YZ1" s="84">
        <f t="shared" si="68"/>
        <v>45617</v>
      </c>
      <c r="ZA1" s="84">
        <f t="shared" si="68"/>
        <v>45618</v>
      </c>
      <c r="ZB1" s="84">
        <f t="shared" si="68"/>
        <v>45618</v>
      </c>
      <c r="ZC1" s="84">
        <f t="shared" si="68"/>
        <v>45619</v>
      </c>
      <c r="ZD1" s="84">
        <f t="shared" si="68"/>
        <v>45619</v>
      </c>
      <c r="ZE1" s="84">
        <f t="shared" si="68"/>
        <v>45620</v>
      </c>
      <c r="ZF1" s="84">
        <f t="shared" si="68"/>
        <v>45620</v>
      </c>
      <c r="ZG1" s="84">
        <f t="shared" si="68"/>
        <v>45621</v>
      </c>
      <c r="ZH1" s="84">
        <f t="shared" si="68"/>
        <v>45621</v>
      </c>
      <c r="ZI1" s="84">
        <f t="shared" si="68"/>
        <v>45622</v>
      </c>
      <c r="ZJ1" s="84">
        <f t="shared" si="68"/>
        <v>45622</v>
      </c>
      <c r="ZK1" s="84">
        <f t="shared" si="68"/>
        <v>45623</v>
      </c>
      <c r="ZL1" s="84">
        <f t="shared" si="68"/>
        <v>45623</v>
      </c>
      <c r="ZM1" s="84">
        <f t="shared" si="68"/>
        <v>45624</v>
      </c>
      <c r="ZN1" s="84">
        <f t="shared" si="68"/>
        <v>45624</v>
      </c>
      <c r="ZO1" s="84">
        <f t="shared" si="68"/>
        <v>45625</v>
      </c>
      <c r="ZP1" s="84">
        <f t="shared" si="68"/>
        <v>45625</v>
      </c>
      <c r="ZQ1" s="84">
        <f t="shared" si="68"/>
        <v>45626</v>
      </c>
      <c r="ZR1" s="84">
        <f t="shared" si="68"/>
        <v>45626</v>
      </c>
      <c r="ZS1" s="84" t="s">
        <v>31</v>
      </c>
      <c r="ZT1" s="84" t="s">
        <v>31</v>
      </c>
      <c r="ZU1" s="84">
        <v>45627</v>
      </c>
      <c r="ZV1" s="84">
        <v>45627</v>
      </c>
      <c r="ZW1" s="84">
        <f>ZU1+1</f>
        <v>45628</v>
      </c>
      <c r="ZX1" s="84">
        <f>ZV1+1</f>
        <v>45628</v>
      </c>
      <c r="ZY1" s="84">
        <f t="shared" ref="ZY1:ACD1" si="69">ZW1+1</f>
        <v>45629</v>
      </c>
      <c r="ZZ1" s="84">
        <f t="shared" si="69"/>
        <v>45629</v>
      </c>
      <c r="AAA1" s="84">
        <f t="shared" si="69"/>
        <v>45630</v>
      </c>
      <c r="AAB1" s="84">
        <f t="shared" si="69"/>
        <v>45630</v>
      </c>
      <c r="AAC1" s="84">
        <f t="shared" si="69"/>
        <v>45631</v>
      </c>
      <c r="AAD1" s="84">
        <f t="shared" si="69"/>
        <v>45631</v>
      </c>
      <c r="AAE1" s="84">
        <f t="shared" si="69"/>
        <v>45632</v>
      </c>
      <c r="AAF1" s="84">
        <f t="shared" si="69"/>
        <v>45632</v>
      </c>
      <c r="AAG1" s="84">
        <f t="shared" si="69"/>
        <v>45633</v>
      </c>
      <c r="AAH1" s="84">
        <f t="shared" si="69"/>
        <v>45633</v>
      </c>
      <c r="AAI1" s="84">
        <f t="shared" si="69"/>
        <v>45634</v>
      </c>
      <c r="AAJ1" s="84">
        <f t="shared" si="69"/>
        <v>45634</v>
      </c>
      <c r="AAK1" s="84">
        <f t="shared" si="69"/>
        <v>45635</v>
      </c>
      <c r="AAL1" s="84">
        <f t="shared" si="69"/>
        <v>45635</v>
      </c>
      <c r="AAM1" s="84">
        <f t="shared" si="69"/>
        <v>45636</v>
      </c>
      <c r="AAN1" s="84">
        <f t="shared" si="69"/>
        <v>45636</v>
      </c>
      <c r="AAO1" s="84">
        <f t="shared" si="69"/>
        <v>45637</v>
      </c>
      <c r="AAP1" s="84">
        <f t="shared" si="69"/>
        <v>45637</v>
      </c>
      <c r="AAQ1" s="84">
        <f t="shared" si="69"/>
        <v>45638</v>
      </c>
      <c r="AAR1" s="84">
        <f t="shared" si="69"/>
        <v>45638</v>
      </c>
      <c r="AAS1" s="84">
        <f t="shared" si="69"/>
        <v>45639</v>
      </c>
      <c r="AAT1" s="84">
        <f t="shared" si="69"/>
        <v>45639</v>
      </c>
      <c r="AAU1" s="84">
        <f t="shared" si="69"/>
        <v>45640</v>
      </c>
      <c r="AAV1" s="84">
        <f t="shared" si="69"/>
        <v>45640</v>
      </c>
      <c r="AAW1" s="84">
        <f t="shared" si="69"/>
        <v>45641</v>
      </c>
      <c r="AAX1" s="84">
        <f t="shared" si="69"/>
        <v>45641</v>
      </c>
      <c r="AAY1" s="84">
        <f t="shared" si="69"/>
        <v>45642</v>
      </c>
      <c r="AAZ1" s="84">
        <f t="shared" si="69"/>
        <v>45642</v>
      </c>
      <c r="ABA1" s="84">
        <f t="shared" si="69"/>
        <v>45643</v>
      </c>
      <c r="ABB1" s="84">
        <f t="shared" si="69"/>
        <v>45643</v>
      </c>
      <c r="ABC1" s="84">
        <f t="shared" si="69"/>
        <v>45644</v>
      </c>
      <c r="ABD1" s="84">
        <f t="shared" si="69"/>
        <v>45644</v>
      </c>
      <c r="ABE1" s="84">
        <f t="shared" si="69"/>
        <v>45645</v>
      </c>
      <c r="ABF1" s="84">
        <f t="shared" si="69"/>
        <v>45645</v>
      </c>
      <c r="ABG1" s="84">
        <f t="shared" si="69"/>
        <v>45646</v>
      </c>
      <c r="ABH1" s="84">
        <f t="shared" si="69"/>
        <v>45646</v>
      </c>
      <c r="ABI1" s="84">
        <f t="shared" si="69"/>
        <v>45647</v>
      </c>
      <c r="ABJ1" s="84">
        <f t="shared" si="69"/>
        <v>45647</v>
      </c>
      <c r="ABK1" s="84">
        <f t="shared" si="69"/>
        <v>45648</v>
      </c>
      <c r="ABL1" s="84">
        <f t="shared" si="69"/>
        <v>45648</v>
      </c>
      <c r="ABM1" s="84">
        <f t="shared" si="69"/>
        <v>45649</v>
      </c>
      <c r="ABN1" s="84">
        <f t="shared" si="69"/>
        <v>45649</v>
      </c>
      <c r="ABO1" s="84">
        <f t="shared" si="69"/>
        <v>45650</v>
      </c>
      <c r="ABP1" s="84">
        <f t="shared" si="69"/>
        <v>45650</v>
      </c>
      <c r="ABQ1" s="84">
        <f t="shared" si="69"/>
        <v>45651</v>
      </c>
      <c r="ABR1" s="84">
        <f t="shared" si="69"/>
        <v>45651</v>
      </c>
      <c r="ABS1" s="84">
        <f t="shared" si="69"/>
        <v>45652</v>
      </c>
      <c r="ABT1" s="84">
        <f t="shared" si="69"/>
        <v>45652</v>
      </c>
      <c r="ABU1" s="84">
        <f t="shared" si="69"/>
        <v>45653</v>
      </c>
      <c r="ABV1" s="84">
        <f t="shared" si="69"/>
        <v>45653</v>
      </c>
      <c r="ABW1" s="84">
        <f t="shared" si="69"/>
        <v>45654</v>
      </c>
      <c r="ABX1" s="84">
        <f t="shared" si="69"/>
        <v>45654</v>
      </c>
      <c r="ABY1" s="84">
        <f t="shared" si="69"/>
        <v>45655</v>
      </c>
      <c r="ABZ1" s="84">
        <f t="shared" si="69"/>
        <v>45655</v>
      </c>
      <c r="ACA1" s="84">
        <f t="shared" si="69"/>
        <v>45656</v>
      </c>
      <c r="ACB1" s="84">
        <f t="shared" si="69"/>
        <v>45656</v>
      </c>
      <c r="ACC1" s="84">
        <f t="shared" si="69"/>
        <v>45657</v>
      </c>
      <c r="ACD1" s="84">
        <f t="shared" si="69"/>
        <v>45657</v>
      </c>
      <c r="ACE1" s="84" t="s">
        <v>32</v>
      </c>
      <c r="ACF1" s="84" t="s">
        <v>32</v>
      </c>
      <c r="ACG1" s="84" t="s">
        <v>38</v>
      </c>
      <c r="ACH1" s="84" t="s">
        <v>38</v>
      </c>
      <c r="ACI1" s="71" t="s">
        <v>37</v>
      </c>
      <c r="ACJ1" s="71" t="s">
        <v>37</v>
      </c>
    </row>
    <row r="2" spans="1:764" ht="15.75" thickBot="1" x14ac:dyDescent="0.3">
      <c r="A2" s="146"/>
      <c r="B2" s="148"/>
      <c r="C2" s="150"/>
      <c r="D2" s="160"/>
      <c r="E2" s="47" t="s">
        <v>127</v>
      </c>
      <c r="F2" s="1" t="s">
        <v>128</v>
      </c>
      <c r="G2" s="1" t="s">
        <v>127</v>
      </c>
      <c r="H2" s="1" t="s">
        <v>128</v>
      </c>
      <c r="I2" s="1" t="s">
        <v>127</v>
      </c>
      <c r="J2" s="1" t="s">
        <v>128</v>
      </c>
      <c r="K2" s="1" t="s">
        <v>127</v>
      </c>
      <c r="L2" s="1" t="s">
        <v>128</v>
      </c>
      <c r="M2" s="1" t="s">
        <v>127</v>
      </c>
      <c r="N2" s="1" t="s">
        <v>128</v>
      </c>
      <c r="O2" s="1" t="s">
        <v>127</v>
      </c>
      <c r="P2" s="1" t="s">
        <v>128</v>
      </c>
      <c r="Q2" s="1" t="s">
        <v>127</v>
      </c>
      <c r="R2" s="1" t="s">
        <v>128</v>
      </c>
      <c r="S2" s="1" t="s">
        <v>127</v>
      </c>
      <c r="T2" s="1" t="s">
        <v>128</v>
      </c>
      <c r="U2" s="1" t="s">
        <v>127</v>
      </c>
      <c r="V2" s="1" t="s">
        <v>128</v>
      </c>
      <c r="W2" s="1" t="s">
        <v>127</v>
      </c>
      <c r="X2" s="1" t="s">
        <v>128</v>
      </c>
      <c r="Y2" s="1" t="s">
        <v>127</v>
      </c>
      <c r="Z2" s="1" t="s">
        <v>128</v>
      </c>
      <c r="AA2" s="1" t="s">
        <v>127</v>
      </c>
      <c r="AB2" s="1" t="s">
        <v>128</v>
      </c>
      <c r="AC2" s="1" t="s">
        <v>127</v>
      </c>
      <c r="AD2" s="1" t="s">
        <v>128</v>
      </c>
      <c r="AE2" s="1" t="s">
        <v>127</v>
      </c>
      <c r="AF2" s="1" t="s">
        <v>128</v>
      </c>
      <c r="AG2" s="1" t="s">
        <v>127</v>
      </c>
      <c r="AH2" s="1" t="s">
        <v>128</v>
      </c>
      <c r="AI2" s="1" t="s">
        <v>127</v>
      </c>
      <c r="AJ2" s="1" t="s">
        <v>128</v>
      </c>
      <c r="AK2" s="1" t="s">
        <v>127</v>
      </c>
      <c r="AL2" s="1" t="s">
        <v>128</v>
      </c>
      <c r="AM2" s="1" t="s">
        <v>127</v>
      </c>
      <c r="AN2" s="1" t="s">
        <v>128</v>
      </c>
      <c r="AO2" s="1" t="s">
        <v>127</v>
      </c>
      <c r="AP2" s="1" t="s">
        <v>128</v>
      </c>
      <c r="AQ2" s="1" t="s">
        <v>127</v>
      </c>
      <c r="AR2" s="1" t="s">
        <v>128</v>
      </c>
      <c r="AS2" s="1" t="s">
        <v>127</v>
      </c>
      <c r="AT2" s="1" t="s">
        <v>128</v>
      </c>
      <c r="AU2" s="1" t="s">
        <v>127</v>
      </c>
      <c r="AV2" s="1" t="s">
        <v>128</v>
      </c>
      <c r="AW2" s="1" t="s">
        <v>127</v>
      </c>
      <c r="AX2" s="1" t="s">
        <v>128</v>
      </c>
      <c r="AY2" s="1" t="s">
        <v>127</v>
      </c>
      <c r="AZ2" s="1" t="s">
        <v>128</v>
      </c>
      <c r="BA2" s="1" t="s">
        <v>127</v>
      </c>
      <c r="BB2" s="1" t="s">
        <v>128</v>
      </c>
      <c r="BC2" s="1" t="s">
        <v>127</v>
      </c>
      <c r="BD2" s="1" t="s">
        <v>128</v>
      </c>
      <c r="BE2" s="1" t="s">
        <v>127</v>
      </c>
      <c r="BF2" s="1" t="s">
        <v>128</v>
      </c>
      <c r="BG2" s="1" t="s">
        <v>127</v>
      </c>
      <c r="BH2" s="1" t="s">
        <v>128</v>
      </c>
      <c r="BI2" s="1" t="s">
        <v>127</v>
      </c>
      <c r="BJ2" s="1" t="s">
        <v>128</v>
      </c>
      <c r="BK2" s="1" t="s">
        <v>127</v>
      </c>
      <c r="BL2" s="1" t="s">
        <v>128</v>
      </c>
      <c r="BM2" s="1" t="s">
        <v>127</v>
      </c>
      <c r="BN2" s="1" t="s">
        <v>128</v>
      </c>
      <c r="BO2" s="41" t="s">
        <v>127</v>
      </c>
      <c r="BP2" s="41" t="s">
        <v>128</v>
      </c>
      <c r="BQ2" s="41" t="s">
        <v>127</v>
      </c>
      <c r="BR2" s="41" t="s">
        <v>128</v>
      </c>
      <c r="BS2" s="41" t="s">
        <v>127</v>
      </c>
      <c r="BT2" s="41" t="s">
        <v>128</v>
      </c>
      <c r="BU2" s="41" t="s">
        <v>127</v>
      </c>
      <c r="BV2" s="41" t="s">
        <v>128</v>
      </c>
      <c r="BW2" s="41" t="s">
        <v>127</v>
      </c>
      <c r="BX2" s="41" t="s">
        <v>128</v>
      </c>
      <c r="BY2" s="41" t="s">
        <v>127</v>
      </c>
      <c r="BZ2" s="41" t="s">
        <v>128</v>
      </c>
      <c r="CA2" s="41" t="s">
        <v>127</v>
      </c>
      <c r="CB2" s="41" t="s">
        <v>128</v>
      </c>
      <c r="CC2" s="41" t="s">
        <v>127</v>
      </c>
      <c r="CD2" s="41" t="s">
        <v>128</v>
      </c>
      <c r="CE2" s="41" t="s">
        <v>127</v>
      </c>
      <c r="CF2" s="41" t="s">
        <v>128</v>
      </c>
      <c r="CG2" s="41" t="s">
        <v>127</v>
      </c>
      <c r="CH2" s="41" t="s">
        <v>128</v>
      </c>
      <c r="CI2" s="41" t="s">
        <v>127</v>
      </c>
      <c r="CJ2" s="41" t="s">
        <v>128</v>
      </c>
      <c r="CK2" s="41" t="s">
        <v>127</v>
      </c>
      <c r="CL2" s="41" t="s">
        <v>128</v>
      </c>
      <c r="CM2" s="41" t="s">
        <v>127</v>
      </c>
      <c r="CN2" s="41" t="s">
        <v>128</v>
      </c>
      <c r="CO2" s="41" t="s">
        <v>127</v>
      </c>
      <c r="CP2" s="41" t="s">
        <v>128</v>
      </c>
      <c r="CQ2" s="41" t="s">
        <v>127</v>
      </c>
      <c r="CR2" s="41" t="s">
        <v>128</v>
      </c>
      <c r="CS2" s="41" t="s">
        <v>127</v>
      </c>
      <c r="CT2" s="41" t="s">
        <v>128</v>
      </c>
      <c r="CU2" s="41" t="s">
        <v>127</v>
      </c>
      <c r="CV2" s="41" t="s">
        <v>128</v>
      </c>
      <c r="CW2" s="41" t="s">
        <v>127</v>
      </c>
      <c r="CX2" s="41" t="s">
        <v>128</v>
      </c>
      <c r="CY2" s="41" t="s">
        <v>127</v>
      </c>
      <c r="CZ2" s="41" t="s">
        <v>128</v>
      </c>
      <c r="DA2" s="41" t="s">
        <v>127</v>
      </c>
      <c r="DB2" s="41" t="s">
        <v>128</v>
      </c>
      <c r="DC2" s="41" t="s">
        <v>127</v>
      </c>
      <c r="DD2" s="41" t="s">
        <v>128</v>
      </c>
      <c r="DE2" s="41" t="s">
        <v>127</v>
      </c>
      <c r="DF2" s="41" t="s">
        <v>128</v>
      </c>
      <c r="DG2" s="41" t="s">
        <v>127</v>
      </c>
      <c r="DH2" s="41" t="s">
        <v>128</v>
      </c>
      <c r="DI2" s="41" t="s">
        <v>127</v>
      </c>
      <c r="DJ2" s="41" t="s">
        <v>128</v>
      </c>
      <c r="DK2" s="41" t="s">
        <v>127</v>
      </c>
      <c r="DL2" s="41" t="s">
        <v>128</v>
      </c>
      <c r="DM2" s="41" t="s">
        <v>127</v>
      </c>
      <c r="DN2" s="41" t="s">
        <v>128</v>
      </c>
      <c r="DO2" s="41" t="s">
        <v>127</v>
      </c>
      <c r="DP2" s="41" t="s">
        <v>128</v>
      </c>
      <c r="DQ2" s="41" t="s">
        <v>127</v>
      </c>
      <c r="DR2" s="41" t="s">
        <v>128</v>
      </c>
      <c r="DS2" s="41" t="s">
        <v>127</v>
      </c>
      <c r="DT2" s="41" t="s">
        <v>128</v>
      </c>
      <c r="DU2" s="41" t="s">
        <v>127</v>
      </c>
      <c r="DV2" s="41" t="s">
        <v>128</v>
      </c>
      <c r="DW2" s="41" t="s">
        <v>127</v>
      </c>
      <c r="DX2" s="41" t="s">
        <v>128</v>
      </c>
      <c r="DY2" s="41" t="s">
        <v>127</v>
      </c>
      <c r="DZ2" s="41" t="s">
        <v>128</v>
      </c>
      <c r="EA2" s="41" t="s">
        <v>127</v>
      </c>
      <c r="EB2" s="41" t="s">
        <v>128</v>
      </c>
      <c r="EC2" s="41" t="s">
        <v>127</v>
      </c>
      <c r="ED2" s="41" t="s">
        <v>128</v>
      </c>
      <c r="EE2" s="41" t="s">
        <v>127</v>
      </c>
      <c r="EF2" s="41" t="s">
        <v>128</v>
      </c>
      <c r="EG2" s="41" t="s">
        <v>127</v>
      </c>
      <c r="EH2" s="41" t="s">
        <v>128</v>
      </c>
      <c r="EI2" s="41" t="s">
        <v>127</v>
      </c>
      <c r="EJ2" s="41" t="s">
        <v>128</v>
      </c>
      <c r="EK2" s="41" t="s">
        <v>127</v>
      </c>
      <c r="EL2" s="41" t="s">
        <v>128</v>
      </c>
      <c r="EM2" s="41" t="s">
        <v>127</v>
      </c>
      <c r="EN2" s="41" t="s">
        <v>128</v>
      </c>
      <c r="EO2" s="41" t="s">
        <v>127</v>
      </c>
      <c r="EP2" s="41" t="s">
        <v>128</v>
      </c>
      <c r="EQ2" s="41" t="s">
        <v>127</v>
      </c>
      <c r="ER2" s="41" t="s">
        <v>128</v>
      </c>
      <c r="ES2" s="41" t="s">
        <v>127</v>
      </c>
      <c r="ET2" s="41" t="s">
        <v>128</v>
      </c>
      <c r="EU2" s="41" t="s">
        <v>127</v>
      </c>
      <c r="EV2" s="41" t="s">
        <v>128</v>
      </c>
      <c r="EW2" s="41" t="s">
        <v>127</v>
      </c>
      <c r="EX2" s="41" t="s">
        <v>128</v>
      </c>
      <c r="EY2" s="41" t="s">
        <v>127</v>
      </c>
      <c r="EZ2" s="41" t="s">
        <v>128</v>
      </c>
      <c r="FA2" s="41" t="s">
        <v>127</v>
      </c>
      <c r="FB2" s="41" t="s">
        <v>128</v>
      </c>
      <c r="FC2" s="41" t="s">
        <v>127</v>
      </c>
      <c r="FD2" s="41" t="s">
        <v>128</v>
      </c>
      <c r="FE2" s="41" t="s">
        <v>127</v>
      </c>
      <c r="FF2" s="41" t="s">
        <v>128</v>
      </c>
      <c r="FG2" s="41" t="s">
        <v>127</v>
      </c>
      <c r="FH2" s="41" t="s">
        <v>128</v>
      </c>
      <c r="FI2" s="41" t="s">
        <v>127</v>
      </c>
      <c r="FJ2" s="41" t="s">
        <v>128</v>
      </c>
      <c r="FK2" s="41" t="s">
        <v>127</v>
      </c>
      <c r="FL2" s="41" t="s">
        <v>128</v>
      </c>
      <c r="FM2" s="41" t="s">
        <v>127</v>
      </c>
      <c r="FN2" s="41" t="s">
        <v>128</v>
      </c>
      <c r="FO2" s="41" t="s">
        <v>127</v>
      </c>
      <c r="FP2" s="41" t="s">
        <v>128</v>
      </c>
      <c r="FQ2" s="41" t="s">
        <v>127</v>
      </c>
      <c r="FR2" s="41" t="s">
        <v>128</v>
      </c>
      <c r="FS2" s="41" t="s">
        <v>127</v>
      </c>
      <c r="FT2" s="41" t="s">
        <v>128</v>
      </c>
      <c r="FU2" s="41" t="s">
        <v>127</v>
      </c>
      <c r="FV2" s="41" t="s">
        <v>128</v>
      </c>
      <c r="FW2" s="41" t="s">
        <v>127</v>
      </c>
      <c r="FX2" s="41" t="s">
        <v>128</v>
      </c>
      <c r="FY2" s="41" t="s">
        <v>127</v>
      </c>
      <c r="FZ2" s="41" t="s">
        <v>128</v>
      </c>
      <c r="GA2" s="41" t="s">
        <v>127</v>
      </c>
      <c r="GB2" s="41" t="s">
        <v>128</v>
      </c>
      <c r="GC2" s="41" t="s">
        <v>127</v>
      </c>
      <c r="GD2" s="41" t="s">
        <v>128</v>
      </c>
      <c r="GE2" s="41" t="s">
        <v>127</v>
      </c>
      <c r="GF2" s="41" t="s">
        <v>128</v>
      </c>
      <c r="GG2" s="41" t="s">
        <v>127</v>
      </c>
      <c r="GH2" s="41" t="s">
        <v>128</v>
      </c>
      <c r="GI2" s="41" t="s">
        <v>127</v>
      </c>
      <c r="GJ2" s="41" t="s">
        <v>128</v>
      </c>
      <c r="GK2" s="41" t="s">
        <v>127</v>
      </c>
      <c r="GL2" s="41" t="s">
        <v>128</v>
      </c>
      <c r="GM2" s="41" t="s">
        <v>127</v>
      </c>
      <c r="GN2" s="41" t="s">
        <v>128</v>
      </c>
      <c r="GO2" s="41" t="s">
        <v>127</v>
      </c>
      <c r="GP2" s="41" t="s">
        <v>128</v>
      </c>
      <c r="GQ2" s="41" t="s">
        <v>127</v>
      </c>
      <c r="GR2" s="41" t="s">
        <v>128</v>
      </c>
      <c r="GS2" s="41" t="s">
        <v>127</v>
      </c>
      <c r="GT2" s="41" t="s">
        <v>128</v>
      </c>
      <c r="GU2" s="41" t="s">
        <v>127</v>
      </c>
      <c r="GV2" s="41" t="s">
        <v>128</v>
      </c>
      <c r="GW2" s="41" t="s">
        <v>127</v>
      </c>
      <c r="GX2" s="41" t="s">
        <v>128</v>
      </c>
      <c r="GY2" s="41" t="s">
        <v>127</v>
      </c>
      <c r="GZ2" s="41" t="s">
        <v>128</v>
      </c>
      <c r="HA2" s="41" t="s">
        <v>127</v>
      </c>
      <c r="HB2" s="41" t="s">
        <v>128</v>
      </c>
      <c r="HC2" s="41" t="s">
        <v>127</v>
      </c>
      <c r="HD2" s="41" t="s">
        <v>128</v>
      </c>
      <c r="HE2" s="41" t="s">
        <v>127</v>
      </c>
      <c r="HF2" s="41" t="s">
        <v>128</v>
      </c>
      <c r="HG2" s="41" t="s">
        <v>127</v>
      </c>
      <c r="HH2" s="41" t="s">
        <v>128</v>
      </c>
      <c r="HI2" s="41" t="s">
        <v>127</v>
      </c>
      <c r="HJ2" s="41" t="s">
        <v>128</v>
      </c>
      <c r="HK2" s="41" t="s">
        <v>127</v>
      </c>
      <c r="HL2" s="41" t="s">
        <v>128</v>
      </c>
      <c r="HM2" s="41" t="s">
        <v>127</v>
      </c>
      <c r="HN2" s="41" t="s">
        <v>128</v>
      </c>
      <c r="HO2" s="41" t="s">
        <v>127</v>
      </c>
      <c r="HP2" s="41" t="s">
        <v>128</v>
      </c>
      <c r="HQ2" s="41" t="s">
        <v>127</v>
      </c>
      <c r="HR2" s="41" t="s">
        <v>128</v>
      </c>
      <c r="HS2" s="41" t="s">
        <v>127</v>
      </c>
      <c r="HT2" s="41" t="s">
        <v>128</v>
      </c>
      <c r="HU2" s="41" t="s">
        <v>127</v>
      </c>
      <c r="HV2" s="41" t="s">
        <v>128</v>
      </c>
      <c r="HW2" s="41" t="s">
        <v>127</v>
      </c>
      <c r="HX2" s="41" t="s">
        <v>128</v>
      </c>
      <c r="HY2" s="41" t="s">
        <v>127</v>
      </c>
      <c r="HZ2" s="41" t="s">
        <v>128</v>
      </c>
      <c r="IA2" s="41" t="s">
        <v>127</v>
      </c>
      <c r="IB2" s="41" t="s">
        <v>128</v>
      </c>
      <c r="IC2" s="41" t="s">
        <v>127</v>
      </c>
      <c r="ID2" s="41" t="s">
        <v>128</v>
      </c>
      <c r="IE2" s="41" t="s">
        <v>127</v>
      </c>
      <c r="IF2" s="41" t="s">
        <v>128</v>
      </c>
      <c r="IG2" s="41" t="s">
        <v>127</v>
      </c>
      <c r="IH2" s="41" t="s">
        <v>128</v>
      </c>
      <c r="II2" s="41" t="s">
        <v>127</v>
      </c>
      <c r="IJ2" s="41" t="s">
        <v>128</v>
      </c>
      <c r="IK2" s="41" t="s">
        <v>127</v>
      </c>
      <c r="IL2" s="41" t="s">
        <v>128</v>
      </c>
      <c r="IM2" s="41" t="s">
        <v>127</v>
      </c>
      <c r="IN2" s="41" t="s">
        <v>128</v>
      </c>
      <c r="IO2" s="41" t="s">
        <v>127</v>
      </c>
      <c r="IP2" s="41" t="s">
        <v>128</v>
      </c>
      <c r="IQ2" s="41" t="s">
        <v>127</v>
      </c>
      <c r="IR2" s="41" t="s">
        <v>128</v>
      </c>
      <c r="IS2" s="41" t="s">
        <v>127</v>
      </c>
      <c r="IT2" s="41" t="s">
        <v>128</v>
      </c>
      <c r="IU2" s="41" t="s">
        <v>127</v>
      </c>
      <c r="IV2" s="41" t="s">
        <v>128</v>
      </c>
      <c r="IW2" s="41" t="s">
        <v>127</v>
      </c>
      <c r="IX2" s="41" t="s">
        <v>128</v>
      </c>
      <c r="IY2" s="41" t="s">
        <v>127</v>
      </c>
      <c r="IZ2" s="41" t="s">
        <v>128</v>
      </c>
      <c r="JA2" s="41" t="s">
        <v>127</v>
      </c>
      <c r="JB2" s="41" t="s">
        <v>128</v>
      </c>
      <c r="JC2" s="41" t="s">
        <v>127</v>
      </c>
      <c r="JD2" s="41" t="s">
        <v>128</v>
      </c>
      <c r="JE2" s="41" t="s">
        <v>127</v>
      </c>
      <c r="JF2" s="41" t="s">
        <v>128</v>
      </c>
      <c r="JG2" s="41" t="s">
        <v>127</v>
      </c>
      <c r="JH2" s="41" t="s">
        <v>128</v>
      </c>
      <c r="JI2" s="41" t="s">
        <v>127</v>
      </c>
      <c r="JJ2" s="41" t="s">
        <v>128</v>
      </c>
      <c r="JK2" s="41" t="s">
        <v>127</v>
      </c>
      <c r="JL2" s="41" t="s">
        <v>128</v>
      </c>
      <c r="JM2" s="41" t="s">
        <v>127</v>
      </c>
      <c r="JN2" s="41" t="s">
        <v>128</v>
      </c>
      <c r="JO2" s="41" t="s">
        <v>127</v>
      </c>
      <c r="JP2" s="41" t="s">
        <v>128</v>
      </c>
      <c r="JQ2" s="41" t="s">
        <v>127</v>
      </c>
      <c r="JR2" s="41" t="s">
        <v>128</v>
      </c>
      <c r="JS2" s="41" t="s">
        <v>127</v>
      </c>
      <c r="JT2" s="41" t="s">
        <v>128</v>
      </c>
      <c r="JU2" s="41" t="s">
        <v>127</v>
      </c>
      <c r="JV2" s="41" t="s">
        <v>128</v>
      </c>
      <c r="JW2" s="41" t="s">
        <v>127</v>
      </c>
      <c r="JX2" s="41" t="s">
        <v>128</v>
      </c>
      <c r="JY2" s="41" t="s">
        <v>127</v>
      </c>
      <c r="JZ2" s="41" t="s">
        <v>128</v>
      </c>
      <c r="KA2" s="41" t="s">
        <v>127</v>
      </c>
      <c r="KB2" s="41" t="s">
        <v>128</v>
      </c>
      <c r="KC2" s="41" t="s">
        <v>127</v>
      </c>
      <c r="KD2" s="41" t="s">
        <v>128</v>
      </c>
      <c r="KE2" s="41" t="s">
        <v>127</v>
      </c>
      <c r="KF2" s="41" t="s">
        <v>128</v>
      </c>
      <c r="KG2" s="41" t="s">
        <v>127</v>
      </c>
      <c r="KH2" s="41" t="s">
        <v>128</v>
      </c>
      <c r="KI2" s="41" t="s">
        <v>127</v>
      </c>
      <c r="KJ2" s="41" t="s">
        <v>128</v>
      </c>
      <c r="KK2" s="41" t="s">
        <v>127</v>
      </c>
      <c r="KL2" s="41" t="s">
        <v>128</v>
      </c>
      <c r="KM2" s="41" t="s">
        <v>127</v>
      </c>
      <c r="KN2" s="41" t="s">
        <v>128</v>
      </c>
      <c r="KO2" s="41" t="s">
        <v>127</v>
      </c>
      <c r="KP2" s="41" t="s">
        <v>128</v>
      </c>
      <c r="KQ2" s="41" t="s">
        <v>127</v>
      </c>
      <c r="KR2" s="41" t="s">
        <v>128</v>
      </c>
      <c r="KS2" s="41" t="s">
        <v>127</v>
      </c>
      <c r="KT2" s="41" t="s">
        <v>128</v>
      </c>
      <c r="KU2" s="41" t="s">
        <v>127</v>
      </c>
      <c r="KV2" s="41" t="s">
        <v>128</v>
      </c>
      <c r="KW2" s="41" t="s">
        <v>127</v>
      </c>
      <c r="KX2" s="41" t="s">
        <v>128</v>
      </c>
      <c r="KY2" s="41" t="s">
        <v>127</v>
      </c>
      <c r="KZ2" s="41" t="s">
        <v>128</v>
      </c>
      <c r="LA2" s="41" t="s">
        <v>127</v>
      </c>
      <c r="LB2" s="41" t="s">
        <v>128</v>
      </c>
      <c r="LC2" s="41" t="s">
        <v>127</v>
      </c>
      <c r="LD2" s="41" t="s">
        <v>128</v>
      </c>
      <c r="LE2" s="41" t="s">
        <v>127</v>
      </c>
      <c r="LF2" s="41" t="s">
        <v>128</v>
      </c>
      <c r="LG2" s="41" t="s">
        <v>127</v>
      </c>
      <c r="LH2" s="41" t="s">
        <v>128</v>
      </c>
      <c r="LI2" s="41" t="s">
        <v>127</v>
      </c>
      <c r="LJ2" s="41" t="s">
        <v>128</v>
      </c>
      <c r="LK2" s="41" t="s">
        <v>127</v>
      </c>
      <c r="LL2" s="41" t="s">
        <v>128</v>
      </c>
      <c r="LM2" s="41" t="s">
        <v>127</v>
      </c>
      <c r="LN2" s="41" t="s">
        <v>128</v>
      </c>
      <c r="LO2" s="41" t="s">
        <v>127</v>
      </c>
      <c r="LP2" s="41" t="s">
        <v>128</v>
      </c>
      <c r="LQ2" s="41" t="s">
        <v>127</v>
      </c>
      <c r="LR2" s="41" t="s">
        <v>128</v>
      </c>
      <c r="LS2" s="41" t="s">
        <v>127</v>
      </c>
      <c r="LT2" s="41" t="s">
        <v>128</v>
      </c>
      <c r="LU2" s="41" t="s">
        <v>127</v>
      </c>
      <c r="LV2" s="41" t="s">
        <v>128</v>
      </c>
      <c r="LW2" s="41" t="s">
        <v>127</v>
      </c>
      <c r="LX2" s="41" t="s">
        <v>128</v>
      </c>
      <c r="LY2" s="41" t="s">
        <v>127</v>
      </c>
      <c r="LZ2" s="41" t="s">
        <v>128</v>
      </c>
      <c r="MA2" s="41" t="s">
        <v>127</v>
      </c>
      <c r="MB2" s="41" t="s">
        <v>128</v>
      </c>
      <c r="MC2" s="41" t="s">
        <v>127</v>
      </c>
      <c r="MD2" s="41" t="s">
        <v>128</v>
      </c>
      <c r="ME2" s="41" t="s">
        <v>127</v>
      </c>
      <c r="MF2" s="41" t="s">
        <v>128</v>
      </c>
      <c r="MG2" s="41" t="s">
        <v>127</v>
      </c>
      <c r="MH2" s="41" t="s">
        <v>128</v>
      </c>
      <c r="MI2" s="41" t="s">
        <v>127</v>
      </c>
      <c r="MJ2" s="41" t="s">
        <v>128</v>
      </c>
      <c r="MK2" s="41" t="s">
        <v>127</v>
      </c>
      <c r="ML2" s="41" t="s">
        <v>128</v>
      </c>
      <c r="MM2" s="41" t="s">
        <v>127</v>
      </c>
      <c r="MN2" s="41" t="s">
        <v>128</v>
      </c>
      <c r="MO2" s="41" t="s">
        <v>127</v>
      </c>
      <c r="MP2" s="41" t="s">
        <v>128</v>
      </c>
      <c r="MQ2" s="41" t="s">
        <v>127</v>
      </c>
      <c r="MR2" s="41" t="s">
        <v>128</v>
      </c>
      <c r="MS2" s="41" t="s">
        <v>127</v>
      </c>
      <c r="MT2" s="41" t="s">
        <v>128</v>
      </c>
      <c r="MU2" s="41" t="s">
        <v>127</v>
      </c>
      <c r="MV2" s="41" t="s">
        <v>128</v>
      </c>
      <c r="MW2" s="41" t="s">
        <v>127</v>
      </c>
      <c r="MX2" s="41" t="s">
        <v>128</v>
      </c>
      <c r="MY2" s="41" t="s">
        <v>127</v>
      </c>
      <c r="MZ2" s="41" t="s">
        <v>128</v>
      </c>
      <c r="NA2" s="41" t="s">
        <v>127</v>
      </c>
      <c r="NB2" s="41" t="s">
        <v>128</v>
      </c>
      <c r="NC2" s="41" t="s">
        <v>127</v>
      </c>
      <c r="ND2" s="41" t="s">
        <v>128</v>
      </c>
      <c r="NE2" s="41" t="s">
        <v>127</v>
      </c>
      <c r="NF2" s="41" t="s">
        <v>128</v>
      </c>
      <c r="NG2" s="41" t="s">
        <v>127</v>
      </c>
      <c r="NH2" s="41" t="s">
        <v>128</v>
      </c>
      <c r="NI2" s="41" t="s">
        <v>127</v>
      </c>
      <c r="NJ2" s="41" t="s">
        <v>128</v>
      </c>
      <c r="NK2" s="41" t="s">
        <v>127</v>
      </c>
      <c r="NL2" s="41" t="s">
        <v>128</v>
      </c>
      <c r="NM2" s="41" t="s">
        <v>127</v>
      </c>
      <c r="NN2" s="41" t="s">
        <v>128</v>
      </c>
      <c r="NO2" s="41" t="s">
        <v>127</v>
      </c>
      <c r="NP2" s="41" t="s">
        <v>128</v>
      </c>
      <c r="NQ2" s="41" t="s">
        <v>127</v>
      </c>
      <c r="NR2" s="41" t="s">
        <v>128</v>
      </c>
      <c r="NS2" s="41" t="s">
        <v>127</v>
      </c>
      <c r="NT2" s="41" t="s">
        <v>128</v>
      </c>
      <c r="NU2" s="41" t="s">
        <v>127</v>
      </c>
      <c r="NV2" s="41" t="s">
        <v>128</v>
      </c>
      <c r="NW2" s="41" t="s">
        <v>127</v>
      </c>
      <c r="NX2" s="41" t="s">
        <v>128</v>
      </c>
      <c r="NY2" s="41" t="s">
        <v>127</v>
      </c>
      <c r="NZ2" s="41" t="s">
        <v>128</v>
      </c>
      <c r="OA2" s="41" t="s">
        <v>127</v>
      </c>
      <c r="OB2" s="41" t="s">
        <v>128</v>
      </c>
      <c r="OC2" s="41" t="s">
        <v>127</v>
      </c>
      <c r="OD2" s="41" t="s">
        <v>128</v>
      </c>
      <c r="OE2" s="41" t="s">
        <v>127</v>
      </c>
      <c r="OF2" s="41" t="s">
        <v>128</v>
      </c>
      <c r="OG2" s="41" t="s">
        <v>127</v>
      </c>
      <c r="OH2" s="41" t="s">
        <v>128</v>
      </c>
      <c r="OI2" s="41" t="s">
        <v>127</v>
      </c>
      <c r="OJ2" s="41" t="s">
        <v>128</v>
      </c>
      <c r="OK2" s="41" t="s">
        <v>127</v>
      </c>
      <c r="OL2" s="41" t="s">
        <v>128</v>
      </c>
      <c r="OM2" s="41" t="s">
        <v>127</v>
      </c>
      <c r="ON2" s="41" t="s">
        <v>128</v>
      </c>
      <c r="OO2" s="41" t="s">
        <v>127</v>
      </c>
      <c r="OP2" s="41" t="s">
        <v>128</v>
      </c>
      <c r="OQ2" s="41" t="s">
        <v>127</v>
      </c>
      <c r="OR2" s="41" t="s">
        <v>128</v>
      </c>
      <c r="OS2" s="41" t="s">
        <v>127</v>
      </c>
      <c r="OT2" s="41" t="s">
        <v>128</v>
      </c>
      <c r="OU2" s="41" t="s">
        <v>127</v>
      </c>
      <c r="OV2" s="41" t="s">
        <v>128</v>
      </c>
      <c r="OW2" s="41" t="s">
        <v>127</v>
      </c>
      <c r="OX2" s="41" t="s">
        <v>128</v>
      </c>
      <c r="OY2" s="41" t="s">
        <v>127</v>
      </c>
      <c r="OZ2" s="41" t="s">
        <v>128</v>
      </c>
      <c r="PA2" s="41" t="s">
        <v>127</v>
      </c>
      <c r="PB2" s="41" t="s">
        <v>128</v>
      </c>
      <c r="PC2" s="41" t="s">
        <v>127</v>
      </c>
      <c r="PD2" s="41" t="s">
        <v>128</v>
      </c>
      <c r="PE2" s="41" t="s">
        <v>127</v>
      </c>
      <c r="PF2" s="41" t="s">
        <v>128</v>
      </c>
      <c r="PG2" s="41" t="s">
        <v>127</v>
      </c>
      <c r="PH2" s="41" t="s">
        <v>128</v>
      </c>
      <c r="PI2" s="41" t="s">
        <v>127</v>
      </c>
      <c r="PJ2" s="41" t="s">
        <v>128</v>
      </c>
      <c r="PK2" s="41" t="s">
        <v>127</v>
      </c>
      <c r="PL2" s="41" t="s">
        <v>128</v>
      </c>
      <c r="PM2" s="41" t="s">
        <v>127</v>
      </c>
      <c r="PN2" s="41" t="s">
        <v>128</v>
      </c>
      <c r="PO2" s="41" t="s">
        <v>127</v>
      </c>
      <c r="PP2" s="41" t="s">
        <v>128</v>
      </c>
      <c r="PQ2" s="41" t="s">
        <v>127</v>
      </c>
      <c r="PR2" s="41" t="s">
        <v>128</v>
      </c>
      <c r="PS2" s="41" t="s">
        <v>127</v>
      </c>
      <c r="PT2" s="41" t="s">
        <v>128</v>
      </c>
      <c r="PU2" s="41" t="s">
        <v>127</v>
      </c>
      <c r="PV2" s="41" t="s">
        <v>128</v>
      </c>
      <c r="PW2" s="41" t="s">
        <v>127</v>
      </c>
      <c r="PX2" s="41" t="s">
        <v>128</v>
      </c>
      <c r="PY2" s="41" t="s">
        <v>127</v>
      </c>
      <c r="PZ2" s="41" t="s">
        <v>128</v>
      </c>
      <c r="QA2" s="41" t="s">
        <v>127</v>
      </c>
      <c r="QB2" s="41" t="s">
        <v>128</v>
      </c>
      <c r="QC2" s="41" t="s">
        <v>127</v>
      </c>
      <c r="QD2" s="41" t="s">
        <v>128</v>
      </c>
      <c r="QE2" s="41" t="s">
        <v>127</v>
      </c>
      <c r="QF2" s="41" t="s">
        <v>128</v>
      </c>
      <c r="QG2" s="41" t="s">
        <v>127</v>
      </c>
      <c r="QH2" s="41" t="s">
        <v>128</v>
      </c>
      <c r="QI2" s="41" t="s">
        <v>127</v>
      </c>
      <c r="QJ2" s="41" t="s">
        <v>128</v>
      </c>
      <c r="QK2" s="41" t="s">
        <v>127</v>
      </c>
      <c r="QL2" s="41" t="s">
        <v>128</v>
      </c>
      <c r="QM2" s="41" t="s">
        <v>127</v>
      </c>
      <c r="QN2" s="41" t="s">
        <v>128</v>
      </c>
      <c r="QO2" s="41" t="s">
        <v>127</v>
      </c>
      <c r="QP2" s="41" t="s">
        <v>128</v>
      </c>
      <c r="QQ2" s="41" t="s">
        <v>127</v>
      </c>
      <c r="QR2" s="41" t="s">
        <v>128</v>
      </c>
      <c r="QS2" s="41" t="s">
        <v>127</v>
      </c>
      <c r="QT2" s="41" t="s">
        <v>128</v>
      </c>
      <c r="QU2" s="41" t="s">
        <v>127</v>
      </c>
      <c r="QV2" s="41" t="s">
        <v>128</v>
      </c>
      <c r="QW2" s="41" t="s">
        <v>127</v>
      </c>
      <c r="QX2" s="41" t="s">
        <v>128</v>
      </c>
      <c r="QY2" s="41" t="s">
        <v>127</v>
      </c>
      <c r="QZ2" s="41" t="s">
        <v>128</v>
      </c>
      <c r="RA2" s="41" t="s">
        <v>127</v>
      </c>
      <c r="RB2" s="41" t="s">
        <v>128</v>
      </c>
      <c r="RC2" s="41" t="s">
        <v>127</v>
      </c>
      <c r="RD2" s="41" t="s">
        <v>128</v>
      </c>
      <c r="RE2" s="41" t="s">
        <v>127</v>
      </c>
      <c r="RF2" s="41" t="s">
        <v>128</v>
      </c>
      <c r="RG2" s="41" t="s">
        <v>127</v>
      </c>
      <c r="RH2" s="41" t="s">
        <v>128</v>
      </c>
      <c r="RI2" s="41" t="s">
        <v>127</v>
      </c>
      <c r="RJ2" s="41" t="s">
        <v>128</v>
      </c>
      <c r="RK2" s="41" t="s">
        <v>127</v>
      </c>
      <c r="RL2" s="41" t="s">
        <v>128</v>
      </c>
      <c r="RM2" s="41" t="s">
        <v>127</v>
      </c>
      <c r="RN2" s="41" t="s">
        <v>128</v>
      </c>
      <c r="RO2" s="41" t="s">
        <v>127</v>
      </c>
      <c r="RP2" s="41" t="s">
        <v>128</v>
      </c>
      <c r="RQ2" s="41" t="s">
        <v>127</v>
      </c>
      <c r="RR2" s="41" t="s">
        <v>128</v>
      </c>
      <c r="RS2" s="41" t="s">
        <v>127</v>
      </c>
      <c r="RT2" s="41" t="s">
        <v>128</v>
      </c>
      <c r="RU2" s="41" t="s">
        <v>127</v>
      </c>
      <c r="RV2" s="41" t="s">
        <v>128</v>
      </c>
      <c r="RW2" s="41" t="s">
        <v>127</v>
      </c>
      <c r="RX2" s="41" t="s">
        <v>128</v>
      </c>
      <c r="RY2" s="41" t="s">
        <v>127</v>
      </c>
      <c r="RZ2" s="41" t="s">
        <v>128</v>
      </c>
      <c r="SA2" s="41" t="s">
        <v>127</v>
      </c>
      <c r="SB2" s="41" t="s">
        <v>128</v>
      </c>
      <c r="SC2" s="41" t="s">
        <v>127</v>
      </c>
      <c r="SD2" s="41" t="s">
        <v>128</v>
      </c>
      <c r="SE2" s="41" t="s">
        <v>127</v>
      </c>
      <c r="SF2" s="41" t="s">
        <v>128</v>
      </c>
      <c r="SG2" s="41" t="s">
        <v>127</v>
      </c>
      <c r="SH2" s="41" t="s">
        <v>128</v>
      </c>
      <c r="SI2" s="41" t="s">
        <v>127</v>
      </c>
      <c r="SJ2" s="41" t="s">
        <v>128</v>
      </c>
      <c r="SK2" s="41" t="s">
        <v>127</v>
      </c>
      <c r="SL2" s="41" t="s">
        <v>128</v>
      </c>
      <c r="SM2" s="41" t="s">
        <v>127</v>
      </c>
      <c r="SN2" s="41" t="s">
        <v>128</v>
      </c>
      <c r="SO2" s="41" t="s">
        <v>127</v>
      </c>
      <c r="SP2" s="41" t="s">
        <v>128</v>
      </c>
      <c r="SQ2" s="41" t="s">
        <v>127</v>
      </c>
      <c r="SR2" s="41" t="s">
        <v>128</v>
      </c>
      <c r="SS2" s="41" t="s">
        <v>127</v>
      </c>
      <c r="ST2" s="41" t="s">
        <v>128</v>
      </c>
      <c r="SU2" s="41" t="s">
        <v>127</v>
      </c>
      <c r="SV2" s="41" t="s">
        <v>128</v>
      </c>
      <c r="SW2" s="41" t="s">
        <v>127</v>
      </c>
      <c r="SX2" s="41" t="s">
        <v>128</v>
      </c>
      <c r="SY2" s="41" t="s">
        <v>127</v>
      </c>
      <c r="SZ2" s="41" t="s">
        <v>128</v>
      </c>
      <c r="TA2" s="41" t="s">
        <v>127</v>
      </c>
      <c r="TB2" s="41" t="s">
        <v>128</v>
      </c>
      <c r="TC2" s="41" t="s">
        <v>127</v>
      </c>
      <c r="TD2" s="41" t="s">
        <v>128</v>
      </c>
      <c r="TE2" s="41" t="s">
        <v>127</v>
      </c>
      <c r="TF2" s="41" t="s">
        <v>128</v>
      </c>
      <c r="TG2" s="41" t="s">
        <v>127</v>
      </c>
      <c r="TH2" s="41" t="s">
        <v>128</v>
      </c>
      <c r="TI2" s="41" t="s">
        <v>127</v>
      </c>
      <c r="TJ2" s="41" t="s">
        <v>128</v>
      </c>
      <c r="TK2" s="41" t="s">
        <v>127</v>
      </c>
      <c r="TL2" s="41" t="s">
        <v>128</v>
      </c>
      <c r="TM2" s="41" t="s">
        <v>127</v>
      </c>
      <c r="TN2" s="41" t="s">
        <v>128</v>
      </c>
      <c r="TO2" s="41" t="s">
        <v>127</v>
      </c>
      <c r="TP2" s="41" t="s">
        <v>128</v>
      </c>
      <c r="TQ2" s="41" t="s">
        <v>127</v>
      </c>
      <c r="TR2" s="41" t="s">
        <v>128</v>
      </c>
      <c r="TS2" s="41" t="s">
        <v>127</v>
      </c>
      <c r="TT2" s="41" t="s">
        <v>128</v>
      </c>
      <c r="TU2" s="41" t="s">
        <v>127</v>
      </c>
      <c r="TV2" s="41" t="s">
        <v>128</v>
      </c>
      <c r="TW2" s="41" t="s">
        <v>127</v>
      </c>
      <c r="TX2" s="41" t="s">
        <v>128</v>
      </c>
      <c r="TY2" s="41" t="s">
        <v>127</v>
      </c>
      <c r="TZ2" s="41" t="s">
        <v>128</v>
      </c>
      <c r="UA2" s="41" t="s">
        <v>127</v>
      </c>
      <c r="UB2" s="41" t="s">
        <v>128</v>
      </c>
      <c r="UC2" s="41" t="s">
        <v>127</v>
      </c>
      <c r="UD2" s="41" t="s">
        <v>128</v>
      </c>
      <c r="UE2" s="41" t="s">
        <v>127</v>
      </c>
      <c r="UF2" s="41" t="s">
        <v>128</v>
      </c>
      <c r="UG2" s="41" t="s">
        <v>127</v>
      </c>
      <c r="UH2" s="41" t="s">
        <v>128</v>
      </c>
      <c r="UI2" s="41" t="s">
        <v>127</v>
      </c>
      <c r="UJ2" s="41" t="s">
        <v>128</v>
      </c>
      <c r="UK2" s="41" t="s">
        <v>127</v>
      </c>
      <c r="UL2" s="41" t="s">
        <v>128</v>
      </c>
      <c r="UM2" s="41" t="s">
        <v>127</v>
      </c>
      <c r="UN2" s="41" t="s">
        <v>128</v>
      </c>
      <c r="UO2" s="41" t="s">
        <v>127</v>
      </c>
      <c r="UP2" s="41" t="s">
        <v>128</v>
      </c>
      <c r="UQ2" s="41" t="s">
        <v>127</v>
      </c>
      <c r="UR2" s="41" t="s">
        <v>128</v>
      </c>
      <c r="US2" s="41" t="s">
        <v>127</v>
      </c>
      <c r="UT2" s="41" t="s">
        <v>128</v>
      </c>
      <c r="UU2" s="41" t="s">
        <v>127</v>
      </c>
      <c r="UV2" s="41" t="s">
        <v>128</v>
      </c>
      <c r="UW2" s="41" t="s">
        <v>127</v>
      </c>
      <c r="UX2" s="41" t="s">
        <v>128</v>
      </c>
      <c r="UY2" s="41" t="s">
        <v>127</v>
      </c>
      <c r="UZ2" s="41" t="s">
        <v>128</v>
      </c>
      <c r="VA2" s="41" t="s">
        <v>127</v>
      </c>
      <c r="VB2" s="41" t="s">
        <v>128</v>
      </c>
      <c r="VC2" s="41" t="s">
        <v>127</v>
      </c>
      <c r="VD2" s="41" t="s">
        <v>128</v>
      </c>
      <c r="VE2" s="41" t="s">
        <v>127</v>
      </c>
      <c r="VF2" s="41" t="s">
        <v>128</v>
      </c>
      <c r="VG2" s="41" t="s">
        <v>127</v>
      </c>
      <c r="VH2" s="41" t="s">
        <v>128</v>
      </c>
      <c r="VI2" s="41" t="s">
        <v>127</v>
      </c>
      <c r="VJ2" s="41" t="s">
        <v>128</v>
      </c>
      <c r="VK2" s="41" t="s">
        <v>127</v>
      </c>
      <c r="VL2" s="41" t="s">
        <v>128</v>
      </c>
      <c r="VM2" s="41" t="s">
        <v>127</v>
      </c>
      <c r="VN2" s="41" t="s">
        <v>128</v>
      </c>
      <c r="VO2" s="41" t="s">
        <v>127</v>
      </c>
      <c r="VP2" s="41" t="s">
        <v>128</v>
      </c>
      <c r="VQ2" s="41" t="s">
        <v>127</v>
      </c>
      <c r="VR2" s="41" t="s">
        <v>128</v>
      </c>
      <c r="VS2" s="41" t="s">
        <v>127</v>
      </c>
      <c r="VT2" s="41" t="s">
        <v>128</v>
      </c>
      <c r="VU2" s="41" t="s">
        <v>127</v>
      </c>
      <c r="VV2" s="41" t="s">
        <v>128</v>
      </c>
      <c r="VW2" s="41" t="s">
        <v>127</v>
      </c>
      <c r="VX2" s="41" t="s">
        <v>128</v>
      </c>
      <c r="VY2" s="41" t="s">
        <v>127</v>
      </c>
      <c r="VZ2" s="41" t="s">
        <v>128</v>
      </c>
      <c r="WA2" s="41" t="s">
        <v>127</v>
      </c>
      <c r="WB2" s="41" t="s">
        <v>128</v>
      </c>
      <c r="WC2" s="41" t="s">
        <v>127</v>
      </c>
      <c r="WD2" s="41" t="s">
        <v>128</v>
      </c>
      <c r="WE2" s="41" t="s">
        <v>127</v>
      </c>
      <c r="WF2" s="41" t="s">
        <v>128</v>
      </c>
      <c r="WG2" s="41" t="s">
        <v>127</v>
      </c>
      <c r="WH2" s="41" t="s">
        <v>128</v>
      </c>
      <c r="WI2" s="41" t="s">
        <v>127</v>
      </c>
      <c r="WJ2" s="41" t="s">
        <v>128</v>
      </c>
      <c r="WK2" s="41" t="s">
        <v>127</v>
      </c>
      <c r="WL2" s="41" t="s">
        <v>128</v>
      </c>
      <c r="WM2" s="41" t="s">
        <v>127</v>
      </c>
      <c r="WN2" s="41" t="s">
        <v>128</v>
      </c>
      <c r="WO2" s="41" t="s">
        <v>127</v>
      </c>
      <c r="WP2" s="41" t="s">
        <v>128</v>
      </c>
      <c r="WQ2" s="41" t="s">
        <v>127</v>
      </c>
      <c r="WR2" s="41" t="s">
        <v>128</v>
      </c>
      <c r="WS2" s="41" t="s">
        <v>127</v>
      </c>
      <c r="WT2" s="41" t="s">
        <v>128</v>
      </c>
      <c r="WU2" s="41" t="s">
        <v>127</v>
      </c>
      <c r="WV2" s="41" t="s">
        <v>128</v>
      </c>
      <c r="WW2" s="41" t="s">
        <v>127</v>
      </c>
      <c r="WX2" s="41" t="s">
        <v>128</v>
      </c>
      <c r="WY2" s="41" t="s">
        <v>127</v>
      </c>
      <c r="WZ2" s="41" t="s">
        <v>128</v>
      </c>
      <c r="XA2" s="41" t="s">
        <v>127</v>
      </c>
      <c r="XB2" s="41" t="s">
        <v>128</v>
      </c>
      <c r="XC2" s="41" t="s">
        <v>127</v>
      </c>
      <c r="XD2" s="41" t="s">
        <v>128</v>
      </c>
      <c r="XE2" s="41" t="s">
        <v>127</v>
      </c>
      <c r="XF2" s="41" t="s">
        <v>128</v>
      </c>
      <c r="XG2" s="41" t="s">
        <v>127</v>
      </c>
      <c r="XH2" s="41" t="s">
        <v>128</v>
      </c>
      <c r="XI2" s="41" t="s">
        <v>127</v>
      </c>
      <c r="XJ2" s="41" t="s">
        <v>128</v>
      </c>
      <c r="XK2" s="41" t="s">
        <v>127</v>
      </c>
      <c r="XL2" s="41" t="s">
        <v>128</v>
      </c>
      <c r="XM2" s="41" t="s">
        <v>127</v>
      </c>
      <c r="XN2" s="41" t="s">
        <v>128</v>
      </c>
      <c r="XO2" s="41" t="s">
        <v>127</v>
      </c>
      <c r="XP2" s="41" t="s">
        <v>128</v>
      </c>
      <c r="XQ2" s="41" t="s">
        <v>127</v>
      </c>
      <c r="XR2" s="41" t="s">
        <v>128</v>
      </c>
      <c r="XS2" s="41" t="s">
        <v>127</v>
      </c>
      <c r="XT2" s="41" t="s">
        <v>128</v>
      </c>
      <c r="XU2" s="41" t="s">
        <v>127</v>
      </c>
      <c r="XV2" s="41" t="s">
        <v>128</v>
      </c>
      <c r="XW2" s="41" t="s">
        <v>127</v>
      </c>
      <c r="XX2" s="41" t="s">
        <v>128</v>
      </c>
      <c r="XY2" s="41" t="s">
        <v>127</v>
      </c>
      <c r="XZ2" s="41" t="s">
        <v>128</v>
      </c>
      <c r="YA2" s="41" t="s">
        <v>127</v>
      </c>
      <c r="YB2" s="41" t="s">
        <v>128</v>
      </c>
      <c r="YC2" s="41" t="s">
        <v>127</v>
      </c>
      <c r="YD2" s="41" t="s">
        <v>128</v>
      </c>
      <c r="YE2" s="41" t="s">
        <v>127</v>
      </c>
      <c r="YF2" s="41" t="s">
        <v>128</v>
      </c>
      <c r="YG2" s="41" t="s">
        <v>127</v>
      </c>
      <c r="YH2" s="41" t="s">
        <v>128</v>
      </c>
      <c r="YI2" s="41" t="s">
        <v>127</v>
      </c>
      <c r="YJ2" s="41" t="s">
        <v>128</v>
      </c>
      <c r="YK2" s="41" t="s">
        <v>127</v>
      </c>
      <c r="YL2" s="41" t="s">
        <v>128</v>
      </c>
      <c r="YM2" s="41" t="s">
        <v>127</v>
      </c>
      <c r="YN2" s="41" t="s">
        <v>128</v>
      </c>
      <c r="YO2" s="41" t="s">
        <v>127</v>
      </c>
      <c r="YP2" s="41" t="s">
        <v>128</v>
      </c>
      <c r="YQ2" s="41" t="s">
        <v>127</v>
      </c>
      <c r="YR2" s="41" t="s">
        <v>128</v>
      </c>
      <c r="YS2" s="41" t="s">
        <v>127</v>
      </c>
      <c r="YT2" s="41" t="s">
        <v>128</v>
      </c>
      <c r="YU2" s="41" t="s">
        <v>127</v>
      </c>
      <c r="YV2" s="41" t="s">
        <v>128</v>
      </c>
      <c r="YW2" s="41" t="s">
        <v>127</v>
      </c>
      <c r="YX2" s="41" t="s">
        <v>128</v>
      </c>
      <c r="YY2" s="41" t="s">
        <v>127</v>
      </c>
      <c r="YZ2" s="41" t="s">
        <v>128</v>
      </c>
      <c r="ZA2" s="41" t="s">
        <v>127</v>
      </c>
      <c r="ZB2" s="41" t="s">
        <v>128</v>
      </c>
      <c r="ZC2" s="41" t="s">
        <v>127</v>
      </c>
      <c r="ZD2" s="41" t="s">
        <v>128</v>
      </c>
      <c r="ZE2" s="41" t="s">
        <v>127</v>
      </c>
      <c r="ZF2" s="41" t="s">
        <v>128</v>
      </c>
      <c r="ZG2" s="41" t="s">
        <v>127</v>
      </c>
      <c r="ZH2" s="41" t="s">
        <v>128</v>
      </c>
      <c r="ZI2" s="41" t="s">
        <v>127</v>
      </c>
      <c r="ZJ2" s="41" t="s">
        <v>128</v>
      </c>
      <c r="ZK2" s="41" t="s">
        <v>127</v>
      </c>
      <c r="ZL2" s="41" t="s">
        <v>128</v>
      </c>
      <c r="ZM2" s="41" t="s">
        <v>127</v>
      </c>
      <c r="ZN2" s="41" t="s">
        <v>128</v>
      </c>
      <c r="ZO2" s="41" t="s">
        <v>127</v>
      </c>
      <c r="ZP2" s="41" t="s">
        <v>128</v>
      </c>
      <c r="ZQ2" s="41" t="s">
        <v>127</v>
      </c>
      <c r="ZR2" s="41" t="s">
        <v>128</v>
      </c>
      <c r="ZS2" s="41" t="s">
        <v>127</v>
      </c>
      <c r="ZT2" s="41" t="s">
        <v>128</v>
      </c>
      <c r="ZU2" s="41" t="s">
        <v>127</v>
      </c>
      <c r="ZV2" s="41" t="s">
        <v>128</v>
      </c>
      <c r="ZW2" s="41" t="s">
        <v>127</v>
      </c>
      <c r="ZX2" s="41" t="s">
        <v>128</v>
      </c>
      <c r="ZY2" s="41" t="s">
        <v>127</v>
      </c>
      <c r="ZZ2" s="41" t="s">
        <v>128</v>
      </c>
      <c r="AAA2" s="41" t="s">
        <v>127</v>
      </c>
      <c r="AAB2" s="41" t="s">
        <v>128</v>
      </c>
      <c r="AAC2" s="41" t="s">
        <v>127</v>
      </c>
      <c r="AAD2" s="41" t="s">
        <v>128</v>
      </c>
      <c r="AAE2" s="41" t="s">
        <v>127</v>
      </c>
      <c r="AAF2" s="41" t="s">
        <v>128</v>
      </c>
      <c r="AAG2" s="41" t="s">
        <v>127</v>
      </c>
      <c r="AAH2" s="41" t="s">
        <v>128</v>
      </c>
      <c r="AAI2" s="41" t="s">
        <v>127</v>
      </c>
      <c r="AAJ2" s="41" t="s">
        <v>128</v>
      </c>
      <c r="AAK2" s="41" t="s">
        <v>127</v>
      </c>
      <c r="AAL2" s="41" t="s">
        <v>128</v>
      </c>
      <c r="AAM2" s="41" t="s">
        <v>127</v>
      </c>
      <c r="AAN2" s="41" t="s">
        <v>128</v>
      </c>
      <c r="AAO2" s="41" t="s">
        <v>127</v>
      </c>
      <c r="AAP2" s="41" t="s">
        <v>128</v>
      </c>
      <c r="AAQ2" s="41" t="s">
        <v>127</v>
      </c>
      <c r="AAR2" s="41" t="s">
        <v>128</v>
      </c>
      <c r="AAS2" s="41" t="s">
        <v>127</v>
      </c>
      <c r="AAT2" s="41" t="s">
        <v>128</v>
      </c>
      <c r="AAU2" s="41" t="s">
        <v>127</v>
      </c>
      <c r="AAV2" s="41" t="s">
        <v>128</v>
      </c>
      <c r="AAW2" s="41" t="s">
        <v>127</v>
      </c>
      <c r="AAX2" s="41" t="s">
        <v>128</v>
      </c>
      <c r="AAY2" s="41" t="s">
        <v>127</v>
      </c>
      <c r="AAZ2" s="41" t="s">
        <v>128</v>
      </c>
      <c r="ABA2" s="41" t="s">
        <v>127</v>
      </c>
      <c r="ABB2" s="41" t="s">
        <v>128</v>
      </c>
      <c r="ABC2" s="41" t="s">
        <v>127</v>
      </c>
      <c r="ABD2" s="41" t="s">
        <v>128</v>
      </c>
      <c r="ABE2" s="41" t="s">
        <v>127</v>
      </c>
      <c r="ABF2" s="41" t="s">
        <v>128</v>
      </c>
      <c r="ABG2" s="41" t="s">
        <v>127</v>
      </c>
      <c r="ABH2" s="41" t="s">
        <v>128</v>
      </c>
      <c r="ABI2" s="41" t="s">
        <v>127</v>
      </c>
      <c r="ABJ2" s="41" t="s">
        <v>128</v>
      </c>
      <c r="ABK2" s="41" t="s">
        <v>127</v>
      </c>
      <c r="ABL2" s="41" t="s">
        <v>128</v>
      </c>
      <c r="ABM2" s="41" t="s">
        <v>127</v>
      </c>
      <c r="ABN2" s="41" t="s">
        <v>128</v>
      </c>
      <c r="ABO2" s="41" t="s">
        <v>127</v>
      </c>
      <c r="ABP2" s="41" t="s">
        <v>128</v>
      </c>
      <c r="ABQ2" s="41" t="s">
        <v>127</v>
      </c>
      <c r="ABR2" s="41" t="s">
        <v>128</v>
      </c>
      <c r="ABS2" s="41" t="s">
        <v>127</v>
      </c>
      <c r="ABT2" s="41" t="s">
        <v>128</v>
      </c>
      <c r="ABU2" s="41" t="s">
        <v>127</v>
      </c>
      <c r="ABV2" s="41" t="s">
        <v>128</v>
      </c>
      <c r="ABW2" s="41" t="s">
        <v>127</v>
      </c>
      <c r="ABX2" s="41" t="s">
        <v>128</v>
      </c>
      <c r="ABY2" s="41" t="s">
        <v>127</v>
      </c>
      <c r="ABZ2" s="41" t="s">
        <v>128</v>
      </c>
      <c r="ACA2" s="41" t="s">
        <v>127</v>
      </c>
      <c r="ACB2" s="41" t="s">
        <v>128</v>
      </c>
      <c r="ACC2" s="41" t="s">
        <v>127</v>
      </c>
      <c r="ACD2" s="42" t="s">
        <v>128</v>
      </c>
      <c r="ACE2" s="41" t="s">
        <v>127</v>
      </c>
      <c r="ACF2" s="41" t="s">
        <v>128</v>
      </c>
      <c r="ACG2" s="41" t="s">
        <v>127</v>
      </c>
      <c r="ACH2" s="53" t="s">
        <v>128</v>
      </c>
    </row>
    <row r="3" spans="1:764" x14ac:dyDescent="0.25">
      <c r="A3" s="161">
        <v>1</v>
      </c>
      <c r="B3" s="151" t="s">
        <v>86</v>
      </c>
      <c r="C3" s="154" t="s">
        <v>3</v>
      </c>
      <c r="D3" s="49" t="s">
        <v>6</v>
      </c>
      <c r="E3" s="72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43" cm="1">
        <f t="array" ref="BO3">SUMPRODUCT(E3:BM3,--(E$2:BM$2=BO$2))</f>
        <v>0</v>
      </c>
      <c r="BP3" s="43" cm="1">
        <f t="array" ref="BP3">SUMPRODUCT(F3:BN3,--(F$2:BN$2=BP$2))</f>
        <v>0</v>
      </c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 cm="1">
        <f t="array" ref="DW3">SUMPRODUCT(BQ3:DU3,--(BQ$2:DU$2=DW$2))</f>
        <v>0</v>
      </c>
      <c r="DX3" s="43" cm="1">
        <f t="array" ref="DX3">SUMPRODUCT(BR3:DV3,--(BR$2:DV$2=DX$2))</f>
        <v>0</v>
      </c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  <c r="GE3" s="43"/>
      <c r="GF3" s="43"/>
      <c r="GG3" s="43"/>
      <c r="GH3" s="43"/>
      <c r="GI3" s="43" cm="1">
        <f t="array" ref="GI3">SUMPRODUCT(DY3:GG3,--(DY$2:GG$2=GI$2))</f>
        <v>0</v>
      </c>
      <c r="GJ3" s="43" cm="1">
        <f t="array" ref="GJ3">SUMPRODUCT(DZ3:GH3,--(DZ$2:GH$2=GJ$2))</f>
        <v>0</v>
      </c>
      <c r="GK3" s="43"/>
      <c r="GL3" s="43"/>
      <c r="GM3" s="43"/>
      <c r="GN3" s="43"/>
      <c r="GO3" s="43"/>
      <c r="GP3" s="43"/>
      <c r="GQ3" s="43"/>
      <c r="GR3" s="43"/>
      <c r="GS3" s="43"/>
      <c r="GT3" s="43"/>
      <c r="GU3" s="43"/>
      <c r="GV3" s="43"/>
      <c r="GW3" s="43"/>
      <c r="GX3" s="43"/>
      <c r="GY3" s="43"/>
      <c r="GZ3" s="43"/>
      <c r="HA3" s="43"/>
      <c r="HB3" s="43"/>
      <c r="HC3" s="43"/>
      <c r="HD3" s="43"/>
      <c r="HE3" s="43"/>
      <c r="HF3" s="43"/>
      <c r="HG3" s="43"/>
      <c r="HH3" s="43"/>
      <c r="HI3" s="43"/>
      <c r="HJ3" s="43"/>
      <c r="HK3" s="43"/>
      <c r="HL3" s="43"/>
      <c r="HM3" s="43"/>
      <c r="HN3" s="43"/>
      <c r="HO3" s="43"/>
      <c r="HP3" s="43"/>
      <c r="HQ3" s="43"/>
      <c r="HR3" s="43"/>
      <c r="HS3" s="43"/>
      <c r="HT3" s="43"/>
      <c r="HU3" s="43"/>
      <c r="HV3" s="43"/>
      <c r="HW3" s="43"/>
      <c r="HX3" s="43"/>
      <c r="HY3" s="43"/>
      <c r="HZ3" s="43"/>
      <c r="IA3" s="43"/>
      <c r="IB3" s="43"/>
      <c r="IC3" s="43"/>
      <c r="ID3" s="43"/>
      <c r="IE3" s="43"/>
      <c r="IF3" s="43"/>
      <c r="IG3" s="43"/>
      <c r="IH3" s="43"/>
      <c r="II3" s="43"/>
      <c r="IJ3" s="43"/>
      <c r="IK3" s="43"/>
      <c r="IL3" s="43"/>
      <c r="IM3" s="43"/>
      <c r="IN3" s="43"/>
      <c r="IO3" s="43"/>
      <c r="IP3" s="43"/>
      <c r="IQ3" s="43"/>
      <c r="IR3" s="43"/>
      <c r="IS3" s="43">
        <v>0</v>
      </c>
      <c r="IT3" s="43">
        <f>GL3+GN3+GP3+GR3+GT3+GV3+GX3+GZ3+HB3+HD3+HF3+HH3+HJ3+HL3+HN3+HP3+HR3+HT3+HV3+HX3+HZ3+IB3+ID3+IF3+IH3+IJ3+IL3+IN3+IP3+IR3</f>
        <v>0</v>
      </c>
      <c r="IU3" s="43"/>
      <c r="IV3" s="43"/>
      <c r="IW3" s="43"/>
      <c r="IX3" s="43"/>
      <c r="IY3" s="43"/>
      <c r="IZ3" s="43"/>
      <c r="JA3" s="43"/>
      <c r="JB3" s="43"/>
      <c r="JC3" s="43"/>
      <c r="JD3" s="43"/>
      <c r="JE3" s="43"/>
      <c r="JF3" s="43"/>
      <c r="JG3" s="43"/>
      <c r="JH3" s="43"/>
      <c r="JI3" s="43"/>
      <c r="JJ3" s="43"/>
      <c r="JK3" s="43"/>
      <c r="JL3" s="43"/>
      <c r="JM3" s="43"/>
      <c r="JN3" s="43"/>
      <c r="JO3" s="43"/>
      <c r="JP3" s="43"/>
      <c r="JQ3" s="43"/>
      <c r="JR3" s="43"/>
      <c r="JS3" s="43"/>
      <c r="JT3" s="43"/>
      <c r="JU3" s="43"/>
      <c r="JV3" s="43"/>
      <c r="JW3" s="43"/>
      <c r="JX3" s="43"/>
      <c r="JY3" s="43"/>
      <c r="JZ3" s="43"/>
      <c r="KA3" s="43"/>
      <c r="KB3" s="43"/>
      <c r="KC3" s="43"/>
      <c r="KD3" s="43"/>
      <c r="KE3" s="43"/>
      <c r="KF3" s="43"/>
      <c r="KG3" s="43"/>
      <c r="KH3" s="43"/>
      <c r="KI3" s="43"/>
      <c r="KJ3" s="43"/>
      <c r="KK3" s="43"/>
      <c r="KL3" s="43"/>
      <c r="KM3" s="43"/>
      <c r="KN3" s="43"/>
      <c r="KO3" s="43"/>
      <c r="KP3" s="43"/>
      <c r="KQ3" s="43"/>
      <c r="KR3" s="43"/>
      <c r="KS3" s="43"/>
      <c r="KT3" s="43"/>
      <c r="KU3" s="43"/>
      <c r="KV3" s="43"/>
      <c r="KW3" s="43"/>
      <c r="KX3" s="43"/>
      <c r="KY3" s="43"/>
      <c r="KZ3" s="43"/>
      <c r="LA3" s="43"/>
      <c r="LB3" s="43"/>
      <c r="LC3" s="43"/>
      <c r="LD3" s="43"/>
      <c r="LE3" s="43">
        <f>IU3+IW3+IY3+JA3+JC3+JE3+JG3+JI3+JK3+JM3+JO3+JQ3+JS3+JU3+JW3+JY3+KA3+KC3+KE3+KG3+KI3+KK3+KM3+KO3+KQ3+KS3+KU3+KW3+KY3+LA3+LC3</f>
        <v>0</v>
      </c>
      <c r="LF3" s="43">
        <f>IV3+IX3+IZ3+JB3+JD3+JF3+JH3+JJ3+JL3+JN3+JP3+JR3+JT3+JV3+JX3+JZ3+KB3+KD3+KF3+KH3+KJ3+KL3+KN3+KP3+KR3+KT3+KV3+KX3+KZ3+LB3+LD3</f>
        <v>0</v>
      </c>
      <c r="LG3" s="43"/>
      <c r="LH3" s="43"/>
      <c r="LI3" s="43"/>
      <c r="LJ3" s="43"/>
      <c r="LK3" s="43"/>
      <c r="LL3" s="43"/>
      <c r="LM3" s="43"/>
      <c r="LN3" s="43"/>
      <c r="LO3" s="43"/>
      <c r="LP3" s="43"/>
      <c r="LQ3" s="43"/>
      <c r="LR3" s="43"/>
      <c r="LS3" s="43"/>
      <c r="LT3" s="43"/>
      <c r="LU3" s="43"/>
      <c r="LV3" s="43"/>
      <c r="LW3" s="43"/>
      <c r="LX3" s="43"/>
      <c r="LY3" s="43"/>
      <c r="LZ3" s="43"/>
      <c r="MA3" s="43"/>
      <c r="MB3" s="43"/>
      <c r="MC3" s="43"/>
      <c r="MD3" s="43"/>
      <c r="ME3" s="43"/>
      <c r="MF3" s="43"/>
      <c r="MG3" s="43"/>
      <c r="MH3" s="43"/>
      <c r="MI3" s="43"/>
      <c r="MJ3" s="43"/>
      <c r="MK3" s="43"/>
      <c r="ML3" s="43"/>
      <c r="MM3" s="43"/>
      <c r="MN3" s="43"/>
      <c r="MO3" s="43"/>
      <c r="MP3" s="43"/>
      <c r="MQ3" s="43"/>
      <c r="MR3" s="43"/>
      <c r="MS3" s="43"/>
      <c r="MT3" s="43"/>
      <c r="MU3" s="43"/>
      <c r="MV3" s="43"/>
      <c r="MW3" s="43"/>
      <c r="MX3" s="43"/>
      <c r="MY3" s="43"/>
      <c r="MZ3" s="43"/>
      <c r="NA3" s="43"/>
      <c r="NB3" s="43"/>
      <c r="NC3" s="43"/>
      <c r="ND3" s="43"/>
      <c r="NE3" s="43"/>
      <c r="NF3" s="43"/>
      <c r="NG3" s="43"/>
      <c r="NH3" s="43"/>
      <c r="NI3" s="43"/>
      <c r="NJ3" s="43"/>
      <c r="NK3" s="43"/>
      <c r="NL3" s="43"/>
      <c r="NM3" s="43"/>
      <c r="NN3" s="43"/>
      <c r="NO3" s="43">
        <f>LG3+LI3+LK3+LM3+LO3+LQ3+LS3+LU3+LW3+LY3+MA3+MC3+ME3+MG3+MI3+MK3+MM3+MO3+MQ3+MS3+MU3+MW3+MY3+NA3+NC3+NE3+NG3+NI3+NK3+NM3</f>
        <v>0</v>
      </c>
      <c r="NP3" s="43">
        <f>LH3+LJ3+LL3+LN3+LP3+LR3+LT3+LV3+LX3+LZ3+MB3+MD3+MF3+MH3+MJ3+ML3+MN3+MP3+MR3+MT3+MV3+MX3+MZ3+NB3+ND3+NF3+NH3+NJ3+NL3+NN3</f>
        <v>0</v>
      </c>
      <c r="NQ3" s="43"/>
      <c r="NR3" s="43"/>
      <c r="NS3" s="43"/>
      <c r="NT3" s="43"/>
      <c r="NU3" s="43"/>
      <c r="NV3" s="43"/>
      <c r="NW3" s="43"/>
      <c r="NX3" s="43"/>
      <c r="NY3" s="43"/>
      <c r="NZ3" s="43"/>
      <c r="OA3" s="43"/>
      <c r="OB3" s="43"/>
      <c r="OC3" s="43"/>
      <c r="OD3" s="43"/>
      <c r="OE3" s="43"/>
      <c r="OF3" s="43"/>
      <c r="OG3" s="43"/>
      <c r="OH3" s="43"/>
      <c r="OI3" s="43"/>
      <c r="OJ3" s="43"/>
      <c r="OK3" s="43"/>
      <c r="OL3" s="43"/>
      <c r="OM3" s="43"/>
      <c r="ON3" s="43"/>
      <c r="OO3" s="43"/>
      <c r="OP3" s="43"/>
      <c r="OQ3" s="43"/>
      <c r="OR3" s="43"/>
      <c r="OS3" s="43"/>
      <c r="OT3" s="43"/>
      <c r="OU3" s="43"/>
      <c r="OV3" s="43"/>
      <c r="OW3" s="43"/>
      <c r="OX3" s="43"/>
      <c r="OY3" s="43"/>
      <c r="OZ3" s="43"/>
      <c r="PA3" s="43"/>
      <c r="PB3" s="43"/>
      <c r="PC3" s="43"/>
      <c r="PD3" s="43"/>
      <c r="PE3" s="43"/>
      <c r="PF3" s="43"/>
      <c r="PG3" s="43"/>
      <c r="PH3" s="43"/>
      <c r="PI3" s="43"/>
      <c r="PJ3" s="43"/>
      <c r="PK3" s="43"/>
      <c r="PL3" s="43"/>
      <c r="PM3" s="43"/>
      <c r="PN3" s="43"/>
      <c r="PO3" s="43"/>
      <c r="PP3" s="43"/>
      <c r="PQ3" s="43"/>
      <c r="PR3" s="43"/>
      <c r="PS3" s="43"/>
      <c r="PT3" s="43"/>
      <c r="PU3" s="43"/>
      <c r="PV3" s="43"/>
      <c r="PW3" s="43"/>
      <c r="PX3" s="43"/>
      <c r="PY3" s="43"/>
      <c r="PZ3" s="43"/>
      <c r="QA3" s="43">
        <f>NQ3+NS3+NU3+NW3+NY3+OA3+OC3+OE3+OG3+OI3+OK3+OM3+OO3+OQ3+OS3+OU3+OW3+OY3+PA3+PC3+PE3+PG3+PI3+PK3+PM3+PO3+PQ3+PS3+PU3+PW3+PY3</f>
        <v>0</v>
      </c>
      <c r="QB3" s="43">
        <f>NR3+NT3+NV3+NX3+NZ3+OB3+OD3+OF3+OH3+OJ3+OL3+ON3+OP3+OR3+OT3+OV3+OX3+OZ3+PB3+PD3+PF3+PH3+PJ3+PL3+PN3+PP3+PR3+PT3+PV3+PX3+PZ3</f>
        <v>0</v>
      </c>
      <c r="QC3" s="43"/>
      <c r="QD3" s="43"/>
      <c r="QE3" s="43"/>
      <c r="QF3" s="43"/>
      <c r="QG3" s="43"/>
      <c r="QH3" s="43"/>
      <c r="QI3" s="43"/>
      <c r="QJ3" s="43"/>
      <c r="QK3" s="43"/>
      <c r="QL3" s="43"/>
      <c r="QM3" s="43"/>
      <c r="QN3" s="43"/>
      <c r="QO3" s="43"/>
      <c r="QP3" s="43"/>
      <c r="QQ3" s="43"/>
      <c r="QR3" s="43"/>
      <c r="QS3" s="43"/>
      <c r="QT3" s="43"/>
      <c r="QU3" s="43"/>
      <c r="QV3" s="43"/>
      <c r="QW3" s="43"/>
      <c r="QX3" s="43"/>
      <c r="QY3" s="43"/>
      <c r="QZ3" s="43"/>
      <c r="RA3" s="43"/>
      <c r="RB3" s="43"/>
      <c r="RC3" s="43"/>
      <c r="RD3" s="43"/>
      <c r="RE3" s="43"/>
      <c r="RF3" s="43"/>
      <c r="RG3" s="43"/>
      <c r="RH3" s="43"/>
      <c r="RI3" s="43"/>
      <c r="RJ3" s="43"/>
      <c r="RK3" s="43"/>
      <c r="RL3" s="43"/>
      <c r="RM3" s="43"/>
      <c r="RN3" s="43"/>
      <c r="RO3" s="43"/>
      <c r="RP3" s="43"/>
      <c r="RQ3" s="43"/>
      <c r="RR3" s="43"/>
      <c r="RS3" s="43"/>
      <c r="RT3" s="43"/>
      <c r="RU3" s="43"/>
      <c r="RV3" s="43"/>
      <c r="RW3" s="43"/>
      <c r="RX3" s="43"/>
      <c r="RY3" s="43"/>
      <c r="RZ3" s="43"/>
      <c r="SA3" s="43"/>
      <c r="SB3" s="43"/>
      <c r="SC3" s="43"/>
      <c r="SD3" s="43"/>
      <c r="SE3" s="43"/>
      <c r="SF3" s="43"/>
      <c r="SG3" s="43"/>
      <c r="SH3" s="43"/>
      <c r="SI3" s="43"/>
      <c r="SJ3" s="43"/>
      <c r="SK3" s="43"/>
      <c r="SL3" s="43"/>
      <c r="SM3" s="43">
        <f>QC3+QE3+QG3+QI3+QK3+QM3+QO3+QQ3+QS3+QU3+QW3+QY3+RA3+RC3+RE3+RG3+RI3+RK3+RM3+RO3+RQ3+RS3+RU3+RW3+RY3+SA3+SC3+SE3+SG3+SI3+SK3</f>
        <v>0</v>
      </c>
      <c r="SN3" s="43">
        <f>QD3+QF3+QH3+QJ3+QL3+QN3+QP3+QR3+QT3+QV3+QX3+QZ3+RB3+RD3+RF3+RH3+RJ3+RL3+RN3+RP3+RR3+RT3+RV3+RX3+RZ3+SB3+SD3+SF3+SH3+SJ3+SL3</f>
        <v>0</v>
      </c>
      <c r="SO3" s="43"/>
      <c r="SP3" s="43"/>
      <c r="SQ3" s="43"/>
      <c r="SR3" s="43"/>
      <c r="SS3" s="43"/>
      <c r="ST3" s="43"/>
      <c r="SU3" s="43"/>
      <c r="SV3" s="43"/>
      <c r="SW3" s="43"/>
      <c r="SX3" s="43"/>
      <c r="SY3" s="43"/>
      <c r="SZ3" s="43"/>
      <c r="TA3" s="43"/>
      <c r="TB3" s="43"/>
      <c r="TC3" s="43"/>
      <c r="TD3" s="43"/>
      <c r="TE3" s="43"/>
      <c r="TF3" s="43"/>
      <c r="TG3" s="43"/>
      <c r="TH3" s="43"/>
      <c r="TI3" s="43"/>
      <c r="TJ3" s="43"/>
      <c r="TK3" s="43"/>
      <c r="TL3" s="43"/>
      <c r="TM3" s="43"/>
      <c r="TN3" s="43"/>
      <c r="TO3" s="43"/>
      <c r="TP3" s="43"/>
      <c r="TQ3" s="43"/>
      <c r="TR3" s="43"/>
      <c r="TS3" s="43"/>
      <c r="TT3" s="43"/>
      <c r="TU3" s="43"/>
      <c r="TV3" s="43"/>
      <c r="TW3" s="43"/>
      <c r="TX3" s="43"/>
      <c r="TY3" s="43"/>
      <c r="TZ3" s="43"/>
      <c r="UA3" s="43"/>
      <c r="UB3" s="43"/>
      <c r="UC3" s="43"/>
      <c r="UD3" s="43"/>
      <c r="UE3" s="43"/>
      <c r="UF3" s="43"/>
      <c r="UG3" s="43"/>
      <c r="UH3" s="43"/>
      <c r="UI3" s="43"/>
      <c r="UJ3" s="43"/>
      <c r="UK3" s="43"/>
      <c r="UL3" s="43"/>
      <c r="UM3" s="43"/>
      <c r="UN3" s="43"/>
      <c r="UO3" s="43"/>
      <c r="UP3" s="43"/>
      <c r="UQ3" s="43"/>
      <c r="UR3" s="43"/>
      <c r="US3" s="43"/>
      <c r="UT3" s="43"/>
      <c r="UU3" s="43"/>
      <c r="UV3" s="43"/>
      <c r="UW3" s="43">
        <f>SO3+SQ3+SS3+SU3+SW3+SY3+TA3+TC3+TE3+TG3+TI3+TK3+TM3+TO3+TQ3+TS3+TU3+TW3+TY3+UA3+UC3+UE3+UG3+UI3+UK3+UM3+UO3+UQ3+US3+UU3</f>
        <v>0</v>
      </c>
      <c r="UX3" s="43">
        <f>SP3+SR3+ST3+SV3+SX3+SZ3+TB3+TD3+TF3+TH3+TJ3+TL3+TN3+TP3+TR3+TT3+TV3+TX3+TZ3+UB3+UD3+UF3+UH3+UJ3+UL3+UN3+UP3+UR3+UT3+UV3</f>
        <v>0</v>
      </c>
      <c r="UY3" s="43"/>
      <c r="UZ3" s="43"/>
      <c r="VA3" s="43"/>
      <c r="VB3" s="43"/>
      <c r="VC3" s="43"/>
      <c r="VD3" s="43"/>
      <c r="VE3" s="43"/>
      <c r="VF3" s="43"/>
      <c r="VG3" s="43"/>
      <c r="VH3" s="43"/>
      <c r="VI3" s="43"/>
      <c r="VJ3" s="43"/>
      <c r="VK3" s="43"/>
      <c r="VL3" s="43"/>
      <c r="VM3" s="43"/>
      <c r="VN3" s="43"/>
      <c r="VO3" s="43"/>
      <c r="VP3" s="43"/>
      <c r="VQ3" s="43"/>
      <c r="VR3" s="43"/>
      <c r="VS3" s="43"/>
      <c r="VT3" s="43"/>
      <c r="VU3" s="43"/>
      <c r="VV3" s="43"/>
      <c r="VW3" s="43"/>
      <c r="VX3" s="43"/>
      <c r="VY3" s="43"/>
      <c r="VZ3" s="43"/>
      <c r="WA3" s="43"/>
      <c r="WB3" s="43"/>
      <c r="WC3" s="43"/>
      <c r="WD3" s="43"/>
      <c r="WE3" s="43"/>
      <c r="WF3" s="43"/>
      <c r="WG3" s="43"/>
      <c r="WH3" s="43"/>
      <c r="WI3" s="43"/>
      <c r="WJ3" s="43"/>
      <c r="WK3" s="43"/>
      <c r="WL3" s="43"/>
      <c r="WM3" s="43"/>
      <c r="WN3" s="43"/>
      <c r="WO3" s="43"/>
      <c r="WP3" s="43"/>
      <c r="WQ3" s="43"/>
      <c r="WR3" s="43"/>
      <c r="WS3" s="43"/>
      <c r="WT3" s="43"/>
      <c r="WU3" s="43"/>
      <c r="WV3" s="43"/>
      <c r="WW3" s="43"/>
      <c r="WX3" s="43"/>
      <c r="WY3" s="43"/>
      <c r="WZ3" s="43"/>
      <c r="XA3" s="43"/>
      <c r="XB3" s="43"/>
      <c r="XC3" s="43"/>
      <c r="XD3" s="43"/>
      <c r="XE3" s="43"/>
      <c r="XF3" s="43"/>
      <c r="XG3" s="43"/>
      <c r="XH3" s="43"/>
      <c r="XI3" s="43">
        <f>UY3+VA3+VC3+VE3+VG3+VI3+VK3+VM3+VO3+VQ3+VS3+VU3+VW3+VY3+WA3+WC3+WE3+WG3+WI3+WK3+WM3+WO3+WQ3+WS3+WU3+WW3+WY3+XA3+XC3+XE3+XG3</f>
        <v>0</v>
      </c>
      <c r="XJ3" s="43">
        <f>UZ3+VB3+VD3+VF3+VH3+VJ3+VL3+VN3+VP3+VR3+VT3+VV3+VX3+VZ3+WB3+WD3+WF3+WH3+WJ3+WL3+WN3+WP3+WR3+WT3+WV3+WX3+WZ3+XB3+XD3+XF3+XH3</f>
        <v>0</v>
      </c>
      <c r="XK3" s="43"/>
      <c r="XL3" s="43"/>
      <c r="XM3" s="43"/>
      <c r="XN3" s="43"/>
      <c r="XO3" s="43"/>
      <c r="XP3" s="43"/>
      <c r="XQ3" s="43"/>
      <c r="XR3" s="43"/>
      <c r="XS3" s="43"/>
      <c r="XT3" s="43"/>
      <c r="XU3" s="43"/>
      <c r="XV3" s="43"/>
      <c r="XW3" s="43"/>
      <c r="XX3" s="43"/>
      <c r="XY3" s="43"/>
      <c r="XZ3" s="43"/>
      <c r="YA3" s="43"/>
      <c r="YB3" s="43"/>
      <c r="YC3" s="43"/>
      <c r="YD3" s="43"/>
      <c r="YE3" s="43"/>
      <c r="YF3" s="43"/>
      <c r="YG3" s="43"/>
      <c r="YH3" s="43"/>
      <c r="YI3" s="43"/>
      <c r="YJ3" s="43"/>
      <c r="YK3" s="43"/>
      <c r="YL3" s="43"/>
      <c r="YM3" s="43"/>
      <c r="YN3" s="43"/>
      <c r="YO3" s="43"/>
      <c r="YP3" s="43"/>
      <c r="YQ3" s="43"/>
      <c r="YR3" s="43"/>
      <c r="YS3" s="43"/>
      <c r="YT3" s="43"/>
      <c r="YU3" s="43"/>
      <c r="YV3" s="43"/>
      <c r="YW3" s="43"/>
      <c r="YX3" s="43"/>
      <c r="YY3" s="43"/>
      <c r="YZ3" s="43"/>
      <c r="ZA3" s="43"/>
      <c r="ZB3" s="43"/>
      <c r="ZC3" s="43"/>
      <c r="ZD3" s="43"/>
      <c r="ZE3" s="43"/>
      <c r="ZF3" s="43"/>
      <c r="ZG3" s="43"/>
      <c r="ZH3" s="43"/>
      <c r="ZI3" s="43"/>
      <c r="ZJ3" s="43"/>
      <c r="ZK3" s="43"/>
      <c r="ZL3" s="43"/>
      <c r="ZM3" s="43"/>
      <c r="ZN3" s="43"/>
      <c r="ZO3" s="43"/>
      <c r="ZP3" s="43"/>
      <c r="ZQ3" s="43"/>
      <c r="ZR3" s="43"/>
      <c r="ZS3" s="43">
        <f>XK3+XM3+XO3+XQ3+XS3+XU3+XW3+XY3+YA3+YC3+YE3+YG3+YI3+YK3+YM3+YO3+YQ3+YS3+YU3+YW3+YY3+ZA3+ZC3+ZE3+ZG3+ZI3+ZK3+ZM3+ZO3+ZQ3</f>
        <v>0</v>
      </c>
      <c r="ZT3" s="43">
        <f>XL3+XN3+XP3+XR3+XT3+XV3+XX3+XZ3+YB3+YD3+YF3+YH3+YJ3+YL3+YN3+YP3+YR3+YT3+YV3+YX3+YZ3+ZB3+ZD3+ZF3+ZH3+ZJ3+ZL3+ZN3+ZP3+ZR3</f>
        <v>0</v>
      </c>
      <c r="ZU3" s="43"/>
      <c r="ZV3" s="43"/>
      <c r="ZW3" s="43"/>
      <c r="ZX3" s="43"/>
      <c r="ZY3" s="43"/>
      <c r="ZZ3" s="43"/>
      <c r="AAA3" s="43"/>
      <c r="AAB3" s="43"/>
      <c r="AAC3" s="43"/>
      <c r="AAD3" s="43"/>
      <c r="AAE3" s="43"/>
      <c r="AAF3" s="43"/>
      <c r="AAG3" s="43"/>
      <c r="AAH3" s="43"/>
      <c r="AAI3" s="43"/>
      <c r="AAJ3" s="43"/>
      <c r="AAK3" s="43"/>
      <c r="AAL3" s="43"/>
      <c r="AAM3" s="43"/>
      <c r="AAN3" s="43"/>
      <c r="AAO3" s="43"/>
      <c r="AAP3" s="43"/>
      <c r="AAQ3" s="43"/>
      <c r="AAR3" s="43"/>
      <c r="AAS3" s="43"/>
      <c r="AAT3" s="43"/>
      <c r="AAU3" s="43"/>
      <c r="AAV3" s="43"/>
      <c r="AAW3" s="43"/>
      <c r="AAX3" s="43"/>
      <c r="AAY3" s="43"/>
      <c r="AAZ3" s="43"/>
      <c r="ABA3" s="43"/>
      <c r="ABB3" s="43"/>
      <c r="ABC3" s="43"/>
      <c r="ABD3" s="43"/>
      <c r="ABE3" s="43"/>
      <c r="ABF3" s="43"/>
      <c r="ABG3" s="43"/>
      <c r="ABH3" s="43"/>
      <c r="ABI3" s="43"/>
      <c r="ABJ3" s="43"/>
      <c r="ABK3" s="43"/>
      <c r="ABL3" s="43"/>
      <c r="ABM3" s="43"/>
      <c r="ABN3" s="43"/>
      <c r="ABO3" s="43"/>
      <c r="ABP3" s="43"/>
      <c r="ABQ3" s="43"/>
      <c r="ABR3" s="43"/>
      <c r="ABS3" s="43"/>
      <c r="ABT3" s="43"/>
      <c r="ABU3" s="43"/>
      <c r="ABV3" s="43"/>
      <c r="ABW3" s="43"/>
      <c r="ABX3" s="43"/>
      <c r="ABY3" s="43"/>
      <c r="ABZ3" s="43"/>
      <c r="ACA3" s="43"/>
      <c r="ACB3" s="43"/>
      <c r="ACC3" s="43"/>
      <c r="ACD3" s="44"/>
      <c r="ACE3" s="43">
        <f>ZU3+ZW3+ZY3+AAA3+AAC3+AAE3+AAG3+AAI3+AAK3+AAM3+AAO3+AAQ3+AAS3+AAU3+AAW3+AAY3+ABA3+ABC3+ABE3+ABG3+ABI3+ABK3+ABM3+ABO3+ABQ3+ABS3+ABU3+ABW3+ABY3+ACA3+ACC3</f>
        <v>0</v>
      </c>
      <c r="ACF3" s="43"/>
      <c r="ACG3" s="43">
        <f>BO3+DW3+GI3+IS3+LE3+NO3+QA3+SM3+UW3+XI3+ZS3+ACE3</f>
        <v>0</v>
      </c>
      <c r="ACH3" s="54"/>
      <c r="ACI3" s="71" t="s">
        <v>207</v>
      </c>
      <c r="ACJ3" s="71" t="s">
        <v>86</v>
      </c>
    </row>
    <row r="4" spans="1:764" x14ac:dyDescent="0.25">
      <c r="A4" s="162"/>
      <c r="B4" s="152"/>
      <c r="C4" s="155"/>
      <c r="D4" s="50" t="s">
        <v>7</v>
      </c>
      <c r="E4" s="74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24" cm="1">
        <f t="array" ref="BO4">SUMPRODUCT(E4:BM4,--(E$2:BM$2=BO$2))</f>
        <v>0</v>
      </c>
      <c r="BP4" s="24" cm="1">
        <f t="array" ref="BP4">SUMPRODUCT(F4:BN4,--(F$2:BN$2=BP$2))</f>
        <v>0</v>
      </c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 cm="1">
        <f t="array" ref="DW4">SUMPRODUCT(BQ4:DU4,--(BQ$2:DU$2=DW$2))</f>
        <v>0</v>
      </c>
      <c r="DX4" s="24" cm="1">
        <f t="array" ref="DX4">SUMPRODUCT(BR4:DV4,--(BR$2:DV$2=DX$2))</f>
        <v>0</v>
      </c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 cm="1">
        <f t="array" ref="GI4">SUMPRODUCT(DY4:GG4,--(DY$2:GG$2=GI$2))</f>
        <v>0</v>
      </c>
      <c r="GJ4" s="24" cm="1">
        <f t="array" ref="GJ4">SUMPRODUCT(DZ4:GH4,--(DZ$2:GH$2=GJ$2))</f>
        <v>0</v>
      </c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>
        <f t="shared" ref="IS4:IS12" si="70">GK4+GM4+GO4+GQ4+GS4+GU4+GW4+GY4+HA4+HC4+HE4+HG4+HI4+HK4+HM4+HO4+HQ4+HS4+HU4+HW4+HY4+IA4+IC4+IE4+IG4+II4+IK4+IM4+IO4+IQ4</f>
        <v>0</v>
      </c>
      <c r="IT4" s="24">
        <f t="shared" ref="IT4:IT12" si="71">GL4+GN4+GP4+GR4+GT4+GV4+GX4+GZ4+HB4+HD4+HF4+HH4+HJ4+HL4+HN4+HP4+HR4+HT4+HV4+HX4+HZ4+IB4+ID4+IF4+IH4+IJ4+IL4+IN4+IP4+IR4</f>
        <v>0</v>
      </c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>
        <f t="shared" ref="LE4:LE12" si="72">IU4+IW4+IY4+JA4+JC4+JE4+JG4+JI4+JK4+JM4+JO4+JQ4+JS4+JU4+JW4+JY4+KA4+KC4+KE4+KG4+KI4+KK4+KM4+KO4+KQ4+KS4+KU4+KW4+KY4+LA4+LC4</f>
        <v>0</v>
      </c>
      <c r="LF4" s="24">
        <f t="shared" ref="LF4:LF12" si="73">IV4+IX4+IZ4+JB4+JD4+JF4+JH4+JJ4+JL4+JN4+JP4+JR4+JT4+JV4+JX4+JZ4+KB4+KD4+KF4+KH4+KJ4+KL4+KN4+KP4+KR4+KT4+KV4+KX4+KZ4+LB4+LD4</f>
        <v>0</v>
      </c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>
        <f t="shared" ref="NO4:NO12" si="74">LG4+LI4+LK4+LM4+LO4+LQ4+LS4+LU4+LW4+LY4+MA4+MC4+ME4+MG4+MI4+MK4+MM4+MO4+MQ4+MS4+MU4+MW4+MY4+NA4+NC4+NE4+NG4+NI4+NK4+NM4</f>
        <v>0</v>
      </c>
      <c r="NP4" s="24">
        <f t="shared" ref="NP4:NP12" si="75">LH4+LJ4+LL4+LN4+LP4+LR4+LT4+LV4+LX4+LZ4+MB4+MD4+MF4+MH4+MJ4+ML4+MN4+MP4+MR4+MT4+MV4+MX4+MZ4+NB4+ND4+NF4+NH4+NJ4+NL4+NN4</f>
        <v>0</v>
      </c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OZ4" s="24"/>
      <c r="PA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P4" s="24"/>
      <c r="PQ4" s="24"/>
      <c r="PR4" s="24"/>
      <c r="PS4" s="24"/>
      <c r="PT4" s="24"/>
      <c r="PU4" s="24"/>
      <c r="PV4" s="24"/>
      <c r="PW4" s="24"/>
      <c r="PX4" s="24"/>
      <c r="PY4" s="24"/>
      <c r="PZ4" s="24"/>
      <c r="QA4" s="24">
        <f t="shared" ref="QA4:QA12" si="76">NQ4+NS4+NU4+NW4+NY4+OA4+OC4+OE4+OG4+OI4+OK4+OM4+OO4+OQ4+OS4+OU4+OW4+OY4+PA4+PC4+PE4+PG4+PI4+PK4+PM4+PO4+PQ4+PS4+PU4+PW4+PY4</f>
        <v>0</v>
      </c>
      <c r="QB4" s="24">
        <f t="shared" ref="QB4:QB12" si="77">NR4+NT4+NV4+NX4+NZ4+OB4+OD4+OF4+OH4+OJ4+OL4+ON4+OP4+OR4+OT4+OV4+OX4+OZ4+PB4+PD4+PF4+PH4+PJ4+PL4+PN4+PP4+PR4+PT4+PV4+PX4+PZ4</f>
        <v>0</v>
      </c>
      <c r="QC4" s="24"/>
      <c r="QD4" s="24"/>
      <c r="QE4" s="24"/>
      <c r="QF4" s="24"/>
      <c r="QG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V4" s="24"/>
      <c r="QW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L4" s="24"/>
      <c r="RM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B4" s="24"/>
      <c r="SC4" s="24"/>
      <c r="SD4" s="24"/>
      <c r="SE4" s="24"/>
      <c r="SF4" s="24"/>
      <c r="SG4" s="24"/>
      <c r="SH4" s="24"/>
      <c r="SI4" s="24"/>
      <c r="SJ4" s="24"/>
      <c r="SK4" s="24"/>
      <c r="SL4" s="24"/>
      <c r="SM4" s="24">
        <f t="shared" ref="SM4:SM12" si="78">QC4+QE4+QG4+QI4+QK4+QM4+QO4+QQ4+QS4+QU4+QW4+QY4+RA4+RC4+RE4+RG4+RI4+RK4+RM4+RO4+RQ4+RS4+RU4+RW4+RY4+SA4+SC4+SE4+SG4+SI4+SK4</f>
        <v>0</v>
      </c>
      <c r="SN4" s="24">
        <f t="shared" ref="SN4:SN12" si="79">QD4+QF4+QH4+QJ4+QL4+QN4+QP4+QR4+QT4+QV4+QX4+QZ4+RB4+RD4+RF4+RH4+RJ4+RL4+RN4+RP4+RR4+RT4+RV4+RX4+RZ4+SB4+SD4+SF4+SH4+SJ4+SL4</f>
        <v>0</v>
      </c>
      <c r="SO4" s="24"/>
      <c r="SP4" s="24"/>
      <c r="SQ4" s="24"/>
      <c r="SR4" s="24"/>
      <c r="SS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H4" s="24"/>
      <c r="TI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X4" s="24"/>
      <c r="TY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  <c r="UN4" s="24"/>
      <c r="UO4" s="24"/>
      <c r="UP4" s="24"/>
      <c r="UQ4" s="24"/>
      <c r="UR4" s="24"/>
      <c r="US4" s="24"/>
      <c r="UT4" s="24"/>
      <c r="UU4" s="24"/>
      <c r="UV4" s="24"/>
      <c r="UW4" s="24">
        <f t="shared" ref="UW4:UW12" si="80">SO4+SQ4+SS4+SU4+SW4+SY4+TA4+TC4+TE4+TG4+TI4+TK4+TM4+TO4+TQ4+TS4+TU4+TW4+TY4+UA4+UC4+UE4+UG4+UI4+UK4+UM4+UO4+UQ4+US4+UU4</f>
        <v>0</v>
      </c>
      <c r="UX4" s="24">
        <f t="shared" ref="UX4:UX12" si="81">SP4+SR4+ST4+SV4+SX4+SZ4+TB4+TD4+TF4+TH4+TJ4+TL4+TN4+TP4+TR4+TT4+TV4+TX4+TZ4+UB4+UD4+UF4+UH4+UJ4+UL4+UN4+UP4+UR4+UT4+UV4</f>
        <v>0</v>
      </c>
      <c r="UY4" s="24"/>
      <c r="UZ4" s="24"/>
      <c r="VA4" s="24"/>
      <c r="VB4" s="24"/>
      <c r="VC4" s="24"/>
      <c r="VD4" s="24"/>
      <c r="VE4" s="24"/>
      <c r="VF4" s="24"/>
      <c r="VG4" s="24"/>
      <c r="VH4" s="24"/>
      <c r="VI4" s="24"/>
      <c r="VJ4" s="24"/>
      <c r="VK4" s="24"/>
      <c r="VL4" s="24"/>
      <c r="VM4" s="24"/>
      <c r="VN4" s="24"/>
      <c r="VO4" s="24"/>
      <c r="VP4" s="24"/>
      <c r="VQ4" s="24"/>
      <c r="VR4" s="24"/>
      <c r="VS4" s="24"/>
      <c r="VT4" s="24"/>
      <c r="VU4" s="24"/>
      <c r="VV4" s="24"/>
      <c r="VW4" s="24"/>
      <c r="VX4" s="24"/>
      <c r="VY4" s="24"/>
      <c r="VZ4" s="24"/>
      <c r="WA4" s="24"/>
      <c r="WB4" s="24"/>
      <c r="WC4" s="24"/>
      <c r="WD4" s="24"/>
      <c r="WE4" s="24"/>
      <c r="WF4" s="24"/>
      <c r="WG4" s="24"/>
      <c r="WH4" s="24"/>
      <c r="WI4" s="24"/>
      <c r="WJ4" s="24"/>
      <c r="WK4" s="24"/>
      <c r="WL4" s="24"/>
      <c r="WM4" s="24"/>
      <c r="WN4" s="24"/>
      <c r="WO4" s="24"/>
      <c r="WP4" s="24"/>
      <c r="WQ4" s="24"/>
      <c r="WR4" s="24"/>
      <c r="WS4" s="24"/>
      <c r="WT4" s="24"/>
      <c r="WU4" s="24"/>
      <c r="WV4" s="24"/>
      <c r="WW4" s="24"/>
      <c r="WX4" s="24"/>
      <c r="WY4" s="24"/>
      <c r="WZ4" s="24"/>
      <c r="XA4" s="24"/>
      <c r="XB4" s="24"/>
      <c r="XC4" s="24"/>
      <c r="XD4" s="24"/>
      <c r="XE4" s="24"/>
      <c r="XF4" s="24"/>
      <c r="XG4" s="24"/>
      <c r="XH4" s="24"/>
      <c r="XI4" s="24">
        <f t="shared" ref="XI4:XI12" si="82">UY4+VA4+VC4+VE4+VG4+VI4+VK4+VM4+VO4+VQ4+VS4+VU4+VW4+VY4+WA4+WC4+WE4+WG4+WI4+WK4+WM4+WO4+WQ4+WS4+WU4+WW4+WY4+XA4+XC4+XE4+XG4</f>
        <v>0</v>
      </c>
      <c r="XJ4" s="24">
        <f t="shared" ref="XJ4:XJ12" si="83">UZ4+VB4+VD4+VF4+VH4+VJ4+VL4+VN4+VP4+VR4+VT4+VV4+VX4+VZ4+WB4+WD4+WF4+WH4+WJ4+WL4+WN4+WP4+WR4+WT4+WV4+WX4+WZ4+XB4+XD4+XF4+XH4</f>
        <v>0</v>
      </c>
      <c r="XK4" s="24"/>
      <c r="XL4" s="24"/>
      <c r="XM4" s="24"/>
      <c r="XN4" s="24"/>
      <c r="XO4" s="24"/>
      <c r="XP4" s="24"/>
      <c r="XQ4" s="24"/>
      <c r="XR4" s="24"/>
      <c r="XS4" s="24"/>
      <c r="XT4" s="24"/>
      <c r="XU4" s="24"/>
      <c r="XV4" s="24"/>
      <c r="XW4" s="24"/>
      <c r="XX4" s="24"/>
      <c r="XY4" s="24"/>
      <c r="XZ4" s="24"/>
      <c r="YA4" s="24"/>
      <c r="YB4" s="24"/>
      <c r="YC4" s="24"/>
      <c r="YD4" s="24"/>
      <c r="YE4" s="24"/>
      <c r="YF4" s="24"/>
      <c r="YG4" s="24"/>
      <c r="YH4" s="24"/>
      <c r="YI4" s="24"/>
      <c r="YJ4" s="24"/>
      <c r="YK4" s="24"/>
      <c r="YL4" s="24"/>
      <c r="YM4" s="24"/>
      <c r="YN4" s="24"/>
      <c r="YO4" s="24"/>
      <c r="YP4" s="24"/>
      <c r="YQ4" s="24"/>
      <c r="YR4" s="24"/>
      <c r="YS4" s="24"/>
      <c r="YT4" s="24"/>
      <c r="YU4" s="24"/>
      <c r="YV4" s="24"/>
      <c r="YW4" s="24"/>
      <c r="YX4" s="24"/>
      <c r="YY4" s="24"/>
      <c r="YZ4" s="24"/>
      <c r="ZA4" s="24"/>
      <c r="ZB4" s="24"/>
      <c r="ZC4" s="24"/>
      <c r="ZD4" s="24"/>
      <c r="ZE4" s="24"/>
      <c r="ZF4" s="24"/>
      <c r="ZG4" s="24"/>
      <c r="ZH4" s="24"/>
      <c r="ZI4" s="24"/>
      <c r="ZJ4" s="24"/>
      <c r="ZK4" s="24"/>
      <c r="ZL4" s="24"/>
      <c r="ZM4" s="24"/>
      <c r="ZN4" s="24"/>
      <c r="ZO4" s="24"/>
      <c r="ZP4" s="24"/>
      <c r="ZQ4" s="24"/>
      <c r="ZR4" s="24"/>
      <c r="ZS4" s="24">
        <f t="shared" ref="ZS4:ZS12" si="84">XK4+XM4+XO4+XQ4+XS4+XU4+XW4+XY4+YA4+YC4+YE4+YG4+YI4+YK4+YM4+YO4+YQ4+YS4+YU4+YW4+YY4+ZA4+ZC4+ZE4+ZG4+ZI4+ZK4+ZM4+ZO4+ZQ4</f>
        <v>0</v>
      </c>
      <c r="ZT4" s="24">
        <f t="shared" ref="ZT4:ZT12" si="85">XL4+XN4+XP4+XR4+XT4+XV4+XX4+XZ4+YB4+YD4+YF4+YH4+YJ4+YL4+YN4+YP4+YR4+YT4+YV4+YX4+YZ4+ZB4+ZD4+ZF4+ZH4+ZJ4+ZL4+ZN4+ZP4+ZR4</f>
        <v>0</v>
      </c>
      <c r="ZU4" s="24"/>
      <c r="ZV4" s="24"/>
      <c r="ZW4" s="24"/>
      <c r="ZX4" s="24"/>
      <c r="ZY4" s="24"/>
      <c r="ZZ4" s="24"/>
      <c r="AAA4" s="24"/>
      <c r="AAB4" s="24"/>
      <c r="AAC4" s="24"/>
      <c r="AAD4" s="24"/>
      <c r="AAE4" s="24"/>
      <c r="AAF4" s="24"/>
      <c r="AAG4" s="24"/>
      <c r="AAH4" s="24"/>
      <c r="AAI4" s="24"/>
      <c r="AAJ4" s="24"/>
      <c r="AAK4" s="24"/>
      <c r="AAL4" s="24"/>
      <c r="AAM4" s="24"/>
      <c r="AAN4" s="24"/>
      <c r="AAO4" s="24"/>
      <c r="AAP4" s="24"/>
      <c r="AAQ4" s="24"/>
      <c r="AAR4" s="24"/>
      <c r="AAS4" s="24"/>
      <c r="AAT4" s="24"/>
      <c r="AAU4" s="24"/>
      <c r="AAV4" s="24"/>
      <c r="AAW4" s="24"/>
      <c r="AAX4" s="24"/>
      <c r="AAY4" s="24"/>
      <c r="AAZ4" s="24"/>
      <c r="ABA4" s="24"/>
      <c r="ABB4" s="24"/>
      <c r="ABC4" s="24"/>
      <c r="ABD4" s="24"/>
      <c r="ABE4" s="24"/>
      <c r="ABF4" s="24"/>
      <c r="ABG4" s="24"/>
      <c r="ABH4" s="24"/>
      <c r="ABI4" s="24"/>
      <c r="ABJ4" s="24"/>
      <c r="ABK4" s="24"/>
      <c r="ABL4" s="24"/>
      <c r="ABM4" s="24"/>
      <c r="ABN4" s="24"/>
      <c r="ABO4" s="24"/>
      <c r="ABP4" s="24"/>
      <c r="ABQ4" s="24"/>
      <c r="ABR4" s="24"/>
      <c r="ABS4" s="24"/>
      <c r="ABT4" s="24"/>
      <c r="ABU4" s="24"/>
      <c r="ABV4" s="24"/>
      <c r="ABW4" s="24"/>
      <c r="ABX4" s="24"/>
      <c r="ABY4" s="24"/>
      <c r="ABZ4" s="24"/>
      <c r="ACA4" s="24"/>
      <c r="ACB4" s="24"/>
      <c r="ACC4" s="24"/>
      <c r="ACD4" s="24"/>
      <c r="ACE4" s="24">
        <f t="shared" ref="ACE4:ACE12" si="86">ZU4+ZW4+ZY4+AAA4+AAC4+AAE4+AAG4+AAI4+AAK4+AAM4+AAO4+AAQ4+AAS4+AAU4+AAW4+AAY4+ABA4+ABC4+ABE4+ABG4+ABI4+ABK4+ABM4+ABO4+ABQ4+ABS4+ABU4+ABW4+ABY4+ACA4+ACC4</f>
        <v>0</v>
      </c>
      <c r="ACF4" s="24"/>
      <c r="ACG4" s="24">
        <f t="shared" ref="ACG4:ACG12" si="87">BO4+DW4+GI4+IS4+LE4+NO4+QA4+SM4+UW4+XI4+ZS4+ACE4</f>
        <v>0</v>
      </c>
      <c r="ACH4" s="25"/>
      <c r="ACI4" s="71" t="s">
        <v>208</v>
      </c>
      <c r="ACJ4" s="71" t="s">
        <v>86</v>
      </c>
    </row>
    <row r="5" spans="1:764" x14ac:dyDescent="0.25">
      <c r="A5" s="162"/>
      <c r="B5" s="152"/>
      <c r="C5" s="155"/>
      <c r="D5" s="50" t="s">
        <v>4</v>
      </c>
      <c r="E5" s="74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24" cm="1">
        <f t="array" ref="BO5">SUMPRODUCT(E5:BM5,--(E$2:BM$2=BO$2))</f>
        <v>0</v>
      </c>
      <c r="BP5" s="24" cm="1">
        <f t="array" ref="BP5">SUMPRODUCT(F5:BN5,--(F$2:BN$2=BP$2))</f>
        <v>0</v>
      </c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 cm="1">
        <f t="array" ref="DW5">SUMPRODUCT(BQ5:DU5,--(BQ$2:DU$2=DW$2))</f>
        <v>0</v>
      </c>
      <c r="DX5" s="24" cm="1">
        <f t="array" ref="DX5">SUMPRODUCT(BR5:DV5,--(BR$2:DV$2=DX$2))</f>
        <v>0</v>
      </c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 cm="1">
        <f t="array" ref="GI5">SUMPRODUCT(DY5:GG5,--(DY$2:GG$2=GI$2))</f>
        <v>0</v>
      </c>
      <c r="GJ5" s="24" cm="1">
        <f t="array" ref="GJ5">SUMPRODUCT(DZ5:GH5,--(DZ$2:GH$2=GJ$2))</f>
        <v>0</v>
      </c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>
        <f t="shared" si="70"/>
        <v>0</v>
      </c>
      <c r="IT5" s="24">
        <f t="shared" si="71"/>
        <v>0</v>
      </c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24"/>
      <c r="KT5" s="24"/>
      <c r="KU5" s="24"/>
      <c r="KV5" s="24"/>
      <c r="KW5" s="24"/>
      <c r="KX5" s="24"/>
      <c r="KY5" s="24"/>
      <c r="KZ5" s="24"/>
      <c r="LA5" s="24"/>
      <c r="LB5" s="24"/>
      <c r="LC5" s="24"/>
      <c r="LD5" s="24"/>
      <c r="LE5" s="24">
        <f t="shared" si="72"/>
        <v>0</v>
      </c>
      <c r="LF5" s="24">
        <f t="shared" si="73"/>
        <v>0</v>
      </c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24"/>
      <c r="MS5" s="24"/>
      <c r="MT5" s="24"/>
      <c r="MU5" s="24"/>
      <c r="MV5" s="24"/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>
        <f t="shared" si="74"/>
        <v>0</v>
      </c>
      <c r="NP5" s="24">
        <f t="shared" si="75"/>
        <v>0</v>
      </c>
      <c r="NQ5" s="24"/>
      <c r="NR5" s="24"/>
      <c r="NS5" s="24"/>
      <c r="NT5" s="24"/>
      <c r="NU5" s="24"/>
      <c r="NV5" s="24"/>
      <c r="NW5" s="24"/>
      <c r="NX5" s="24"/>
      <c r="NY5" s="24"/>
      <c r="NZ5" s="24"/>
      <c r="OA5" s="24"/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24"/>
      <c r="OW5" s="24"/>
      <c r="OX5" s="24"/>
      <c r="OY5" s="24"/>
      <c r="OZ5" s="24"/>
      <c r="PA5" s="24"/>
      <c r="PB5" s="24"/>
      <c r="PC5" s="24"/>
      <c r="PD5" s="24"/>
      <c r="PE5" s="24"/>
      <c r="PF5" s="24"/>
      <c r="PG5" s="24"/>
      <c r="PH5" s="24"/>
      <c r="PI5" s="24"/>
      <c r="PJ5" s="24"/>
      <c r="PK5" s="24"/>
      <c r="PL5" s="24"/>
      <c r="PM5" s="24"/>
      <c r="PN5" s="24"/>
      <c r="PO5" s="24"/>
      <c r="PP5" s="24"/>
      <c r="PQ5" s="24"/>
      <c r="PR5" s="24"/>
      <c r="PS5" s="24"/>
      <c r="PT5" s="24"/>
      <c r="PU5" s="24"/>
      <c r="PV5" s="24"/>
      <c r="PW5" s="24"/>
      <c r="PX5" s="24"/>
      <c r="PY5" s="24"/>
      <c r="PZ5" s="24"/>
      <c r="QA5" s="24">
        <f t="shared" si="76"/>
        <v>0</v>
      </c>
      <c r="QB5" s="24">
        <f t="shared" si="77"/>
        <v>0</v>
      </c>
      <c r="QC5" s="24"/>
      <c r="QD5" s="24"/>
      <c r="QE5" s="24"/>
      <c r="QF5" s="24"/>
      <c r="QG5" s="24"/>
      <c r="QH5" s="24"/>
      <c r="QI5" s="24"/>
      <c r="QJ5" s="24"/>
      <c r="QK5" s="24"/>
      <c r="QL5" s="24"/>
      <c r="QM5" s="24"/>
      <c r="QN5" s="24"/>
      <c r="QO5" s="24"/>
      <c r="QP5" s="24"/>
      <c r="QQ5" s="24"/>
      <c r="QR5" s="24"/>
      <c r="QS5" s="24"/>
      <c r="QT5" s="24"/>
      <c r="QU5" s="24"/>
      <c r="QV5" s="24"/>
      <c r="QW5" s="24"/>
      <c r="QX5" s="24"/>
      <c r="QY5" s="24"/>
      <c r="QZ5" s="24"/>
      <c r="RA5" s="24"/>
      <c r="RB5" s="24"/>
      <c r="RC5" s="24"/>
      <c r="RD5" s="24"/>
      <c r="RE5" s="24"/>
      <c r="RF5" s="24"/>
      <c r="RG5" s="24"/>
      <c r="RH5" s="24"/>
      <c r="RI5" s="24"/>
      <c r="RJ5" s="24"/>
      <c r="RK5" s="24"/>
      <c r="RL5" s="24"/>
      <c r="RM5" s="24"/>
      <c r="RN5" s="24"/>
      <c r="RO5" s="24"/>
      <c r="RP5" s="24"/>
      <c r="RQ5" s="24"/>
      <c r="RR5" s="24"/>
      <c r="RS5" s="24"/>
      <c r="RT5" s="24"/>
      <c r="RU5" s="24"/>
      <c r="RV5" s="24"/>
      <c r="RW5" s="24"/>
      <c r="RX5" s="24"/>
      <c r="RY5" s="24"/>
      <c r="RZ5" s="24"/>
      <c r="SA5" s="24"/>
      <c r="SB5" s="24"/>
      <c r="SC5" s="24"/>
      <c r="SD5" s="24"/>
      <c r="SE5" s="24"/>
      <c r="SF5" s="24"/>
      <c r="SG5" s="24"/>
      <c r="SH5" s="24"/>
      <c r="SI5" s="24"/>
      <c r="SJ5" s="24"/>
      <c r="SK5" s="24"/>
      <c r="SL5" s="24"/>
      <c r="SM5" s="24">
        <f t="shared" si="78"/>
        <v>0</v>
      </c>
      <c r="SN5" s="24">
        <f t="shared" si="79"/>
        <v>0</v>
      </c>
      <c r="SO5" s="24"/>
      <c r="SP5" s="24"/>
      <c r="SQ5" s="24"/>
      <c r="SR5" s="24"/>
      <c r="SS5" s="24"/>
      <c r="ST5" s="24"/>
      <c r="SU5" s="24"/>
      <c r="SV5" s="24"/>
      <c r="SW5" s="24"/>
      <c r="SX5" s="24"/>
      <c r="SY5" s="24"/>
      <c r="SZ5" s="24"/>
      <c r="TA5" s="24"/>
      <c r="TB5" s="24"/>
      <c r="TC5" s="24"/>
      <c r="TD5" s="24"/>
      <c r="TE5" s="24"/>
      <c r="TF5" s="24"/>
      <c r="TG5" s="24"/>
      <c r="TH5" s="24"/>
      <c r="TI5" s="24"/>
      <c r="TJ5" s="24"/>
      <c r="TK5" s="24"/>
      <c r="TL5" s="24"/>
      <c r="TM5" s="24"/>
      <c r="TN5" s="24"/>
      <c r="TO5" s="24"/>
      <c r="TP5" s="24"/>
      <c r="TQ5" s="24"/>
      <c r="TR5" s="24"/>
      <c r="TS5" s="24"/>
      <c r="TT5" s="24"/>
      <c r="TU5" s="24"/>
      <c r="TV5" s="24"/>
      <c r="TW5" s="24"/>
      <c r="TX5" s="24"/>
      <c r="TY5" s="24"/>
      <c r="TZ5" s="24"/>
      <c r="UA5" s="24"/>
      <c r="UB5" s="24"/>
      <c r="UC5" s="24"/>
      <c r="UD5" s="24"/>
      <c r="UE5" s="24"/>
      <c r="UF5" s="24"/>
      <c r="UG5" s="24"/>
      <c r="UH5" s="24"/>
      <c r="UI5" s="24"/>
      <c r="UJ5" s="24"/>
      <c r="UK5" s="24"/>
      <c r="UL5" s="24"/>
      <c r="UM5" s="24"/>
      <c r="UN5" s="24"/>
      <c r="UO5" s="24"/>
      <c r="UP5" s="24"/>
      <c r="UQ5" s="24"/>
      <c r="UR5" s="24"/>
      <c r="US5" s="24"/>
      <c r="UT5" s="24"/>
      <c r="UU5" s="24"/>
      <c r="UV5" s="24"/>
      <c r="UW5" s="24">
        <f t="shared" si="80"/>
        <v>0</v>
      </c>
      <c r="UX5" s="24">
        <f t="shared" si="81"/>
        <v>0</v>
      </c>
      <c r="UY5" s="24"/>
      <c r="UZ5" s="24"/>
      <c r="VA5" s="24"/>
      <c r="VB5" s="24"/>
      <c r="VC5" s="24"/>
      <c r="VD5" s="24"/>
      <c r="VE5" s="24"/>
      <c r="VF5" s="24"/>
      <c r="VG5" s="24"/>
      <c r="VH5" s="24"/>
      <c r="VI5" s="24"/>
      <c r="VJ5" s="24"/>
      <c r="VK5" s="24"/>
      <c r="VL5" s="24"/>
      <c r="VM5" s="24"/>
      <c r="VN5" s="24"/>
      <c r="VO5" s="24"/>
      <c r="VP5" s="24"/>
      <c r="VQ5" s="24"/>
      <c r="VR5" s="24"/>
      <c r="VS5" s="24"/>
      <c r="VT5" s="24"/>
      <c r="VU5" s="24"/>
      <c r="VV5" s="24"/>
      <c r="VW5" s="24"/>
      <c r="VX5" s="24"/>
      <c r="VY5" s="24"/>
      <c r="VZ5" s="24"/>
      <c r="WA5" s="24"/>
      <c r="WB5" s="24"/>
      <c r="WC5" s="24"/>
      <c r="WD5" s="24"/>
      <c r="WE5" s="24"/>
      <c r="WF5" s="24"/>
      <c r="WG5" s="24"/>
      <c r="WH5" s="24"/>
      <c r="WI5" s="24"/>
      <c r="WJ5" s="24"/>
      <c r="WK5" s="24"/>
      <c r="WL5" s="24"/>
      <c r="WM5" s="24"/>
      <c r="WN5" s="24"/>
      <c r="WO5" s="24"/>
      <c r="WP5" s="24"/>
      <c r="WQ5" s="24"/>
      <c r="WR5" s="24"/>
      <c r="WS5" s="24"/>
      <c r="WT5" s="24"/>
      <c r="WU5" s="24"/>
      <c r="WV5" s="24"/>
      <c r="WW5" s="24"/>
      <c r="WX5" s="24"/>
      <c r="WY5" s="24"/>
      <c r="WZ5" s="24"/>
      <c r="XA5" s="24"/>
      <c r="XB5" s="24"/>
      <c r="XC5" s="24"/>
      <c r="XD5" s="24"/>
      <c r="XE5" s="24"/>
      <c r="XF5" s="24"/>
      <c r="XG5" s="24"/>
      <c r="XH5" s="24"/>
      <c r="XI5" s="24">
        <f t="shared" si="82"/>
        <v>0</v>
      </c>
      <c r="XJ5" s="24">
        <f t="shared" si="83"/>
        <v>0</v>
      </c>
      <c r="XK5" s="24"/>
      <c r="XL5" s="24"/>
      <c r="XM5" s="24"/>
      <c r="XN5" s="24"/>
      <c r="XO5" s="24"/>
      <c r="XP5" s="24"/>
      <c r="XQ5" s="24"/>
      <c r="XR5" s="24"/>
      <c r="XS5" s="24"/>
      <c r="XT5" s="24"/>
      <c r="XU5" s="24"/>
      <c r="XV5" s="24"/>
      <c r="XW5" s="24"/>
      <c r="XX5" s="24"/>
      <c r="XY5" s="24"/>
      <c r="XZ5" s="24"/>
      <c r="YA5" s="24"/>
      <c r="YB5" s="24"/>
      <c r="YC5" s="24"/>
      <c r="YD5" s="24"/>
      <c r="YE5" s="24"/>
      <c r="YF5" s="24"/>
      <c r="YG5" s="24"/>
      <c r="YH5" s="24"/>
      <c r="YI5" s="24"/>
      <c r="YJ5" s="24"/>
      <c r="YK5" s="24"/>
      <c r="YL5" s="24"/>
      <c r="YM5" s="24"/>
      <c r="YN5" s="24"/>
      <c r="YO5" s="24"/>
      <c r="YP5" s="24"/>
      <c r="YQ5" s="24"/>
      <c r="YR5" s="24"/>
      <c r="YS5" s="24"/>
      <c r="YT5" s="24"/>
      <c r="YU5" s="24"/>
      <c r="YV5" s="24"/>
      <c r="YW5" s="24"/>
      <c r="YX5" s="24"/>
      <c r="YY5" s="24"/>
      <c r="YZ5" s="24"/>
      <c r="ZA5" s="24"/>
      <c r="ZB5" s="24"/>
      <c r="ZC5" s="24"/>
      <c r="ZD5" s="24"/>
      <c r="ZE5" s="24"/>
      <c r="ZF5" s="24"/>
      <c r="ZG5" s="24"/>
      <c r="ZH5" s="24"/>
      <c r="ZI5" s="24"/>
      <c r="ZJ5" s="24"/>
      <c r="ZK5" s="24"/>
      <c r="ZL5" s="24"/>
      <c r="ZM5" s="24"/>
      <c r="ZN5" s="24"/>
      <c r="ZO5" s="24"/>
      <c r="ZP5" s="24"/>
      <c r="ZQ5" s="24"/>
      <c r="ZR5" s="24"/>
      <c r="ZS5" s="24">
        <f t="shared" si="84"/>
        <v>0</v>
      </c>
      <c r="ZT5" s="24">
        <f t="shared" si="85"/>
        <v>0</v>
      </c>
      <c r="ZU5" s="24"/>
      <c r="ZV5" s="24"/>
      <c r="ZW5" s="24"/>
      <c r="ZX5" s="24"/>
      <c r="ZY5" s="24"/>
      <c r="ZZ5" s="24"/>
      <c r="AAA5" s="24"/>
      <c r="AAB5" s="24"/>
      <c r="AAC5" s="24"/>
      <c r="AAD5" s="24"/>
      <c r="AAE5" s="24"/>
      <c r="AAF5" s="24"/>
      <c r="AAG5" s="24"/>
      <c r="AAH5" s="24"/>
      <c r="AAI5" s="24"/>
      <c r="AAJ5" s="24"/>
      <c r="AAK5" s="24"/>
      <c r="AAL5" s="24"/>
      <c r="AAM5" s="24"/>
      <c r="AAN5" s="24"/>
      <c r="AAO5" s="24"/>
      <c r="AAP5" s="24"/>
      <c r="AAQ5" s="24"/>
      <c r="AAR5" s="24"/>
      <c r="AAS5" s="24"/>
      <c r="AAT5" s="24"/>
      <c r="AAU5" s="24"/>
      <c r="AAV5" s="24"/>
      <c r="AAW5" s="24"/>
      <c r="AAX5" s="24"/>
      <c r="AAY5" s="24"/>
      <c r="AAZ5" s="24"/>
      <c r="ABA5" s="24"/>
      <c r="ABB5" s="24"/>
      <c r="ABC5" s="24"/>
      <c r="ABD5" s="24"/>
      <c r="ABE5" s="24"/>
      <c r="ABF5" s="24"/>
      <c r="ABG5" s="24"/>
      <c r="ABH5" s="24"/>
      <c r="ABI5" s="24"/>
      <c r="ABJ5" s="24"/>
      <c r="ABK5" s="24"/>
      <c r="ABL5" s="24"/>
      <c r="ABM5" s="24"/>
      <c r="ABN5" s="24"/>
      <c r="ABO5" s="24"/>
      <c r="ABP5" s="24"/>
      <c r="ABQ5" s="24"/>
      <c r="ABR5" s="24"/>
      <c r="ABS5" s="24"/>
      <c r="ABT5" s="24"/>
      <c r="ABU5" s="24"/>
      <c r="ABV5" s="24"/>
      <c r="ABW5" s="24"/>
      <c r="ABX5" s="24"/>
      <c r="ABY5" s="24"/>
      <c r="ABZ5" s="24"/>
      <c r="ACA5" s="24"/>
      <c r="ACB5" s="24"/>
      <c r="ACC5" s="24"/>
      <c r="ACD5" s="24"/>
      <c r="ACE5" s="24">
        <f t="shared" si="86"/>
        <v>0</v>
      </c>
      <c r="ACF5" s="24"/>
      <c r="ACG5" s="24">
        <f t="shared" si="87"/>
        <v>0</v>
      </c>
      <c r="ACH5" s="25"/>
      <c r="ACI5" s="71" t="s">
        <v>209</v>
      </c>
      <c r="ACJ5" s="71" t="s">
        <v>86</v>
      </c>
    </row>
    <row r="6" spans="1:764" x14ac:dyDescent="0.25">
      <c r="A6" s="162"/>
      <c r="B6" s="152"/>
      <c r="C6" s="155"/>
      <c r="D6" s="50" t="s">
        <v>8</v>
      </c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24" cm="1">
        <f t="array" ref="BO6">SUMPRODUCT(E6:BM6,--(E$2:BM$2=BO$2))</f>
        <v>0</v>
      </c>
      <c r="BP6" s="24" cm="1">
        <f t="array" ref="BP6">SUMPRODUCT(F6:BN6,--(F$2:BN$2=BP$2))</f>
        <v>0</v>
      </c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 cm="1">
        <f t="array" ref="DW6">SUMPRODUCT(BQ6:DU6,--(BQ$2:DU$2=DW$2))</f>
        <v>0</v>
      </c>
      <c r="DX6" s="24" cm="1">
        <f t="array" ref="DX6">SUMPRODUCT(BR6:DV6,--(BR$2:DV$2=DX$2))</f>
        <v>0</v>
      </c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4"/>
      <c r="FT6" s="24"/>
      <c r="FU6" s="24"/>
      <c r="FV6" s="24"/>
      <c r="FW6" s="24"/>
      <c r="FX6" s="24"/>
      <c r="FY6" s="24"/>
      <c r="FZ6" s="24"/>
      <c r="GA6" s="24"/>
      <c r="GB6" s="24"/>
      <c r="GC6" s="24"/>
      <c r="GD6" s="24"/>
      <c r="GE6" s="24"/>
      <c r="GF6" s="24"/>
      <c r="GG6" s="24"/>
      <c r="GH6" s="24"/>
      <c r="GI6" s="24" cm="1">
        <f t="array" ref="GI6">SUMPRODUCT(DY6:GG6,--(DY$2:GG$2=GI$2))</f>
        <v>0</v>
      </c>
      <c r="GJ6" s="24" cm="1">
        <f t="array" ref="GJ6">SUMPRODUCT(DZ6:GH6,--(DZ$2:GH$2=GJ$2))</f>
        <v>0</v>
      </c>
      <c r="GK6" s="24"/>
      <c r="GL6" s="24"/>
      <c r="GM6" s="24"/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>
        <f t="shared" si="70"/>
        <v>0</v>
      </c>
      <c r="IT6" s="24">
        <f t="shared" si="71"/>
        <v>0</v>
      </c>
      <c r="IU6" s="24"/>
      <c r="IV6" s="24"/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24"/>
      <c r="JR6" s="24"/>
      <c r="JS6" s="24"/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24"/>
      <c r="KT6" s="24"/>
      <c r="KU6" s="24"/>
      <c r="KV6" s="24"/>
      <c r="KW6" s="24"/>
      <c r="KX6" s="24"/>
      <c r="KY6" s="24"/>
      <c r="KZ6" s="24"/>
      <c r="LA6" s="24"/>
      <c r="LB6" s="24"/>
      <c r="LC6" s="24"/>
      <c r="LD6" s="24"/>
      <c r="LE6" s="24">
        <f t="shared" si="72"/>
        <v>0</v>
      </c>
      <c r="LF6" s="24">
        <f t="shared" si="73"/>
        <v>0</v>
      </c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24"/>
      <c r="MS6" s="24"/>
      <c r="MT6" s="24"/>
      <c r="MU6" s="24"/>
      <c r="MV6" s="24"/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>
        <f t="shared" si="74"/>
        <v>0</v>
      </c>
      <c r="NP6" s="24">
        <f t="shared" si="75"/>
        <v>0</v>
      </c>
      <c r="NQ6" s="24"/>
      <c r="NR6" s="24"/>
      <c r="NS6" s="24"/>
      <c r="NT6" s="24"/>
      <c r="NU6" s="24"/>
      <c r="NV6" s="24"/>
      <c r="NW6" s="24"/>
      <c r="NX6" s="24"/>
      <c r="NY6" s="24"/>
      <c r="NZ6" s="24"/>
      <c r="OA6" s="24"/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24"/>
      <c r="OW6" s="24"/>
      <c r="OX6" s="24"/>
      <c r="OY6" s="24"/>
      <c r="OZ6" s="24"/>
      <c r="PA6" s="24"/>
      <c r="PB6" s="24"/>
      <c r="PC6" s="24"/>
      <c r="PD6" s="24"/>
      <c r="PE6" s="24"/>
      <c r="PF6" s="24"/>
      <c r="PG6" s="24"/>
      <c r="PH6" s="24"/>
      <c r="PI6" s="24"/>
      <c r="PJ6" s="24"/>
      <c r="PK6" s="24"/>
      <c r="PL6" s="24"/>
      <c r="PM6" s="24"/>
      <c r="PN6" s="24"/>
      <c r="PO6" s="24"/>
      <c r="PP6" s="24"/>
      <c r="PQ6" s="24"/>
      <c r="PR6" s="24"/>
      <c r="PS6" s="24"/>
      <c r="PT6" s="24"/>
      <c r="PU6" s="24"/>
      <c r="PV6" s="24"/>
      <c r="PW6" s="24"/>
      <c r="PX6" s="24"/>
      <c r="PY6" s="24"/>
      <c r="PZ6" s="24"/>
      <c r="QA6" s="24">
        <f t="shared" si="76"/>
        <v>0</v>
      </c>
      <c r="QB6" s="24">
        <f t="shared" si="77"/>
        <v>0</v>
      </c>
      <c r="QC6" s="24"/>
      <c r="QD6" s="24"/>
      <c r="QE6" s="24"/>
      <c r="QF6" s="24"/>
      <c r="QG6" s="24"/>
      <c r="QH6" s="24"/>
      <c r="QI6" s="24"/>
      <c r="QJ6" s="24"/>
      <c r="QK6" s="24"/>
      <c r="QL6" s="24"/>
      <c r="QM6" s="24"/>
      <c r="QN6" s="24"/>
      <c r="QO6" s="24"/>
      <c r="QP6" s="24"/>
      <c r="QQ6" s="24"/>
      <c r="QR6" s="24"/>
      <c r="QS6" s="24"/>
      <c r="QT6" s="24"/>
      <c r="QU6" s="24"/>
      <c r="QV6" s="24"/>
      <c r="QW6" s="24"/>
      <c r="QX6" s="24"/>
      <c r="QY6" s="24"/>
      <c r="QZ6" s="24"/>
      <c r="RA6" s="24"/>
      <c r="RB6" s="24"/>
      <c r="RC6" s="24"/>
      <c r="RD6" s="24"/>
      <c r="RE6" s="24"/>
      <c r="RF6" s="24"/>
      <c r="RG6" s="24"/>
      <c r="RH6" s="24"/>
      <c r="RI6" s="24"/>
      <c r="RJ6" s="24"/>
      <c r="RK6" s="24"/>
      <c r="RL6" s="24"/>
      <c r="RM6" s="24"/>
      <c r="RN6" s="24"/>
      <c r="RO6" s="24"/>
      <c r="RP6" s="24"/>
      <c r="RQ6" s="24"/>
      <c r="RR6" s="24"/>
      <c r="RS6" s="24"/>
      <c r="RT6" s="24"/>
      <c r="RU6" s="24"/>
      <c r="RV6" s="24"/>
      <c r="RW6" s="24"/>
      <c r="RX6" s="24"/>
      <c r="RY6" s="24"/>
      <c r="RZ6" s="24"/>
      <c r="SA6" s="24"/>
      <c r="SB6" s="24"/>
      <c r="SC6" s="24"/>
      <c r="SD6" s="24"/>
      <c r="SE6" s="24"/>
      <c r="SF6" s="24"/>
      <c r="SG6" s="24"/>
      <c r="SH6" s="24"/>
      <c r="SI6" s="24"/>
      <c r="SJ6" s="24"/>
      <c r="SK6" s="24"/>
      <c r="SL6" s="24"/>
      <c r="SM6" s="24">
        <f t="shared" si="78"/>
        <v>0</v>
      </c>
      <c r="SN6" s="24">
        <f t="shared" si="79"/>
        <v>0</v>
      </c>
      <c r="SO6" s="24"/>
      <c r="SP6" s="24"/>
      <c r="SQ6" s="24"/>
      <c r="SR6" s="24"/>
      <c r="SS6" s="24"/>
      <c r="ST6" s="24"/>
      <c r="SU6" s="24"/>
      <c r="SV6" s="24"/>
      <c r="SW6" s="24"/>
      <c r="SX6" s="24"/>
      <c r="SY6" s="24"/>
      <c r="SZ6" s="24"/>
      <c r="TA6" s="24"/>
      <c r="TB6" s="24"/>
      <c r="TC6" s="24"/>
      <c r="TD6" s="24"/>
      <c r="TE6" s="24"/>
      <c r="TF6" s="24"/>
      <c r="TG6" s="24"/>
      <c r="TH6" s="24"/>
      <c r="TI6" s="24"/>
      <c r="TJ6" s="24"/>
      <c r="TK6" s="24"/>
      <c r="TL6" s="24"/>
      <c r="TM6" s="24"/>
      <c r="TN6" s="24"/>
      <c r="TO6" s="24"/>
      <c r="TP6" s="24"/>
      <c r="TQ6" s="24"/>
      <c r="TR6" s="24"/>
      <c r="TS6" s="24"/>
      <c r="TT6" s="24"/>
      <c r="TU6" s="24"/>
      <c r="TV6" s="24"/>
      <c r="TW6" s="24"/>
      <c r="TX6" s="24"/>
      <c r="TY6" s="24"/>
      <c r="TZ6" s="24"/>
      <c r="UA6" s="24"/>
      <c r="UB6" s="24"/>
      <c r="UC6" s="24"/>
      <c r="UD6" s="24"/>
      <c r="UE6" s="24"/>
      <c r="UF6" s="24"/>
      <c r="UG6" s="24"/>
      <c r="UH6" s="24"/>
      <c r="UI6" s="24"/>
      <c r="UJ6" s="24"/>
      <c r="UK6" s="24"/>
      <c r="UL6" s="24"/>
      <c r="UM6" s="24"/>
      <c r="UN6" s="24"/>
      <c r="UO6" s="24"/>
      <c r="UP6" s="24"/>
      <c r="UQ6" s="24"/>
      <c r="UR6" s="24"/>
      <c r="US6" s="24"/>
      <c r="UT6" s="24"/>
      <c r="UU6" s="24"/>
      <c r="UV6" s="24"/>
      <c r="UW6" s="24">
        <f t="shared" si="80"/>
        <v>0</v>
      </c>
      <c r="UX6" s="24">
        <f t="shared" si="81"/>
        <v>0</v>
      </c>
      <c r="UY6" s="24"/>
      <c r="UZ6" s="24"/>
      <c r="VA6" s="24"/>
      <c r="VB6" s="24"/>
      <c r="VC6" s="24"/>
      <c r="VD6" s="24"/>
      <c r="VE6" s="24"/>
      <c r="VF6" s="24"/>
      <c r="VG6" s="24"/>
      <c r="VH6" s="24"/>
      <c r="VI6" s="24"/>
      <c r="VJ6" s="24"/>
      <c r="VK6" s="24"/>
      <c r="VL6" s="24"/>
      <c r="VM6" s="24"/>
      <c r="VN6" s="24"/>
      <c r="VO6" s="24"/>
      <c r="VP6" s="24"/>
      <c r="VQ6" s="24"/>
      <c r="VR6" s="24"/>
      <c r="VS6" s="24"/>
      <c r="VT6" s="24"/>
      <c r="VU6" s="24"/>
      <c r="VV6" s="24"/>
      <c r="VW6" s="24"/>
      <c r="VX6" s="24"/>
      <c r="VY6" s="24"/>
      <c r="VZ6" s="24"/>
      <c r="WA6" s="24"/>
      <c r="WB6" s="24"/>
      <c r="WC6" s="24"/>
      <c r="WD6" s="24"/>
      <c r="WE6" s="24"/>
      <c r="WF6" s="24"/>
      <c r="WG6" s="24"/>
      <c r="WH6" s="24"/>
      <c r="WI6" s="24"/>
      <c r="WJ6" s="24"/>
      <c r="WK6" s="24"/>
      <c r="WL6" s="24"/>
      <c r="WM6" s="24"/>
      <c r="WN6" s="24"/>
      <c r="WO6" s="24"/>
      <c r="WP6" s="24"/>
      <c r="WQ6" s="24"/>
      <c r="WR6" s="24"/>
      <c r="WS6" s="24"/>
      <c r="WT6" s="24"/>
      <c r="WU6" s="24"/>
      <c r="WV6" s="24"/>
      <c r="WW6" s="24"/>
      <c r="WX6" s="24"/>
      <c r="WY6" s="24"/>
      <c r="WZ6" s="24"/>
      <c r="XA6" s="24"/>
      <c r="XB6" s="24"/>
      <c r="XC6" s="24"/>
      <c r="XD6" s="24"/>
      <c r="XE6" s="24"/>
      <c r="XF6" s="24"/>
      <c r="XG6" s="24"/>
      <c r="XH6" s="24"/>
      <c r="XI6" s="24">
        <f t="shared" si="82"/>
        <v>0</v>
      </c>
      <c r="XJ6" s="24">
        <f t="shared" si="83"/>
        <v>0</v>
      </c>
      <c r="XK6" s="24"/>
      <c r="XL6" s="24"/>
      <c r="XM6" s="24"/>
      <c r="XN6" s="24"/>
      <c r="XO6" s="24"/>
      <c r="XP6" s="24"/>
      <c r="XQ6" s="24"/>
      <c r="XR6" s="24"/>
      <c r="XS6" s="24"/>
      <c r="XT6" s="24"/>
      <c r="XU6" s="24"/>
      <c r="XV6" s="24"/>
      <c r="XW6" s="24"/>
      <c r="XX6" s="24"/>
      <c r="XY6" s="24"/>
      <c r="XZ6" s="24"/>
      <c r="YA6" s="24"/>
      <c r="YB6" s="24"/>
      <c r="YC6" s="24"/>
      <c r="YD6" s="24"/>
      <c r="YE6" s="24"/>
      <c r="YF6" s="24"/>
      <c r="YG6" s="24"/>
      <c r="YH6" s="24"/>
      <c r="YI6" s="24"/>
      <c r="YJ6" s="24"/>
      <c r="YK6" s="24"/>
      <c r="YL6" s="24"/>
      <c r="YM6" s="24"/>
      <c r="YN6" s="24"/>
      <c r="YO6" s="24"/>
      <c r="YP6" s="24"/>
      <c r="YQ6" s="24"/>
      <c r="YR6" s="24"/>
      <c r="YS6" s="24"/>
      <c r="YT6" s="24"/>
      <c r="YU6" s="24"/>
      <c r="YV6" s="24"/>
      <c r="YW6" s="24"/>
      <c r="YX6" s="24"/>
      <c r="YY6" s="24"/>
      <c r="YZ6" s="24"/>
      <c r="ZA6" s="24"/>
      <c r="ZB6" s="24"/>
      <c r="ZC6" s="24"/>
      <c r="ZD6" s="24"/>
      <c r="ZE6" s="24"/>
      <c r="ZF6" s="24"/>
      <c r="ZG6" s="24"/>
      <c r="ZH6" s="24"/>
      <c r="ZI6" s="24"/>
      <c r="ZJ6" s="24"/>
      <c r="ZK6" s="24"/>
      <c r="ZL6" s="24"/>
      <c r="ZM6" s="24"/>
      <c r="ZN6" s="24"/>
      <c r="ZO6" s="24"/>
      <c r="ZP6" s="24"/>
      <c r="ZQ6" s="24"/>
      <c r="ZR6" s="24"/>
      <c r="ZS6" s="24">
        <f t="shared" si="84"/>
        <v>0</v>
      </c>
      <c r="ZT6" s="24">
        <f t="shared" si="85"/>
        <v>0</v>
      </c>
      <c r="ZU6" s="24"/>
      <c r="ZV6" s="24"/>
      <c r="ZW6" s="24"/>
      <c r="ZX6" s="24"/>
      <c r="ZY6" s="24"/>
      <c r="ZZ6" s="24"/>
      <c r="AAA6" s="24"/>
      <c r="AAB6" s="24"/>
      <c r="AAC6" s="24"/>
      <c r="AAD6" s="24"/>
      <c r="AAE6" s="24"/>
      <c r="AAF6" s="24"/>
      <c r="AAG6" s="24"/>
      <c r="AAH6" s="24"/>
      <c r="AAI6" s="24"/>
      <c r="AAJ6" s="24"/>
      <c r="AAK6" s="24"/>
      <c r="AAL6" s="24"/>
      <c r="AAM6" s="24"/>
      <c r="AAN6" s="24"/>
      <c r="AAO6" s="24"/>
      <c r="AAP6" s="24"/>
      <c r="AAQ6" s="24"/>
      <c r="AAR6" s="24"/>
      <c r="AAS6" s="24"/>
      <c r="AAT6" s="24"/>
      <c r="AAU6" s="24"/>
      <c r="AAV6" s="24"/>
      <c r="AAW6" s="24"/>
      <c r="AAX6" s="24"/>
      <c r="AAY6" s="24"/>
      <c r="AAZ6" s="24"/>
      <c r="ABA6" s="24"/>
      <c r="ABB6" s="24"/>
      <c r="ABC6" s="24"/>
      <c r="ABD6" s="24"/>
      <c r="ABE6" s="24"/>
      <c r="ABF6" s="24"/>
      <c r="ABG6" s="24"/>
      <c r="ABH6" s="24"/>
      <c r="ABI6" s="24"/>
      <c r="ABJ6" s="24"/>
      <c r="ABK6" s="24"/>
      <c r="ABL6" s="24"/>
      <c r="ABM6" s="24"/>
      <c r="ABN6" s="24"/>
      <c r="ABO6" s="24"/>
      <c r="ABP6" s="24"/>
      <c r="ABQ6" s="24"/>
      <c r="ABR6" s="24"/>
      <c r="ABS6" s="24"/>
      <c r="ABT6" s="24"/>
      <c r="ABU6" s="24"/>
      <c r="ABV6" s="24"/>
      <c r="ABW6" s="24"/>
      <c r="ABX6" s="24"/>
      <c r="ABY6" s="24"/>
      <c r="ABZ6" s="24"/>
      <c r="ACA6" s="24"/>
      <c r="ACB6" s="24"/>
      <c r="ACC6" s="24"/>
      <c r="ACD6" s="24"/>
      <c r="ACE6" s="24">
        <f t="shared" si="86"/>
        <v>0</v>
      </c>
      <c r="ACF6" s="24"/>
      <c r="ACG6" s="24">
        <f t="shared" si="87"/>
        <v>0</v>
      </c>
      <c r="ACH6" s="25"/>
      <c r="ACI6" s="71" t="s">
        <v>210</v>
      </c>
      <c r="ACJ6" s="71" t="s">
        <v>86</v>
      </c>
    </row>
    <row r="7" spans="1:764" x14ac:dyDescent="0.25">
      <c r="A7" s="162"/>
      <c r="B7" s="152"/>
      <c r="C7" s="156"/>
      <c r="D7" s="51" t="s">
        <v>9</v>
      </c>
      <c r="E7" s="74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24" cm="1">
        <f t="array" ref="BO7">SUMPRODUCT(E7:BM7,--(E$2:BM$2=BO$2))</f>
        <v>0</v>
      </c>
      <c r="BP7" s="24" cm="1">
        <f t="array" ref="BP7">SUMPRODUCT(F7:BN7,--(F$2:BN$2=BP$2))</f>
        <v>0</v>
      </c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 cm="1">
        <f t="array" ref="DW7">SUMPRODUCT(BQ7:DU7,--(BQ$2:DU$2=DW$2))</f>
        <v>0</v>
      </c>
      <c r="DX7" s="24" cm="1">
        <f t="array" ref="DX7">SUMPRODUCT(BR7:DV7,--(BR$2:DV$2=DX$2))</f>
        <v>0</v>
      </c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24"/>
      <c r="GG7" s="24"/>
      <c r="GH7" s="24"/>
      <c r="GI7" s="24" cm="1">
        <f t="array" ref="GI7">SUMPRODUCT(DY7:GG7,--(DY$2:GG$2=GI$2))</f>
        <v>0</v>
      </c>
      <c r="GJ7" s="24" cm="1">
        <f t="array" ref="GJ7">SUMPRODUCT(DZ7:GH7,--(DZ$2:GH$2=GJ$2))</f>
        <v>0</v>
      </c>
      <c r="GK7" s="24"/>
      <c r="GL7" s="24"/>
      <c r="GM7" s="24"/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>
        <f t="shared" si="70"/>
        <v>0</v>
      </c>
      <c r="IT7" s="24">
        <f t="shared" si="71"/>
        <v>0</v>
      </c>
      <c r="IU7" s="24"/>
      <c r="IV7" s="24"/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24"/>
      <c r="JR7" s="24"/>
      <c r="JS7" s="24"/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24"/>
      <c r="KO7" s="24"/>
      <c r="KP7" s="24"/>
      <c r="KQ7" s="24"/>
      <c r="KR7" s="24"/>
      <c r="KS7" s="24"/>
      <c r="KT7" s="24"/>
      <c r="KU7" s="24"/>
      <c r="KV7" s="24"/>
      <c r="KW7" s="24"/>
      <c r="KX7" s="24"/>
      <c r="KY7" s="24"/>
      <c r="KZ7" s="24"/>
      <c r="LA7" s="24"/>
      <c r="LB7" s="24"/>
      <c r="LC7" s="24"/>
      <c r="LD7" s="24"/>
      <c r="LE7" s="24">
        <f t="shared" si="72"/>
        <v>0</v>
      </c>
      <c r="LF7" s="24">
        <f t="shared" si="73"/>
        <v>0</v>
      </c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24"/>
      <c r="MS7" s="24"/>
      <c r="MT7" s="24"/>
      <c r="MU7" s="24"/>
      <c r="MV7" s="24"/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>
        <f t="shared" si="74"/>
        <v>0</v>
      </c>
      <c r="NP7" s="24">
        <f t="shared" si="75"/>
        <v>0</v>
      </c>
      <c r="NQ7" s="24"/>
      <c r="NR7" s="24"/>
      <c r="NS7" s="24"/>
      <c r="NT7" s="24"/>
      <c r="NU7" s="24"/>
      <c r="NV7" s="24"/>
      <c r="NW7" s="24"/>
      <c r="NX7" s="24"/>
      <c r="NY7" s="24"/>
      <c r="NZ7" s="24"/>
      <c r="OA7" s="24"/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24"/>
      <c r="OW7" s="24"/>
      <c r="OX7" s="24"/>
      <c r="OY7" s="24"/>
      <c r="OZ7" s="24"/>
      <c r="PA7" s="24"/>
      <c r="PB7" s="24"/>
      <c r="PC7" s="24"/>
      <c r="PD7" s="24"/>
      <c r="PE7" s="24"/>
      <c r="PF7" s="24"/>
      <c r="PG7" s="24"/>
      <c r="PH7" s="24"/>
      <c r="PI7" s="24"/>
      <c r="PJ7" s="24"/>
      <c r="PK7" s="24"/>
      <c r="PL7" s="24"/>
      <c r="PM7" s="24"/>
      <c r="PN7" s="24"/>
      <c r="PO7" s="24"/>
      <c r="PP7" s="24"/>
      <c r="PQ7" s="24"/>
      <c r="PR7" s="24"/>
      <c r="PS7" s="24"/>
      <c r="PT7" s="24"/>
      <c r="PU7" s="24"/>
      <c r="PV7" s="24"/>
      <c r="PW7" s="24"/>
      <c r="PX7" s="24"/>
      <c r="PY7" s="24"/>
      <c r="PZ7" s="24"/>
      <c r="QA7" s="24">
        <f t="shared" si="76"/>
        <v>0</v>
      </c>
      <c r="QB7" s="24">
        <f t="shared" si="77"/>
        <v>0</v>
      </c>
      <c r="QC7" s="24"/>
      <c r="QD7" s="24"/>
      <c r="QE7" s="24"/>
      <c r="QF7" s="24"/>
      <c r="QG7" s="24"/>
      <c r="QH7" s="24"/>
      <c r="QI7" s="24"/>
      <c r="QJ7" s="24"/>
      <c r="QK7" s="24"/>
      <c r="QL7" s="24"/>
      <c r="QM7" s="24"/>
      <c r="QN7" s="24"/>
      <c r="QO7" s="24"/>
      <c r="QP7" s="24"/>
      <c r="QQ7" s="24"/>
      <c r="QR7" s="24"/>
      <c r="QS7" s="24"/>
      <c r="QT7" s="24"/>
      <c r="QU7" s="24"/>
      <c r="QV7" s="24"/>
      <c r="QW7" s="24"/>
      <c r="QX7" s="24"/>
      <c r="QY7" s="24"/>
      <c r="QZ7" s="24"/>
      <c r="RA7" s="24"/>
      <c r="RB7" s="24"/>
      <c r="RC7" s="24"/>
      <c r="RD7" s="24"/>
      <c r="RE7" s="24"/>
      <c r="RF7" s="24"/>
      <c r="RG7" s="24"/>
      <c r="RH7" s="24"/>
      <c r="RI7" s="24"/>
      <c r="RJ7" s="24"/>
      <c r="RK7" s="24"/>
      <c r="RL7" s="24"/>
      <c r="RM7" s="24"/>
      <c r="RN7" s="24"/>
      <c r="RO7" s="24"/>
      <c r="RP7" s="24"/>
      <c r="RQ7" s="24"/>
      <c r="RR7" s="24"/>
      <c r="RS7" s="24"/>
      <c r="RT7" s="24"/>
      <c r="RU7" s="24"/>
      <c r="RV7" s="24"/>
      <c r="RW7" s="24"/>
      <c r="RX7" s="24"/>
      <c r="RY7" s="24"/>
      <c r="RZ7" s="24"/>
      <c r="SA7" s="24"/>
      <c r="SB7" s="24"/>
      <c r="SC7" s="24"/>
      <c r="SD7" s="24"/>
      <c r="SE7" s="24"/>
      <c r="SF7" s="24"/>
      <c r="SG7" s="24"/>
      <c r="SH7" s="24"/>
      <c r="SI7" s="24"/>
      <c r="SJ7" s="24"/>
      <c r="SK7" s="24"/>
      <c r="SL7" s="24"/>
      <c r="SM7" s="24">
        <f t="shared" si="78"/>
        <v>0</v>
      </c>
      <c r="SN7" s="24">
        <f t="shared" si="79"/>
        <v>0</v>
      </c>
      <c r="SO7" s="24"/>
      <c r="SP7" s="24"/>
      <c r="SQ7" s="24"/>
      <c r="SR7" s="24"/>
      <c r="SS7" s="24"/>
      <c r="ST7" s="24"/>
      <c r="SU7" s="24"/>
      <c r="SV7" s="24"/>
      <c r="SW7" s="24"/>
      <c r="SX7" s="24"/>
      <c r="SY7" s="24"/>
      <c r="SZ7" s="24"/>
      <c r="TA7" s="24"/>
      <c r="TB7" s="24"/>
      <c r="TC7" s="24"/>
      <c r="TD7" s="24"/>
      <c r="TE7" s="24"/>
      <c r="TF7" s="24"/>
      <c r="TG7" s="24"/>
      <c r="TH7" s="24"/>
      <c r="TI7" s="24"/>
      <c r="TJ7" s="24"/>
      <c r="TK7" s="24"/>
      <c r="TL7" s="24"/>
      <c r="TM7" s="24"/>
      <c r="TN7" s="24"/>
      <c r="TO7" s="24"/>
      <c r="TP7" s="24"/>
      <c r="TQ7" s="24"/>
      <c r="TR7" s="24"/>
      <c r="TS7" s="24"/>
      <c r="TT7" s="24"/>
      <c r="TU7" s="24"/>
      <c r="TV7" s="24"/>
      <c r="TW7" s="24"/>
      <c r="TX7" s="24"/>
      <c r="TY7" s="24"/>
      <c r="TZ7" s="24"/>
      <c r="UA7" s="24"/>
      <c r="UB7" s="24"/>
      <c r="UC7" s="24"/>
      <c r="UD7" s="24"/>
      <c r="UE7" s="24"/>
      <c r="UF7" s="24"/>
      <c r="UG7" s="24"/>
      <c r="UH7" s="24"/>
      <c r="UI7" s="24"/>
      <c r="UJ7" s="24"/>
      <c r="UK7" s="24"/>
      <c r="UL7" s="24"/>
      <c r="UM7" s="24"/>
      <c r="UN7" s="24"/>
      <c r="UO7" s="24"/>
      <c r="UP7" s="24"/>
      <c r="UQ7" s="24"/>
      <c r="UR7" s="24"/>
      <c r="US7" s="24"/>
      <c r="UT7" s="24"/>
      <c r="UU7" s="24"/>
      <c r="UV7" s="24"/>
      <c r="UW7" s="24">
        <f t="shared" si="80"/>
        <v>0</v>
      </c>
      <c r="UX7" s="24">
        <f t="shared" si="81"/>
        <v>0</v>
      </c>
      <c r="UY7" s="24"/>
      <c r="UZ7" s="24"/>
      <c r="VA7" s="24"/>
      <c r="VB7" s="24"/>
      <c r="VC7" s="24"/>
      <c r="VD7" s="24"/>
      <c r="VE7" s="24"/>
      <c r="VF7" s="24"/>
      <c r="VG7" s="24"/>
      <c r="VH7" s="24"/>
      <c r="VI7" s="24"/>
      <c r="VJ7" s="24"/>
      <c r="VK7" s="24"/>
      <c r="VL7" s="24"/>
      <c r="VM7" s="24"/>
      <c r="VN7" s="24"/>
      <c r="VO7" s="24"/>
      <c r="VP7" s="24"/>
      <c r="VQ7" s="24"/>
      <c r="VR7" s="24"/>
      <c r="VS7" s="24"/>
      <c r="VT7" s="24"/>
      <c r="VU7" s="24"/>
      <c r="VV7" s="24"/>
      <c r="VW7" s="24"/>
      <c r="VX7" s="24"/>
      <c r="VY7" s="24"/>
      <c r="VZ7" s="24"/>
      <c r="WA7" s="24"/>
      <c r="WB7" s="24"/>
      <c r="WC7" s="24"/>
      <c r="WD7" s="24"/>
      <c r="WE7" s="24"/>
      <c r="WF7" s="24"/>
      <c r="WG7" s="24"/>
      <c r="WH7" s="24"/>
      <c r="WI7" s="24"/>
      <c r="WJ7" s="24"/>
      <c r="WK7" s="24"/>
      <c r="WL7" s="24"/>
      <c r="WM7" s="24"/>
      <c r="WN7" s="24"/>
      <c r="WO7" s="24"/>
      <c r="WP7" s="24"/>
      <c r="WQ7" s="24"/>
      <c r="WR7" s="24"/>
      <c r="WS7" s="24"/>
      <c r="WT7" s="24"/>
      <c r="WU7" s="24"/>
      <c r="WV7" s="24"/>
      <c r="WW7" s="24"/>
      <c r="WX7" s="24"/>
      <c r="WY7" s="24"/>
      <c r="WZ7" s="24"/>
      <c r="XA7" s="24"/>
      <c r="XB7" s="24"/>
      <c r="XC7" s="24"/>
      <c r="XD7" s="24"/>
      <c r="XE7" s="24"/>
      <c r="XF7" s="24"/>
      <c r="XG7" s="24"/>
      <c r="XH7" s="24"/>
      <c r="XI7" s="24">
        <f t="shared" si="82"/>
        <v>0</v>
      </c>
      <c r="XJ7" s="24">
        <f t="shared" si="83"/>
        <v>0</v>
      </c>
      <c r="XK7" s="24"/>
      <c r="XL7" s="24"/>
      <c r="XM7" s="24"/>
      <c r="XN7" s="24"/>
      <c r="XO7" s="24"/>
      <c r="XP7" s="24"/>
      <c r="XQ7" s="24"/>
      <c r="XR7" s="24"/>
      <c r="XS7" s="24"/>
      <c r="XT7" s="24"/>
      <c r="XU7" s="24"/>
      <c r="XV7" s="24"/>
      <c r="XW7" s="24"/>
      <c r="XX7" s="24"/>
      <c r="XY7" s="24"/>
      <c r="XZ7" s="24"/>
      <c r="YA7" s="24"/>
      <c r="YB7" s="24"/>
      <c r="YC7" s="24"/>
      <c r="YD7" s="24"/>
      <c r="YE7" s="24"/>
      <c r="YF7" s="24"/>
      <c r="YG7" s="24"/>
      <c r="YH7" s="24"/>
      <c r="YI7" s="24"/>
      <c r="YJ7" s="24"/>
      <c r="YK7" s="24"/>
      <c r="YL7" s="24"/>
      <c r="YM7" s="24"/>
      <c r="YN7" s="24"/>
      <c r="YO7" s="24"/>
      <c r="YP7" s="24"/>
      <c r="YQ7" s="24"/>
      <c r="YR7" s="24"/>
      <c r="YS7" s="24"/>
      <c r="YT7" s="24"/>
      <c r="YU7" s="24"/>
      <c r="YV7" s="24"/>
      <c r="YW7" s="24"/>
      <c r="YX7" s="24"/>
      <c r="YY7" s="24"/>
      <c r="YZ7" s="24"/>
      <c r="ZA7" s="24"/>
      <c r="ZB7" s="24"/>
      <c r="ZC7" s="24"/>
      <c r="ZD7" s="24"/>
      <c r="ZE7" s="24"/>
      <c r="ZF7" s="24"/>
      <c r="ZG7" s="24"/>
      <c r="ZH7" s="24"/>
      <c r="ZI7" s="24"/>
      <c r="ZJ7" s="24"/>
      <c r="ZK7" s="24"/>
      <c r="ZL7" s="24"/>
      <c r="ZM7" s="24"/>
      <c r="ZN7" s="24"/>
      <c r="ZO7" s="24"/>
      <c r="ZP7" s="24"/>
      <c r="ZQ7" s="24"/>
      <c r="ZR7" s="24"/>
      <c r="ZS7" s="24">
        <f t="shared" si="84"/>
        <v>0</v>
      </c>
      <c r="ZT7" s="24">
        <f t="shared" si="85"/>
        <v>0</v>
      </c>
      <c r="ZU7" s="24"/>
      <c r="ZV7" s="24"/>
      <c r="ZW7" s="24"/>
      <c r="ZX7" s="24"/>
      <c r="ZY7" s="24"/>
      <c r="ZZ7" s="24"/>
      <c r="AAA7" s="24"/>
      <c r="AAB7" s="24"/>
      <c r="AAC7" s="24"/>
      <c r="AAD7" s="24"/>
      <c r="AAE7" s="24"/>
      <c r="AAF7" s="24"/>
      <c r="AAG7" s="24"/>
      <c r="AAH7" s="24"/>
      <c r="AAI7" s="24"/>
      <c r="AAJ7" s="24"/>
      <c r="AAK7" s="24"/>
      <c r="AAL7" s="24"/>
      <c r="AAM7" s="24"/>
      <c r="AAN7" s="24"/>
      <c r="AAO7" s="24"/>
      <c r="AAP7" s="24"/>
      <c r="AAQ7" s="24"/>
      <c r="AAR7" s="24"/>
      <c r="AAS7" s="24"/>
      <c r="AAT7" s="24"/>
      <c r="AAU7" s="24"/>
      <c r="AAV7" s="24"/>
      <c r="AAW7" s="24"/>
      <c r="AAX7" s="24"/>
      <c r="AAY7" s="24"/>
      <c r="AAZ7" s="24"/>
      <c r="ABA7" s="24"/>
      <c r="ABB7" s="24"/>
      <c r="ABC7" s="24"/>
      <c r="ABD7" s="24"/>
      <c r="ABE7" s="24"/>
      <c r="ABF7" s="24"/>
      <c r="ABG7" s="24"/>
      <c r="ABH7" s="24"/>
      <c r="ABI7" s="24"/>
      <c r="ABJ7" s="24"/>
      <c r="ABK7" s="24"/>
      <c r="ABL7" s="24"/>
      <c r="ABM7" s="24"/>
      <c r="ABN7" s="24"/>
      <c r="ABO7" s="24"/>
      <c r="ABP7" s="24"/>
      <c r="ABQ7" s="24"/>
      <c r="ABR7" s="24"/>
      <c r="ABS7" s="24"/>
      <c r="ABT7" s="24"/>
      <c r="ABU7" s="24"/>
      <c r="ABV7" s="24"/>
      <c r="ABW7" s="24"/>
      <c r="ABX7" s="24"/>
      <c r="ABY7" s="24"/>
      <c r="ABZ7" s="24"/>
      <c r="ACA7" s="24"/>
      <c r="ACB7" s="24"/>
      <c r="ACC7" s="24"/>
      <c r="ACD7" s="24"/>
      <c r="ACE7" s="24">
        <f t="shared" si="86"/>
        <v>0</v>
      </c>
      <c r="ACF7" s="24"/>
      <c r="ACG7" s="24">
        <f t="shared" si="87"/>
        <v>0</v>
      </c>
      <c r="ACH7" s="25"/>
      <c r="ACI7" s="71" t="s">
        <v>211</v>
      </c>
      <c r="ACJ7" s="71" t="s">
        <v>86</v>
      </c>
    </row>
    <row r="8" spans="1:764" x14ac:dyDescent="0.25">
      <c r="A8" s="162"/>
      <c r="B8" s="152"/>
      <c r="C8" s="157" t="s">
        <v>2</v>
      </c>
      <c r="D8" s="50" t="s">
        <v>6</v>
      </c>
      <c r="E8" s="74">
        <v>254.36999999999995</v>
      </c>
      <c r="F8" s="75">
        <v>296.54000000000002</v>
      </c>
      <c r="G8" s="75">
        <v>129.16</v>
      </c>
      <c r="H8" s="75">
        <v>191.03999999999996</v>
      </c>
      <c r="I8" s="75">
        <v>250.99</v>
      </c>
      <c r="J8" s="75">
        <v>252.72</v>
      </c>
      <c r="K8" s="75">
        <v>226.21</v>
      </c>
      <c r="L8" s="75">
        <v>193.05999999999997</v>
      </c>
      <c r="M8" s="75">
        <v>318.95999999999998</v>
      </c>
      <c r="N8" s="75">
        <v>296.97999999999996</v>
      </c>
      <c r="O8" s="75">
        <v>135.27000000000001</v>
      </c>
      <c r="P8" s="75">
        <v>156.58000000000001</v>
      </c>
      <c r="Q8" s="75">
        <v>207.32000000000002</v>
      </c>
      <c r="R8" s="75">
        <v>219.39999999999998</v>
      </c>
      <c r="S8" s="75">
        <v>175.45999999999998</v>
      </c>
      <c r="T8" s="75">
        <v>185.44</v>
      </c>
      <c r="U8" s="75">
        <v>218.46</v>
      </c>
      <c r="V8" s="75">
        <v>212.4</v>
      </c>
      <c r="W8" s="75">
        <v>182.82000000000002</v>
      </c>
      <c r="X8" s="75">
        <v>179.92</v>
      </c>
      <c r="Y8" s="75">
        <v>95.27000000000001</v>
      </c>
      <c r="Z8" s="75">
        <v>85.800000000000011</v>
      </c>
      <c r="AA8" s="75">
        <v>131.31</v>
      </c>
      <c r="AB8" s="75">
        <v>129.04</v>
      </c>
      <c r="AC8" s="75">
        <v>156.14999999999998</v>
      </c>
      <c r="AD8" s="75">
        <v>154.67999999999998</v>
      </c>
      <c r="AE8" s="75">
        <v>166.22</v>
      </c>
      <c r="AF8" s="75">
        <v>170.94000000000003</v>
      </c>
      <c r="AG8" s="75">
        <v>218.96999999999997</v>
      </c>
      <c r="AH8" s="75">
        <v>220.3</v>
      </c>
      <c r="AI8" s="75">
        <v>164.96</v>
      </c>
      <c r="AJ8" s="75">
        <v>154.90000000000003</v>
      </c>
      <c r="AK8" s="75">
        <v>190.69</v>
      </c>
      <c r="AL8" s="75">
        <v>183.61999999999998</v>
      </c>
      <c r="AM8" s="75">
        <v>200.28000000000003</v>
      </c>
      <c r="AN8" s="75">
        <v>199.94</v>
      </c>
      <c r="AO8" s="75">
        <v>164.78</v>
      </c>
      <c r="AP8" s="75">
        <v>162.01999999999998</v>
      </c>
      <c r="AQ8" s="75">
        <v>244.28999999999996</v>
      </c>
      <c r="AR8" s="75">
        <v>230.96</v>
      </c>
      <c r="AS8" s="75">
        <v>181.51</v>
      </c>
      <c r="AT8" s="75">
        <v>174.54</v>
      </c>
      <c r="AU8" s="75">
        <v>171.01</v>
      </c>
      <c r="AV8" s="75">
        <v>169.49999999999997</v>
      </c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>
        <v>144.87</v>
      </c>
      <c r="BH8" s="75">
        <v>142.6</v>
      </c>
      <c r="BI8" s="75">
        <v>186.88</v>
      </c>
      <c r="BJ8" s="75">
        <v>195.43999999999997</v>
      </c>
      <c r="BK8" s="75">
        <v>128.94</v>
      </c>
      <c r="BL8" s="75">
        <v>136.63999999999999</v>
      </c>
      <c r="BM8" s="75"/>
      <c r="BN8" s="75"/>
      <c r="BO8" s="24" cm="1">
        <f t="array" ref="BO8">SUMPRODUCT(E8:BM8,--(E$2:BM$2=BO$2))</f>
        <v>4645.1499999999996</v>
      </c>
      <c r="BP8" s="24" cm="1">
        <f t="array" ref="BP8">SUMPRODUCT(F8:BN8,--(F$2:BN$2=BP$2))</f>
        <v>4695</v>
      </c>
      <c r="BQ8" s="24">
        <v>20.210000000000004</v>
      </c>
      <c r="BR8" s="24">
        <v>20.18</v>
      </c>
      <c r="BS8" s="24">
        <v>178.4</v>
      </c>
      <c r="BT8" s="24">
        <v>177.96199999999996</v>
      </c>
      <c r="BU8" s="24">
        <v>159.35</v>
      </c>
      <c r="BV8" s="24">
        <v>183.82000000000002</v>
      </c>
      <c r="BW8" s="24">
        <v>168.29000000000002</v>
      </c>
      <c r="BX8" s="24">
        <v>171.38</v>
      </c>
      <c r="BY8" s="24">
        <v>130.36000000000001</v>
      </c>
      <c r="BZ8" s="24">
        <v>134.84</v>
      </c>
      <c r="CA8" s="24">
        <v>196.64</v>
      </c>
      <c r="CB8" s="24">
        <v>214.66000000000003</v>
      </c>
      <c r="CC8" s="24">
        <v>128.79999999999998</v>
      </c>
      <c r="CD8" s="24">
        <v>162.68</v>
      </c>
      <c r="CE8" s="24">
        <v>269.82</v>
      </c>
      <c r="CF8" s="24">
        <v>259.23999999999995</v>
      </c>
      <c r="CG8" s="24">
        <v>125.20000000000002</v>
      </c>
      <c r="CH8" s="24">
        <v>137.19999999999999</v>
      </c>
      <c r="CI8" s="24">
        <v>429.96999999999986</v>
      </c>
      <c r="CJ8" s="24">
        <v>432.2600000000001</v>
      </c>
      <c r="CK8" s="24">
        <v>289.08999999999997</v>
      </c>
      <c r="CL8" s="24">
        <v>251.45999999999998</v>
      </c>
      <c r="CM8" s="24">
        <v>107.84999999999998</v>
      </c>
      <c r="CN8" s="24">
        <v>104.14000000000001</v>
      </c>
      <c r="CO8" s="24">
        <v>124.86</v>
      </c>
      <c r="CP8" s="24">
        <v>137.82</v>
      </c>
      <c r="CQ8" s="24">
        <v>253.03000000000003</v>
      </c>
      <c r="CR8" s="24">
        <v>258.16000000000003</v>
      </c>
      <c r="CS8" s="24">
        <v>242.72</v>
      </c>
      <c r="CT8" s="24">
        <v>252.39999999999998</v>
      </c>
      <c r="CU8" s="24">
        <v>258.38999999999993</v>
      </c>
      <c r="CV8" s="24">
        <v>262.97999999999996</v>
      </c>
      <c r="CW8" s="24">
        <v>268.64999999999998</v>
      </c>
      <c r="CX8" s="24">
        <v>274.86</v>
      </c>
      <c r="CY8" s="24">
        <v>250.14999999999998</v>
      </c>
      <c r="CZ8" s="24">
        <v>290.94000000000005</v>
      </c>
      <c r="DA8" s="24">
        <v>174.84</v>
      </c>
      <c r="DB8" s="24">
        <v>202.07999999999998</v>
      </c>
      <c r="DC8" s="24">
        <v>225.71999999999997</v>
      </c>
      <c r="DD8" s="24">
        <v>246.85999999999999</v>
      </c>
      <c r="DE8" s="24">
        <v>118.05999999999999</v>
      </c>
      <c r="DF8" s="24">
        <v>113.60000000000001</v>
      </c>
      <c r="DG8" s="24">
        <v>238.06999999999996</v>
      </c>
      <c r="DH8" s="24">
        <v>213.62</v>
      </c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 cm="1">
        <f t="array" ref="DW8">SUMPRODUCT(BQ8:DU8,--(BQ$2:DU$2=DW$2))</f>
        <v>4358.4699999999993</v>
      </c>
      <c r="DX8" s="24" cm="1">
        <f t="array" ref="DX8">SUMPRODUCT(BR8:DV8,--(BR$2:DV$2=DX$2))</f>
        <v>4503.1420000000007</v>
      </c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>
        <v>37.869999999999997</v>
      </c>
      <c r="EJ8" s="24">
        <v>40.799999999999997</v>
      </c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 cm="1">
        <f t="array" ref="GI8">SUMPRODUCT(DY8:GG8,--(DY$2:GG$2=GI$2))</f>
        <v>37.869999999999997</v>
      </c>
      <c r="GJ8" s="24" cm="1">
        <f t="array" ref="GJ8">SUMPRODUCT(DZ8:GH8,--(DZ$2:GH$2=GJ$2))</f>
        <v>40.799999999999997</v>
      </c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>
        <v>22.050000000000004</v>
      </c>
      <c r="HV8" s="24">
        <v>21.439999999999998</v>
      </c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>
        <f t="shared" si="70"/>
        <v>22.050000000000004</v>
      </c>
      <c r="IT8" s="24">
        <f t="shared" si="71"/>
        <v>21.439999999999998</v>
      </c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>
        <v>231.38000000000002</v>
      </c>
      <c r="JV8" s="24">
        <v>218.76</v>
      </c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24"/>
      <c r="KO8" s="24"/>
      <c r="KP8" s="24"/>
      <c r="KQ8" s="24"/>
      <c r="KR8" s="24"/>
      <c r="KS8" s="24"/>
      <c r="KT8" s="24"/>
      <c r="KU8" s="24"/>
      <c r="KV8" s="24"/>
      <c r="KW8" s="24"/>
      <c r="KX8" s="24"/>
      <c r="KY8" s="24"/>
      <c r="KZ8" s="24"/>
      <c r="LA8" s="24"/>
      <c r="LB8" s="24"/>
      <c r="LC8" s="24"/>
      <c r="LD8" s="24"/>
      <c r="LE8" s="24">
        <f t="shared" si="72"/>
        <v>231.38000000000002</v>
      </c>
      <c r="LF8" s="24">
        <f t="shared" si="73"/>
        <v>218.76</v>
      </c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24"/>
      <c r="MS8" s="24"/>
      <c r="MT8" s="24"/>
      <c r="MU8" s="24"/>
      <c r="MV8" s="24"/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>
        <f t="shared" si="74"/>
        <v>0</v>
      </c>
      <c r="NP8" s="24">
        <f t="shared" si="75"/>
        <v>0</v>
      </c>
      <c r="NQ8" s="24"/>
      <c r="NR8" s="24"/>
      <c r="NS8" s="24"/>
      <c r="NT8" s="24"/>
      <c r="NU8" s="24"/>
      <c r="NV8" s="24"/>
      <c r="NW8" s="24"/>
      <c r="NX8" s="24"/>
      <c r="NY8" s="24"/>
      <c r="NZ8" s="24"/>
      <c r="OA8" s="24"/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24"/>
      <c r="OW8" s="24"/>
      <c r="OX8" s="24"/>
      <c r="OY8" s="24"/>
      <c r="OZ8" s="24"/>
      <c r="PA8" s="24"/>
      <c r="PB8" s="24"/>
      <c r="PC8" s="24"/>
      <c r="PD8" s="24"/>
      <c r="PE8" s="24"/>
      <c r="PF8" s="24"/>
      <c r="PG8" s="24"/>
      <c r="PH8" s="24"/>
      <c r="PI8" s="24"/>
      <c r="PJ8" s="24"/>
      <c r="PK8" s="24"/>
      <c r="PL8" s="24"/>
      <c r="PM8" s="24"/>
      <c r="PN8" s="24"/>
      <c r="PO8" s="24"/>
      <c r="PP8" s="24"/>
      <c r="PQ8" s="24"/>
      <c r="PR8" s="24"/>
      <c r="PS8" s="24"/>
      <c r="PT8" s="24"/>
      <c r="PU8" s="24"/>
      <c r="PV8" s="24"/>
      <c r="PW8" s="24"/>
      <c r="PX8" s="24"/>
      <c r="PY8" s="24"/>
      <c r="PZ8" s="24"/>
      <c r="QA8" s="24">
        <f t="shared" si="76"/>
        <v>0</v>
      </c>
      <c r="QB8" s="24">
        <f t="shared" si="77"/>
        <v>0</v>
      </c>
      <c r="QC8" s="24"/>
      <c r="QD8" s="24"/>
      <c r="QE8" s="24"/>
      <c r="QF8" s="24"/>
      <c r="QG8" s="24"/>
      <c r="QH8" s="24"/>
      <c r="QI8" s="24"/>
      <c r="QJ8" s="24"/>
      <c r="QK8" s="24"/>
      <c r="QL8" s="24"/>
      <c r="QM8" s="24"/>
      <c r="QN8" s="24"/>
      <c r="QO8" s="24"/>
      <c r="QP8" s="24"/>
      <c r="QQ8" s="24"/>
      <c r="QR8" s="24"/>
      <c r="QS8" s="24"/>
      <c r="QT8" s="24"/>
      <c r="QU8" s="24"/>
      <c r="QV8" s="24"/>
      <c r="QW8" s="24"/>
      <c r="QX8" s="24"/>
      <c r="QY8" s="24"/>
      <c r="QZ8" s="24"/>
      <c r="RA8" s="24"/>
      <c r="RB8" s="24"/>
      <c r="RC8" s="24"/>
      <c r="RD8" s="24"/>
      <c r="RE8" s="24"/>
      <c r="RF8" s="24"/>
      <c r="RG8" s="24"/>
      <c r="RH8" s="24"/>
      <c r="RI8" s="24"/>
      <c r="RJ8" s="24"/>
      <c r="RK8" s="24"/>
      <c r="RL8" s="24"/>
      <c r="RM8" s="24"/>
      <c r="RN8" s="24"/>
      <c r="RO8" s="24"/>
      <c r="RP8" s="24"/>
      <c r="RQ8" s="24"/>
      <c r="RR8" s="24"/>
      <c r="RS8" s="24"/>
      <c r="RT8" s="24"/>
      <c r="RU8" s="24"/>
      <c r="RV8" s="24"/>
      <c r="RW8" s="24"/>
      <c r="RX8" s="24"/>
      <c r="RY8" s="24"/>
      <c r="RZ8" s="24"/>
      <c r="SA8" s="24"/>
      <c r="SB8" s="24"/>
      <c r="SC8" s="24"/>
      <c r="SD8" s="24"/>
      <c r="SE8" s="24"/>
      <c r="SF8" s="24"/>
      <c r="SG8" s="24"/>
      <c r="SH8" s="24"/>
      <c r="SI8" s="24"/>
      <c r="SJ8" s="24"/>
      <c r="SK8" s="24"/>
      <c r="SL8" s="24"/>
      <c r="SM8" s="24">
        <f t="shared" si="78"/>
        <v>0</v>
      </c>
      <c r="SN8" s="24">
        <f t="shared" si="79"/>
        <v>0</v>
      </c>
      <c r="SO8" s="24"/>
      <c r="SP8" s="24"/>
      <c r="SQ8" s="24"/>
      <c r="SR8" s="24"/>
      <c r="SS8" s="24"/>
      <c r="ST8" s="24"/>
      <c r="SU8" s="24"/>
      <c r="SV8" s="24"/>
      <c r="SW8" s="24"/>
      <c r="SX8" s="24"/>
      <c r="SY8" s="24"/>
      <c r="SZ8" s="24"/>
      <c r="TA8" s="24"/>
      <c r="TB8" s="24"/>
      <c r="TC8" s="24"/>
      <c r="TD8" s="24"/>
      <c r="TE8" s="24"/>
      <c r="TF8" s="24"/>
      <c r="TG8" s="24"/>
      <c r="TH8" s="24"/>
      <c r="TI8" s="24"/>
      <c r="TJ8" s="24"/>
      <c r="TK8" s="24"/>
      <c r="TL8" s="24"/>
      <c r="TM8" s="24"/>
      <c r="TN8" s="24"/>
      <c r="TO8" s="24"/>
      <c r="TP8" s="24"/>
      <c r="TQ8" s="24"/>
      <c r="TR8" s="24"/>
      <c r="TS8" s="24"/>
      <c r="TT8" s="24"/>
      <c r="TU8" s="24"/>
      <c r="TV8" s="24"/>
      <c r="TW8" s="24"/>
      <c r="TX8" s="24"/>
      <c r="TY8" s="24"/>
      <c r="TZ8" s="24"/>
      <c r="UA8" s="24"/>
      <c r="UB8" s="24"/>
      <c r="UC8" s="24"/>
      <c r="UD8" s="24"/>
      <c r="UE8" s="24"/>
      <c r="UF8" s="24"/>
      <c r="UG8" s="24"/>
      <c r="UH8" s="24"/>
      <c r="UI8" s="24"/>
      <c r="UJ8" s="24"/>
      <c r="UK8" s="24"/>
      <c r="UL8" s="24"/>
      <c r="UM8" s="24"/>
      <c r="UN8" s="24"/>
      <c r="UO8" s="24"/>
      <c r="UP8" s="24"/>
      <c r="UQ8" s="24"/>
      <c r="UR8" s="24"/>
      <c r="US8" s="24"/>
      <c r="UT8" s="24"/>
      <c r="UU8" s="24"/>
      <c r="UV8" s="24"/>
      <c r="UW8" s="24">
        <f t="shared" si="80"/>
        <v>0</v>
      </c>
      <c r="UX8" s="24">
        <f t="shared" si="81"/>
        <v>0</v>
      </c>
      <c r="UY8" s="24"/>
      <c r="UZ8" s="24"/>
      <c r="VA8" s="24"/>
      <c r="VB8" s="24"/>
      <c r="VC8" s="24"/>
      <c r="VD8" s="24"/>
      <c r="VE8" s="24"/>
      <c r="VF8" s="24"/>
      <c r="VG8" s="24"/>
      <c r="VH8" s="24"/>
      <c r="VI8" s="24"/>
      <c r="VJ8" s="24"/>
      <c r="VK8" s="24"/>
      <c r="VL8" s="24"/>
      <c r="VM8" s="24"/>
      <c r="VN8" s="24"/>
      <c r="VO8" s="24"/>
      <c r="VP8" s="24"/>
      <c r="VQ8" s="24"/>
      <c r="VR8" s="24"/>
      <c r="VS8" s="24"/>
      <c r="VT8" s="24"/>
      <c r="VU8" s="24"/>
      <c r="VV8" s="24"/>
      <c r="VW8" s="24"/>
      <c r="VX8" s="24"/>
      <c r="VY8" s="24"/>
      <c r="VZ8" s="24"/>
      <c r="WA8" s="24"/>
      <c r="WB8" s="24"/>
      <c r="WC8" s="24"/>
      <c r="WD8" s="24"/>
      <c r="WE8" s="24"/>
      <c r="WF8" s="24"/>
      <c r="WG8" s="24"/>
      <c r="WH8" s="24"/>
      <c r="WI8" s="24"/>
      <c r="WJ8" s="24"/>
      <c r="WK8" s="24"/>
      <c r="WL8" s="24"/>
      <c r="WM8" s="24"/>
      <c r="WN8" s="24"/>
      <c r="WO8" s="24"/>
      <c r="WP8" s="24"/>
      <c r="WQ8" s="24"/>
      <c r="WR8" s="24"/>
      <c r="WS8" s="24"/>
      <c r="WT8" s="24"/>
      <c r="WU8" s="24"/>
      <c r="WV8" s="24"/>
      <c r="WW8" s="24"/>
      <c r="WX8" s="24"/>
      <c r="WY8" s="24"/>
      <c r="WZ8" s="24"/>
      <c r="XA8" s="24"/>
      <c r="XB8" s="24"/>
      <c r="XC8" s="24"/>
      <c r="XD8" s="24"/>
      <c r="XE8" s="24"/>
      <c r="XF8" s="24"/>
      <c r="XG8" s="24"/>
      <c r="XH8" s="24"/>
      <c r="XI8" s="24">
        <f t="shared" si="82"/>
        <v>0</v>
      </c>
      <c r="XJ8" s="24">
        <f t="shared" si="83"/>
        <v>0</v>
      </c>
      <c r="XK8" s="24"/>
      <c r="XL8" s="24"/>
      <c r="XM8" s="24"/>
      <c r="XN8" s="24"/>
      <c r="XO8" s="24"/>
      <c r="XP8" s="24"/>
      <c r="XQ8" s="24"/>
      <c r="XR8" s="24"/>
      <c r="XS8" s="24"/>
      <c r="XT8" s="24"/>
      <c r="XU8" s="24"/>
      <c r="XV8" s="24"/>
      <c r="XW8" s="24"/>
      <c r="XX8" s="24"/>
      <c r="XY8" s="24"/>
      <c r="XZ8" s="24"/>
      <c r="YA8" s="24"/>
      <c r="YB8" s="24"/>
      <c r="YC8" s="24"/>
      <c r="YD8" s="24"/>
      <c r="YE8" s="24"/>
      <c r="YF8" s="24"/>
      <c r="YG8" s="24"/>
      <c r="YH8" s="24"/>
      <c r="YI8" s="24"/>
      <c r="YJ8" s="24"/>
      <c r="YK8" s="24"/>
      <c r="YL8" s="24"/>
      <c r="YM8" s="24"/>
      <c r="YN8" s="24"/>
      <c r="YO8" s="24"/>
      <c r="YP8" s="24"/>
      <c r="YQ8" s="24"/>
      <c r="YR8" s="24"/>
      <c r="YS8" s="24"/>
      <c r="YT8" s="24"/>
      <c r="YU8" s="24"/>
      <c r="YV8" s="24"/>
      <c r="YW8" s="24"/>
      <c r="YX8" s="24"/>
      <c r="YY8" s="24"/>
      <c r="YZ8" s="24"/>
      <c r="ZA8" s="24"/>
      <c r="ZB8" s="24"/>
      <c r="ZC8" s="24"/>
      <c r="ZD8" s="24"/>
      <c r="ZE8" s="24"/>
      <c r="ZF8" s="24"/>
      <c r="ZG8" s="24"/>
      <c r="ZH8" s="24"/>
      <c r="ZI8" s="24"/>
      <c r="ZJ8" s="24"/>
      <c r="ZK8" s="24"/>
      <c r="ZL8" s="24"/>
      <c r="ZM8" s="24"/>
      <c r="ZN8" s="24"/>
      <c r="ZO8" s="24"/>
      <c r="ZP8" s="24"/>
      <c r="ZQ8" s="24"/>
      <c r="ZR8" s="24"/>
      <c r="ZS8" s="24">
        <f t="shared" si="84"/>
        <v>0</v>
      </c>
      <c r="ZT8" s="24">
        <f t="shared" si="85"/>
        <v>0</v>
      </c>
      <c r="ZU8" s="24"/>
      <c r="ZV8" s="24"/>
      <c r="ZW8" s="24"/>
      <c r="ZX8" s="24"/>
      <c r="ZY8" s="24"/>
      <c r="ZZ8" s="24"/>
      <c r="AAA8" s="24"/>
      <c r="AAB8" s="24"/>
      <c r="AAC8" s="24"/>
      <c r="AAD8" s="24"/>
      <c r="AAE8" s="24"/>
      <c r="AAF8" s="24"/>
      <c r="AAG8" s="24"/>
      <c r="AAH8" s="24"/>
      <c r="AAI8" s="24"/>
      <c r="AAJ8" s="24"/>
      <c r="AAK8" s="24"/>
      <c r="AAL8" s="24"/>
      <c r="AAM8" s="24"/>
      <c r="AAN8" s="24"/>
      <c r="AAO8" s="24"/>
      <c r="AAP8" s="24"/>
      <c r="AAQ8" s="24"/>
      <c r="AAR8" s="24"/>
      <c r="AAS8" s="24"/>
      <c r="AAT8" s="24"/>
      <c r="AAU8" s="24"/>
      <c r="AAV8" s="24"/>
      <c r="AAW8" s="24"/>
      <c r="AAX8" s="24"/>
      <c r="AAY8" s="24"/>
      <c r="AAZ8" s="24"/>
      <c r="ABA8" s="24"/>
      <c r="ABB8" s="24"/>
      <c r="ABC8" s="24"/>
      <c r="ABD8" s="24"/>
      <c r="ABE8" s="24"/>
      <c r="ABF8" s="24"/>
      <c r="ABG8" s="24"/>
      <c r="ABH8" s="24"/>
      <c r="ABI8" s="24"/>
      <c r="ABJ8" s="24"/>
      <c r="ABK8" s="24"/>
      <c r="ABL8" s="24"/>
      <c r="ABM8" s="24"/>
      <c r="ABN8" s="24"/>
      <c r="ABO8" s="24"/>
      <c r="ABP8" s="24"/>
      <c r="ABQ8" s="24"/>
      <c r="ABR8" s="24"/>
      <c r="ABS8" s="24"/>
      <c r="ABT8" s="24"/>
      <c r="ABU8" s="24"/>
      <c r="ABV8" s="24"/>
      <c r="ABW8" s="24"/>
      <c r="ABX8" s="24"/>
      <c r="ABY8" s="24"/>
      <c r="ABZ8" s="24"/>
      <c r="ACA8" s="24"/>
      <c r="ACB8" s="24"/>
      <c r="ACC8" s="24"/>
      <c r="ACD8" s="24"/>
      <c r="ACE8" s="24">
        <f t="shared" si="86"/>
        <v>0</v>
      </c>
      <c r="ACF8" s="24"/>
      <c r="ACG8" s="24">
        <f t="shared" si="87"/>
        <v>9294.9199999999983</v>
      </c>
      <c r="ACH8" s="25"/>
      <c r="ACI8" s="71" t="s">
        <v>132</v>
      </c>
      <c r="ACJ8" s="71" t="s">
        <v>86</v>
      </c>
    </row>
    <row r="9" spans="1:764" x14ac:dyDescent="0.25">
      <c r="A9" s="162"/>
      <c r="B9" s="152"/>
      <c r="C9" s="155"/>
      <c r="D9" s="50" t="s">
        <v>7</v>
      </c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24" cm="1">
        <f t="array" ref="BO9">SUMPRODUCT(E9:BM9,--(E$2:BM$2=BO$2))</f>
        <v>0</v>
      </c>
      <c r="BP9" s="24" cm="1">
        <f t="array" ref="BP9">SUMPRODUCT(F9:BN9,--(F$2:BN$2=BP$2))</f>
        <v>0</v>
      </c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 cm="1">
        <f t="array" ref="DW9">SUMPRODUCT(BQ9:DU9,--(BQ$2:DU$2=DW$2))</f>
        <v>0</v>
      </c>
      <c r="DX9" s="24" cm="1">
        <f t="array" ref="DX9">SUMPRODUCT(BR9:DV9,--(BR$2:DV$2=DX$2))</f>
        <v>0</v>
      </c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 cm="1">
        <f t="array" ref="GI9">SUMPRODUCT(DY9:GG9,--(DY$2:GG$2=GI$2))</f>
        <v>0</v>
      </c>
      <c r="GJ9" s="24" cm="1">
        <f t="array" ref="GJ9">SUMPRODUCT(DZ9:GH9,--(DZ$2:GH$2=GJ$2))</f>
        <v>0</v>
      </c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>
        <f t="shared" si="70"/>
        <v>0</v>
      </c>
      <c r="IT9" s="24">
        <f t="shared" si="71"/>
        <v>0</v>
      </c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>
        <v>172.09</v>
      </c>
      <c r="JV9" s="24">
        <v>170.8</v>
      </c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>
        <f t="shared" si="72"/>
        <v>172.09</v>
      </c>
      <c r="LF9" s="24">
        <f t="shared" si="73"/>
        <v>170.8</v>
      </c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>
        <f t="shared" si="74"/>
        <v>0</v>
      </c>
      <c r="NP9" s="24">
        <f t="shared" si="75"/>
        <v>0</v>
      </c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>
        <f t="shared" si="76"/>
        <v>0</v>
      </c>
      <c r="QB9" s="24">
        <f t="shared" si="77"/>
        <v>0</v>
      </c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>
        <f t="shared" si="78"/>
        <v>0</v>
      </c>
      <c r="SN9" s="24">
        <f t="shared" si="79"/>
        <v>0</v>
      </c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>
        <f t="shared" si="80"/>
        <v>0</v>
      </c>
      <c r="UX9" s="24">
        <f t="shared" si="81"/>
        <v>0</v>
      </c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>
        <f t="shared" si="82"/>
        <v>0</v>
      </c>
      <c r="XJ9" s="24">
        <f t="shared" si="83"/>
        <v>0</v>
      </c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>
        <f t="shared" si="84"/>
        <v>0</v>
      </c>
      <c r="ZT9" s="24">
        <f t="shared" si="85"/>
        <v>0</v>
      </c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>
        <f t="shared" si="86"/>
        <v>0</v>
      </c>
      <c r="ACF9" s="24"/>
      <c r="ACG9" s="24">
        <f t="shared" si="87"/>
        <v>172.09</v>
      </c>
      <c r="ACH9" s="25"/>
      <c r="ACI9" s="71" t="s">
        <v>133</v>
      </c>
      <c r="ACJ9" s="71" t="s">
        <v>86</v>
      </c>
    </row>
    <row r="10" spans="1:764" x14ac:dyDescent="0.25">
      <c r="A10" s="162"/>
      <c r="B10" s="152"/>
      <c r="C10" s="155"/>
      <c r="D10" s="50" t="s">
        <v>4</v>
      </c>
      <c r="E10" s="74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>
        <v>64.930000000000007</v>
      </c>
      <c r="R10" s="75">
        <v>72.66</v>
      </c>
      <c r="S10" s="75">
        <v>78.680000000000007</v>
      </c>
      <c r="T10" s="75">
        <v>82.179999999999993</v>
      </c>
      <c r="U10" s="75">
        <v>75.05</v>
      </c>
      <c r="V10" s="75">
        <v>73.680000000000007</v>
      </c>
      <c r="W10" s="75">
        <v>82.509999999999991</v>
      </c>
      <c r="X10" s="75">
        <v>81.900000000000006</v>
      </c>
      <c r="Y10" s="75">
        <v>44.14</v>
      </c>
      <c r="Z10" s="75">
        <v>43.1</v>
      </c>
      <c r="AA10" s="75">
        <v>103.86999999999999</v>
      </c>
      <c r="AB10" s="75">
        <v>107.6</v>
      </c>
      <c r="AC10" s="75">
        <v>127.13</v>
      </c>
      <c r="AD10" s="75">
        <v>120.22</v>
      </c>
      <c r="AE10" s="75">
        <v>58.55</v>
      </c>
      <c r="AF10" s="75">
        <v>63.899999999999991</v>
      </c>
      <c r="AG10" s="75">
        <v>38.049999999999997</v>
      </c>
      <c r="AH10" s="75">
        <v>37.6</v>
      </c>
      <c r="AI10" s="75">
        <v>48.839999999999996</v>
      </c>
      <c r="AJ10" s="75">
        <v>49.92</v>
      </c>
      <c r="AK10" s="75">
        <v>48.110000000000007</v>
      </c>
      <c r="AL10" s="75">
        <v>45.72</v>
      </c>
      <c r="AM10" s="75">
        <v>43.25</v>
      </c>
      <c r="AN10" s="75">
        <v>42.44</v>
      </c>
      <c r="AO10" s="75">
        <v>17.52</v>
      </c>
      <c r="AP10" s="75">
        <v>17.579999999999998</v>
      </c>
      <c r="AQ10" s="75">
        <v>17.520000000000003</v>
      </c>
      <c r="AR10" s="75">
        <v>17.46</v>
      </c>
      <c r="AS10" s="75">
        <v>19.080000000000005</v>
      </c>
      <c r="AT10" s="75">
        <v>16.46</v>
      </c>
      <c r="AU10" s="75">
        <v>39.340000000000003</v>
      </c>
      <c r="AV10" s="75">
        <v>39.18</v>
      </c>
      <c r="AW10" s="75">
        <v>177.73</v>
      </c>
      <c r="AX10" s="75">
        <v>177.91999999999996</v>
      </c>
      <c r="AY10" s="75">
        <v>177.57</v>
      </c>
      <c r="AZ10" s="75">
        <v>200.22</v>
      </c>
      <c r="BA10" s="75">
        <v>214.55999999999997</v>
      </c>
      <c r="BB10" s="75">
        <v>224.44000000000003</v>
      </c>
      <c r="BC10" s="75">
        <v>194.49</v>
      </c>
      <c r="BD10" s="75">
        <v>195.66</v>
      </c>
      <c r="BE10" s="75">
        <v>165.43999999999997</v>
      </c>
      <c r="BF10" s="75">
        <v>165.26000000000002</v>
      </c>
      <c r="BG10" s="75">
        <v>34.450000000000003</v>
      </c>
      <c r="BH10" s="75">
        <v>35.4</v>
      </c>
      <c r="BI10" s="75">
        <v>39.36</v>
      </c>
      <c r="BJ10" s="75">
        <v>34.980000000000004</v>
      </c>
      <c r="BK10" s="75">
        <v>37.31</v>
      </c>
      <c r="BL10" s="75">
        <v>36.94</v>
      </c>
      <c r="BM10" s="75"/>
      <c r="BN10" s="75"/>
      <c r="BO10" s="24" cm="1">
        <f t="array" ref="BO10">SUMPRODUCT(E10:BM10,--(E$2:BM$2=BO$2))</f>
        <v>1947.4799999999998</v>
      </c>
      <c r="BP10" s="24" cm="1">
        <f t="array" ref="BP10">SUMPRODUCT(F10:BN10,--(F$2:BN$2=BP$2))</f>
        <v>1982.4200000000003</v>
      </c>
      <c r="BQ10" s="24">
        <v>34.629999999999995</v>
      </c>
      <c r="BR10" s="24">
        <v>35.799999999999997</v>
      </c>
      <c r="BS10" s="24">
        <v>43.290000000000006</v>
      </c>
      <c r="BT10" s="24">
        <v>43.760000000000005</v>
      </c>
      <c r="BU10" s="24">
        <v>43.900000000000006</v>
      </c>
      <c r="BV10" s="24">
        <v>44.28</v>
      </c>
      <c r="BW10" s="24">
        <v>58.660000000000004</v>
      </c>
      <c r="BX10" s="24">
        <v>60.319999999999993</v>
      </c>
      <c r="BY10" s="24">
        <v>38.270000000000003</v>
      </c>
      <c r="BZ10" s="24">
        <v>41.44</v>
      </c>
      <c r="CA10" s="24"/>
      <c r="CB10" s="24"/>
      <c r="CC10" s="24">
        <v>15.84</v>
      </c>
      <c r="CD10" s="24">
        <v>21.84</v>
      </c>
      <c r="CE10" s="24">
        <v>53.41</v>
      </c>
      <c r="CF10" s="24">
        <v>55.400000000000006</v>
      </c>
      <c r="CG10" s="24">
        <v>21.599999999999994</v>
      </c>
      <c r="CH10" s="24">
        <v>20.72</v>
      </c>
      <c r="CI10" s="24">
        <v>41.83</v>
      </c>
      <c r="CJ10" s="24">
        <v>33.06</v>
      </c>
      <c r="CK10" s="24">
        <v>20.179999999999996</v>
      </c>
      <c r="CL10" s="24">
        <v>17.04</v>
      </c>
      <c r="CM10" s="24">
        <v>43.269999999999996</v>
      </c>
      <c r="CN10" s="24">
        <v>37.159999999999997</v>
      </c>
      <c r="CO10" s="24">
        <v>30.54</v>
      </c>
      <c r="CP10" s="24">
        <v>32.159999999999997</v>
      </c>
      <c r="CQ10" s="24"/>
      <c r="CR10" s="24"/>
      <c r="CS10" s="24">
        <v>14.149999999999999</v>
      </c>
      <c r="CT10" s="24">
        <v>14.66</v>
      </c>
      <c r="CU10" s="24"/>
      <c r="CV10" s="24"/>
      <c r="CW10" s="24">
        <v>21.919999999999998</v>
      </c>
      <c r="CX10" s="24">
        <v>22.76</v>
      </c>
      <c r="CY10" s="24">
        <v>16.32</v>
      </c>
      <c r="CZ10" s="24">
        <v>20.399999999999999</v>
      </c>
      <c r="DA10" s="24">
        <v>17.34</v>
      </c>
      <c r="DB10" s="24">
        <v>19.98</v>
      </c>
      <c r="DC10" s="24">
        <v>23.21</v>
      </c>
      <c r="DD10" s="24">
        <v>26.62</v>
      </c>
      <c r="DE10" s="24">
        <v>42.5</v>
      </c>
      <c r="DF10" s="24">
        <v>37.099999999999994</v>
      </c>
      <c r="DG10" s="24">
        <v>45.13000000000001</v>
      </c>
      <c r="DH10" s="24">
        <v>37.78</v>
      </c>
      <c r="DI10" s="24">
        <v>131.45000000000002</v>
      </c>
      <c r="DJ10" s="24">
        <v>153.74</v>
      </c>
      <c r="DK10" s="24">
        <v>74.08</v>
      </c>
      <c r="DL10" s="24">
        <v>87.36</v>
      </c>
      <c r="DM10" s="24">
        <v>116.7</v>
      </c>
      <c r="DN10" s="24">
        <v>104.54</v>
      </c>
      <c r="DO10" s="24">
        <v>77.8</v>
      </c>
      <c r="DP10" s="24">
        <v>79.5</v>
      </c>
      <c r="DQ10" s="24">
        <v>151.44999999999999</v>
      </c>
      <c r="DR10" s="24">
        <v>163.80000000000001</v>
      </c>
      <c r="DS10" s="24">
        <v>96.44</v>
      </c>
      <c r="DT10" s="24">
        <v>102.94000000000001</v>
      </c>
      <c r="DU10" s="24">
        <v>82.009999999999991</v>
      </c>
      <c r="DV10" s="24">
        <v>89.7</v>
      </c>
      <c r="DW10" s="24" cm="1">
        <f t="array" ref="DW10">SUMPRODUCT(BQ10:DU10,--(BQ$2:DU$2=DW$2))</f>
        <v>1355.9200000000003</v>
      </c>
      <c r="DX10" s="24" cm="1">
        <f t="array" ref="DX10">SUMPRODUCT(BR10:DV10,--(BR$2:DV$2=DX$2))</f>
        <v>1403.8600000000001</v>
      </c>
      <c r="DY10" s="24">
        <v>85.83</v>
      </c>
      <c r="DZ10" s="24">
        <v>79.42</v>
      </c>
      <c r="EA10" s="24">
        <v>159.49</v>
      </c>
      <c r="EB10" s="24">
        <v>153.47999999999999</v>
      </c>
      <c r="EC10" s="24">
        <v>106.63999999999999</v>
      </c>
      <c r="ED10" s="24">
        <v>116.22</v>
      </c>
      <c r="EE10" s="24">
        <v>73.95999999999998</v>
      </c>
      <c r="EF10" s="24">
        <v>77.180000000000007</v>
      </c>
      <c r="EG10" s="24">
        <v>78.55</v>
      </c>
      <c r="EH10" s="24">
        <v>86.34</v>
      </c>
      <c r="EI10" s="24">
        <v>43.13</v>
      </c>
      <c r="EJ10" s="24">
        <v>45.66</v>
      </c>
      <c r="EK10" s="24">
        <v>124.08</v>
      </c>
      <c r="EL10" s="24">
        <v>112.28</v>
      </c>
      <c r="EM10" s="24">
        <v>83.039999999999992</v>
      </c>
      <c r="EN10" s="24">
        <v>84.240000000000009</v>
      </c>
      <c r="EO10" s="24">
        <v>65.92</v>
      </c>
      <c r="EP10" s="24">
        <v>74.08</v>
      </c>
      <c r="EQ10" s="24">
        <v>104.83000000000001</v>
      </c>
      <c r="ER10" s="24">
        <v>103.6</v>
      </c>
      <c r="ES10" s="24">
        <v>77.099999999999994</v>
      </c>
      <c r="ET10" s="24">
        <v>82.84</v>
      </c>
      <c r="EU10" s="24">
        <v>77.290000000000006</v>
      </c>
      <c r="EV10" s="24">
        <v>84.48</v>
      </c>
      <c r="EW10" s="24">
        <v>20.369999999999994</v>
      </c>
      <c r="EX10" s="24">
        <v>21.54</v>
      </c>
      <c r="EY10" s="24"/>
      <c r="EZ10" s="24"/>
      <c r="FA10" s="24">
        <v>20.140000000000004</v>
      </c>
      <c r="FB10" s="24">
        <v>20.059999999999999</v>
      </c>
      <c r="FC10" s="24">
        <v>18.399999999999999</v>
      </c>
      <c r="FD10" s="24">
        <v>21.48</v>
      </c>
      <c r="FE10" s="24">
        <v>22.840000000000003</v>
      </c>
      <c r="FF10" s="24">
        <v>23.02</v>
      </c>
      <c r="FG10" s="24">
        <v>19.309999999999999</v>
      </c>
      <c r="FH10" s="24">
        <v>19.440000000000001</v>
      </c>
      <c r="FI10" s="24">
        <v>50.7</v>
      </c>
      <c r="FJ10" s="24">
        <v>47.28</v>
      </c>
      <c r="FK10" s="24">
        <v>42.03</v>
      </c>
      <c r="FL10" s="24">
        <v>51.66</v>
      </c>
      <c r="FM10" s="24"/>
      <c r="FN10" s="24"/>
      <c r="FO10" s="24">
        <v>47.61</v>
      </c>
      <c r="FP10" s="24">
        <v>46.599999999999994</v>
      </c>
      <c r="FQ10" s="24">
        <v>37.800000000000004</v>
      </c>
      <c r="FR10" s="24">
        <v>39.659999999999997</v>
      </c>
      <c r="FS10" s="24">
        <v>43.989999999999995</v>
      </c>
      <c r="FT10" s="24">
        <v>47.28</v>
      </c>
      <c r="FU10" s="24">
        <v>48.53</v>
      </c>
      <c r="FV10" s="24">
        <v>49.040000000000006</v>
      </c>
      <c r="FW10" s="24">
        <v>49.03</v>
      </c>
      <c r="FX10" s="24">
        <v>51.54</v>
      </c>
      <c r="FY10" s="24">
        <v>42.66</v>
      </c>
      <c r="FZ10" s="24">
        <v>46.620000000000005</v>
      </c>
      <c r="GA10" s="24">
        <v>43.28</v>
      </c>
      <c r="GB10" s="24">
        <v>47.68</v>
      </c>
      <c r="GC10" s="24">
        <v>42.35</v>
      </c>
      <c r="GD10" s="24">
        <v>41.260000000000005</v>
      </c>
      <c r="GE10" s="24">
        <v>55.39</v>
      </c>
      <c r="GF10" s="24">
        <v>54.34</v>
      </c>
      <c r="GG10" s="24">
        <v>36.019999999999996</v>
      </c>
      <c r="GH10" s="24">
        <v>36.379999999999995</v>
      </c>
      <c r="GI10" s="24" cm="1">
        <f t="array" ref="GI10">SUMPRODUCT(DY10:GG10,--(DY$2:GG$2=GI$2))</f>
        <v>1720.31</v>
      </c>
      <c r="GJ10" s="24" cm="1">
        <f t="array" ref="GJ10">SUMPRODUCT(DZ10:GH10,--(DZ$2:GH$2=GJ$2))</f>
        <v>1764.6999999999998</v>
      </c>
      <c r="GK10" s="24">
        <v>46.29</v>
      </c>
      <c r="GL10" s="24">
        <v>50.1</v>
      </c>
      <c r="GM10" s="24"/>
      <c r="GN10" s="24"/>
      <c r="GO10" s="24">
        <v>20.729999999999997</v>
      </c>
      <c r="GP10" s="24">
        <v>24.26</v>
      </c>
      <c r="GQ10" s="24">
        <v>26.5</v>
      </c>
      <c r="GR10" s="24">
        <v>25.94</v>
      </c>
      <c r="GS10" s="24">
        <v>19.839999999999993</v>
      </c>
      <c r="GT10" s="24">
        <v>20.78</v>
      </c>
      <c r="GU10" s="24">
        <v>21.56</v>
      </c>
      <c r="GV10" s="24">
        <v>22.18</v>
      </c>
      <c r="GW10" s="24">
        <v>31.65</v>
      </c>
      <c r="GX10" s="24">
        <v>30.9</v>
      </c>
      <c r="GY10" s="24">
        <v>21.71</v>
      </c>
      <c r="GZ10" s="24">
        <v>24.1</v>
      </c>
      <c r="HA10" s="24">
        <v>21.77</v>
      </c>
      <c r="HB10" s="24">
        <v>22.18</v>
      </c>
      <c r="HC10" s="24"/>
      <c r="HD10" s="24"/>
      <c r="HE10" s="24">
        <v>20.59</v>
      </c>
      <c r="HF10" s="24">
        <v>21.86</v>
      </c>
      <c r="HG10" s="24">
        <v>18.32</v>
      </c>
      <c r="HH10" s="24">
        <v>19.38</v>
      </c>
      <c r="HI10" s="24">
        <v>19.829999999999995</v>
      </c>
      <c r="HJ10" s="24">
        <v>23.04</v>
      </c>
      <c r="HK10" s="24">
        <v>20.100000000000001</v>
      </c>
      <c r="HL10" s="24">
        <v>19.96</v>
      </c>
      <c r="HM10" s="24">
        <v>19.849999999999994</v>
      </c>
      <c r="HN10" s="24">
        <v>21.98</v>
      </c>
      <c r="HO10" s="24">
        <v>25.300000000000004</v>
      </c>
      <c r="HP10" s="24">
        <v>29.84</v>
      </c>
      <c r="HQ10" s="24">
        <v>20.330000000000005</v>
      </c>
      <c r="HR10" s="24">
        <v>23.9</v>
      </c>
      <c r="HS10" s="24">
        <v>23.03</v>
      </c>
      <c r="HT10" s="24">
        <v>21.8</v>
      </c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>
        <f t="shared" si="70"/>
        <v>377.4</v>
      </c>
      <c r="IT10" s="24">
        <f t="shared" si="71"/>
        <v>402.2</v>
      </c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>
        <f t="shared" si="72"/>
        <v>0</v>
      </c>
      <c r="LF10" s="24">
        <f t="shared" si="73"/>
        <v>0</v>
      </c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>
        <f t="shared" si="74"/>
        <v>0</v>
      </c>
      <c r="NP10" s="24">
        <f t="shared" si="75"/>
        <v>0</v>
      </c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>
        <f t="shared" si="76"/>
        <v>0</v>
      </c>
      <c r="QB10" s="24">
        <f t="shared" si="77"/>
        <v>0</v>
      </c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>
        <f t="shared" si="78"/>
        <v>0</v>
      </c>
      <c r="SN10" s="24">
        <f t="shared" si="79"/>
        <v>0</v>
      </c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>
        <f t="shared" si="80"/>
        <v>0</v>
      </c>
      <c r="UX10" s="24">
        <f t="shared" si="81"/>
        <v>0</v>
      </c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>
        <f t="shared" si="82"/>
        <v>0</v>
      </c>
      <c r="XJ10" s="24">
        <f t="shared" si="83"/>
        <v>0</v>
      </c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>
        <f t="shared" si="84"/>
        <v>0</v>
      </c>
      <c r="ZT10" s="24">
        <f t="shared" si="85"/>
        <v>0</v>
      </c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>
        <f t="shared" si="86"/>
        <v>0</v>
      </c>
      <c r="ACF10" s="24"/>
      <c r="ACG10" s="24">
        <f t="shared" si="87"/>
        <v>5401.11</v>
      </c>
      <c r="ACH10" s="25"/>
      <c r="ACI10" s="71" t="s">
        <v>134</v>
      </c>
      <c r="ACJ10" s="71" t="s">
        <v>86</v>
      </c>
    </row>
    <row r="11" spans="1:764" x14ac:dyDescent="0.25">
      <c r="A11" s="162"/>
      <c r="B11" s="152"/>
      <c r="C11" s="155"/>
      <c r="D11" s="50" t="s">
        <v>8</v>
      </c>
      <c r="E11" s="74">
        <v>102.55000000000001</v>
      </c>
      <c r="F11" s="75">
        <v>133.84</v>
      </c>
      <c r="G11" s="75">
        <v>161.63</v>
      </c>
      <c r="H11" s="75">
        <v>210.14000000000001</v>
      </c>
      <c r="I11" s="75">
        <v>185.59999999999997</v>
      </c>
      <c r="J11" s="75">
        <v>217.52000000000004</v>
      </c>
      <c r="K11" s="75">
        <v>307.49</v>
      </c>
      <c r="L11" s="75">
        <v>267.73999999999995</v>
      </c>
      <c r="M11" s="75">
        <v>261.17</v>
      </c>
      <c r="N11" s="75">
        <v>258.34000000000003</v>
      </c>
      <c r="O11" s="75">
        <v>309.34999999999997</v>
      </c>
      <c r="P11" s="75">
        <v>348.65999999999997</v>
      </c>
      <c r="Q11" s="75">
        <v>229.51999999999998</v>
      </c>
      <c r="R11" s="75">
        <v>256.64</v>
      </c>
      <c r="S11" s="75">
        <v>251.03000000000003</v>
      </c>
      <c r="T11" s="75">
        <v>256.88</v>
      </c>
      <c r="U11" s="75">
        <v>233.47999999999993</v>
      </c>
      <c r="V11" s="75">
        <v>225.98000000000005</v>
      </c>
      <c r="W11" s="75">
        <v>329.34999999999997</v>
      </c>
      <c r="X11" s="75">
        <v>330.86</v>
      </c>
      <c r="Y11" s="75">
        <v>383.34</v>
      </c>
      <c r="Z11" s="75">
        <v>372.16000000000008</v>
      </c>
      <c r="AA11" s="75">
        <v>225.95000000000005</v>
      </c>
      <c r="AB11" s="75">
        <v>221.10000000000002</v>
      </c>
      <c r="AC11" s="75">
        <v>149.9</v>
      </c>
      <c r="AD11" s="75">
        <v>139.32</v>
      </c>
      <c r="AE11" s="75">
        <v>266.08</v>
      </c>
      <c r="AF11" s="75">
        <v>266.54000000000002</v>
      </c>
      <c r="AG11" s="75">
        <v>325.5499999999999</v>
      </c>
      <c r="AH11" s="75">
        <v>324.98999999999995</v>
      </c>
      <c r="AI11" s="75">
        <v>248.72000000000003</v>
      </c>
      <c r="AJ11" s="75">
        <v>238.96000000000004</v>
      </c>
      <c r="AK11" s="75">
        <v>292.37</v>
      </c>
      <c r="AL11" s="75">
        <v>281.91999999999996</v>
      </c>
      <c r="AM11" s="75">
        <v>295.17</v>
      </c>
      <c r="AN11" s="75">
        <v>299.21999999999997</v>
      </c>
      <c r="AO11" s="75">
        <v>275.10000000000002</v>
      </c>
      <c r="AP11" s="75">
        <v>267.36</v>
      </c>
      <c r="AQ11" s="75">
        <v>249.59000000000003</v>
      </c>
      <c r="AR11" s="75">
        <v>248.9</v>
      </c>
      <c r="AS11" s="75">
        <v>227.37</v>
      </c>
      <c r="AT11" s="75">
        <v>224.80000000000004</v>
      </c>
      <c r="AU11" s="75">
        <v>186.55999999999997</v>
      </c>
      <c r="AV11" s="75">
        <v>183.07999999999998</v>
      </c>
      <c r="AW11" s="75">
        <v>221.77</v>
      </c>
      <c r="AX11" s="75">
        <v>221.69</v>
      </c>
      <c r="AY11" s="75">
        <v>220.95</v>
      </c>
      <c r="AZ11" s="75">
        <v>233.15999999999997</v>
      </c>
      <c r="BA11" s="75">
        <v>223.10999999999999</v>
      </c>
      <c r="BB11" s="75">
        <v>239.90000000000003</v>
      </c>
      <c r="BC11" s="75">
        <v>148.03</v>
      </c>
      <c r="BD11" s="75">
        <v>146.97999999999999</v>
      </c>
      <c r="BE11" s="75">
        <v>269.84999999999997</v>
      </c>
      <c r="BF11" s="75">
        <v>272.62</v>
      </c>
      <c r="BG11" s="75">
        <v>225.35999999999999</v>
      </c>
      <c r="BH11" s="75">
        <v>225.73999999999998</v>
      </c>
      <c r="BI11" s="75">
        <v>156.6</v>
      </c>
      <c r="BJ11" s="75">
        <v>165.54</v>
      </c>
      <c r="BK11" s="75">
        <v>181.79999999999998</v>
      </c>
      <c r="BL11" s="75">
        <v>187.77999999999997</v>
      </c>
      <c r="BM11" s="75"/>
      <c r="BN11" s="75"/>
      <c r="BO11" s="24" cm="1">
        <f t="array" ref="BO11">SUMPRODUCT(E11:BM11,--(E$2:BM$2=BO$2))</f>
        <v>7144.3400000000011</v>
      </c>
      <c r="BP11" s="24" cm="1">
        <f t="array" ref="BP11">SUMPRODUCT(F11:BN11,--(F$2:BN$2=BP$2))</f>
        <v>7268.3599999999979</v>
      </c>
      <c r="BQ11" s="24">
        <v>360.47999999999996</v>
      </c>
      <c r="BR11" s="24">
        <v>386.64</v>
      </c>
      <c r="BS11" s="24">
        <v>251.92</v>
      </c>
      <c r="BT11" s="24">
        <v>255.32</v>
      </c>
      <c r="BU11" s="24">
        <v>322.88999999999993</v>
      </c>
      <c r="BV11" s="24">
        <v>327.72</v>
      </c>
      <c r="BW11" s="24">
        <v>257.95999999999998</v>
      </c>
      <c r="BX11" s="24">
        <v>263.08000000000004</v>
      </c>
      <c r="BY11" s="24">
        <v>296.34999999999997</v>
      </c>
      <c r="BZ11" s="24">
        <v>308.44</v>
      </c>
      <c r="CA11" s="24">
        <v>252.15</v>
      </c>
      <c r="CB11" s="24">
        <v>267.18</v>
      </c>
      <c r="CC11" s="24">
        <v>179.08999999999997</v>
      </c>
      <c r="CD11" s="24">
        <v>232.16000000000003</v>
      </c>
      <c r="CE11" s="24">
        <v>93.630000000000024</v>
      </c>
      <c r="CF11" s="24">
        <v>87.4</v>
      </c>
      <c r="CG11" s="24">
        <v>260.00999999999993</v>
      </c>
      <c r="CH11" s="24">
        <v>271.47999999999996</v>
      </c>
      <c r="CI11" s="24">
        <v>102.71000000000001</v>
      </c>
      <c r="CJ11" s="24">
        <v>94.539999999999992</v>
      </c>
      <c r="CK11" s="24">
        <v>282.79000000000002</v>
      </c>
      <c r="CL11" s="24">
        <v>239.4</v>
      </c>
      <c r="CM11" s="24">
        <v>328.02</v>
      </c>
      <c r="CN11" s="24">
        <v>341.56</v>
      </c>
      <c r="CO11" s="24">
        <v>233.57999999999998</v>
      </c>
      <c r="CP11" s="24">
        <v>252.18</v>
      </c>
      <c r="CQ11" s="24">
        <v>82.73</v>
      </c>
      <c r="CR11" s="24">
        <v>83.22</v>
      </c>
      <c r="CS11" s="24">
        <v>61.660000000000004</v>
      </c>
      <c r="CT11" s="24">
        <v>61.8</v>
      </c>
      <c r="CU11" s="24">
        <v>190.20999999999998</v>
      </c>
      <c r="CV11" s="24">
        <v>200.52</v>
      </c>
      <c r="CW11" s="24">
        <v>277.72000000000003</v>
      </c>
      <c r="CX11" s="24">
        <v>282.16000000000003</v>
      </c>
      <c r="CY11" s="24">
        <v>298.06</v>
      </c>
      <c r="CZ11" s="24">
        <v>358.49999999999994</v>
      </c>
      <c r="DA11" s="24">
        <v>285.28000000000003</v>
      </c>
      <c r="DB11" s="24">
        <v>323.74</v>
      </c>
      <c r="DC11" s="24">
        <v>232.26999999999998</v>
      </c>
      <c r="DD11" s="24">
        <v>269.02000000000004</v>
      </c>
      <c r="DE11" s="24">
        <v>376.65</v>
      </c>
      <c r="DF11" s="24">
        <v>335.38000000000005</v>
      </c>
      <c r="DG11" s="24">
        <v>270.97000000000003</v>
      </c>
      <c r="DH11" s="24">
        <v>246.88</v>
      </c>
      <c r="DI11" s="24">
        <v>242.69</v>
      </c>
      <c r="DJ11" s="24">
        <v>274.60000000000002</v>
      </c>
      <c r="DK11" s="24">
        <v>379.38999999999993</v>
      </c>
      <c r="DL11" s="24">
        <v>415.5</v>
      </c>
      <c r="DM11" s="24">
        <v>412.90999999999997</v>
      </c>
      <c r="DN11" s="24">
        <v>381.02</v>
      </c>
      <c r="DO11" s="24">
        <v>375.8</v>
      </c>
      <c r="DP11" s="24">
        <v>381.22</v>
      </c>
      <c r="DQ11" s="24">
        <v>310.99</v>
      </c>
      <c r="DR11" s="24">
        <v>344.18</v>
      </c>
      <c r="DS11" s="24">
        <v>376.89</v>
      </c>
      <c r="DT11" s="24">
        <v>389.32000000000005</v>
      </c>
      <c r="DU11" s="24">
        <v>343.61999999999995</v>
      </c>
      <c r="DV11" s="24">
        <v>318.54000000000002</v>
      </c>
      <c r="DW11" s="24" cm="1">
        <f t="array" ref="DW11">SUMPRODUCT(BQ11:DU11,--(BQ$2:DU$2=DW$2))</f>
        <v>7739.42</v>
      </c>
      <c r="DX11" s="24" cm="1">
        <f t="array" ref="DX11">SUMPRODUCT(BR11:DV11,--(BR$2:DV$2=DX$2))</f>
        <v>7992.7000000000007</v>
      </c>
      <c r="DY11" s="24">
        <v>445.84999999999997</v>
      </c>
      <c r="DZ11" s="24">
        <v>425.21999999999991</v>
      </c>
      <c r="EA11" s="24">
        <v>386.07</v>
      </c>
      <c r="EB11" s="24">
        <v>389.81999999999994</v>
      </c>
      <c r="EC11" s="24">
        <v>500.46999999999997</v>
      </c>
      <c r="ED11" s="24">
        <v>535.17999999999995</v>
      </c>
      <c r="EE11" s="24">
        <v>425.02</v>
      </c>
      <c r="EF11" s="24">
        <v>459.88</v>
      </c>
      <c r="EG11" s="24">
        <v>518.80000000000007</v>
      </c>
      <c r="EH11" s="24">
        <v>569.68000000000006</v>
      </c>
      <c r="EI11" s="24">
        <v>444.63</v>
      </c>
      <c r="EJ11" s="24">
        <v>421.30000000000007</v>
      </c>
      <c r="EK11" s="24">
        <v>434.21</v>
      </c>
      <c r="EL11" s="24">
        <v>406.41999999999996</v>
      </c>
      <c r="EM11" s="24">
        <v>393.64000000000004</v>
      </c>
      <c r="EN11" s="24">
        <v>387.68000000000006</v>
      </c>
      <c r="EO11" s="24">
        <v>419.00999999999993</v>
      </c>
      <c r="EP11" s="24">
        <v>411.18</v>
      </c>
      <c r="EQ11" s="24">
        <v>322.56</v>
      </c>
      <c r="ER11" s="24">
        <v>332.30000000000007</v>
      </c>
      <c r="ES11" s="24">
        <v>355.18999999999994</v>
      </c>
      <c r="ET11" s="24">
        <v>375.78000000000003</v>
      </c>
      <c r="EU11" s="24">
        <v>415.64999999999992</v>
      </c>
      <c r="EV11" s="24">
        <v>453.5200000000001</v>
      </c>
      <c r="EW11" s="24">
        <v>490.77</v>
      </c>
      <c r="EX11" s="24">
        <v>501.71999999999997</v>
      </c>
      <c r="EY11" s="24">
        <v>539.89</v>
      </c>
      <c r="EZ11" s="24">
        <v>541.4799999999999</v>
      </c>
      <c r="FA11" s="24">
        <v>478.68999999999994</v>
      </c>
      <c r="FB11" s="24">
        <v>490.91999999999996</v>
      </c>
      <c r="FC11" s="24">
        <v>573.23</v>
      </c>
      <c r="FD11" s="24">
        <v>613.92000000000007</v>
      </c>
      <c r="FE11" s="24">
        <v>491.43999999999994</v>
      </c>
      <c r="FF11" s="24">
        <v>506.6</v>
      </c>
      <c r="FG11" s="24">
        <v>482.82000000000011</v>
      </c>
      <c r="FH11" s="24">
        <v>496.06000000000006</v>
      </c>
      <c r="FI11" s="24">
        <v>475.03</v>
      </c>
      <c r="FJ11" s="24">
        <v>460.65999999999997</v>
      </c>
      <c r="FK11" s="24">
        <v>525.05000000000007</v>
      </c>
      <c r="FL11" s="24">
        <v>496.72</v>
      </c>
      <c r="FM11" s="24">
        <v>636.4000000000002</v>
      </c>
      <c r="FN11" s="24">
        <v>592.48000000000013</v>
      </c>
      <c r="FO11" s="24">
        <v>481.71000000000004</v>
      </c>
      <c r="FP11" s="24">
        <v>479.37999999999988</v>
      </c>
      <c r="FQ11" s="24">
        <v>489.20000000000005</v>
      </c>
      <c r="FR11" s="24">
        <v>516.70000000000005</v>
      </c>
      <c r="FS11" s="24">
        <v>418.27999999999992</v>
      </c>
      <c r="FT11" s="24">
        <v>441.73999999999995</v>
      </c>
      <c r="FU11" s="24">
        <v>429.46</v>
      </c>
      <c r="FV11" s="24">
        <v>429.15999999999997</v>
      </c>
      <c r="FW11" s="24">
        <v>370.22999999999996</v>
      </c>
      <c r="FX11" s="24">
        <v>391.8</v>
      </c>
      <c r="FY11" s="24">
        <v>478.38000000000005</v>
      </c>
      <c r="FZ11" s="24">
        <v>507.89999999999986</v>
      </c>
      <c r="GA11" s="24">
        <v>576.0200000000001</v>
      </c>
      <c r="GB11" s="24">
        <v>562.62</v>
      </c>
      <c r="GC11" s="24">
        <v>538.54000000000008</v>
      </c>
      <c r="GD11" s="24">
        <v>524.31999999999994</v>
      </c>
      <c r="GE11" s="24">
        <v>519.29999999999995</v>
      </c>
      <c r="GF11" s="24">
        <v>516.17999999999995</v>
      </c>
      <c r="GG11" s="24">
        <v>190.32999999999998</v>
      </c>
      <c r="GH11" s="24">
        <v>196.07999999999998</v>
      </c>
      <c r="GI11" s="24" cm="1">
        <f t="array" ref="GI11">SUMPRODUCT(DY11:GG11,--(DY$2:GG$2=GI$2))</f>
        <v>14245.869999999997</v>
      </c>
      <c r="GJ11" s="24" cm="1">
        <f t="array" ref="GJ11">SUMPRODUCT(DZ11:GH11,--(DZ$2:GH$2=GJ$2))</f>
        <v>14434.399999999998</v>
      </c>
      <c r="GK11" s="24">
        <v>457.44</v>
      </c>
      <c r="GL11" s="24">
        <v>457.20000000000005</v>
      </c>
      <c r="GM11" s="24">
        <v>536.67999999999995</v>
      </c>
      <c r="GN11" s="24">
        <v>532.57999999999993</v>
      </c>
      <c r="GO11" s="24">
        <v>529.79</v>
      </c>
      <c r="GP11" s="24">
        <v>521.4</v>
      </c>
      <c r="GQ11" s="24">
        <v>481.99000000000012</v>
      </c>
      <c r="GR11" s="24">
        <v>457.16</v>
      </c>
      <c r="GS11" s="24">
        <v>563.91000000000008</v>
      </c>
      <c r="GT11" s="24">
        <v>504.72000000000008</v>
      </c>
      <c r="GU11" s="24">
        <v>484.2</v>
      </c>
      <c r="GV11" s="24">
        <v>507.48000000000008</v>
      </c>
      <c r="GW11" s="24">
        <v>470.90999999999997</v>
      </c>
      <c r="GX11" s="24">
        <v>500.59999999999997</v>
      </c>
      <c r="GY11" s="24">
        <v>539.57999999999993</v>
      </c>
      <c r="GZ11" s="24">
        <v>563.74</v>
      </c>
      <c r="HA11" s="24">
        <v>560.62</v>
      </c>
      <c r="HB11" s="24">
        <v>570.41999999999996</v>
      </c>
      <c r="HC11" s="24">
        <v>535.92000000000007</v>
      </c>
      <c r="HD11" s="24">
        <v>546.46</v>
      </c>
      <c r="HE11" s="24">
        <v>554.23</v>
      </c>
      <c r="HF11" s="24">
        <v>571.05999999999995</v>
      </c>
      <c r="HG11" s="24">
        <v>375.71999999999997</v>
      </c>
      <c r="HH11" s="24">
        <v>378.09999999999997</v>
      </c>
      <c r="HI11" s="24">
        <v>588.38</v>
      </c>
      <c r="HJ11" s="24">
        <v>616.08000000000004</v>
      </c>
      <c r="HK11" s="24">
        <v>618.40000000000009</v>
      </c>
      <c r="HL11" s="24">
        <v>649.41999999999996</v>
      </c>
      <c r="HM11" s="24">
        <v>473.68000000000006</v>
      </c>
      <c r="HN11" s="24">
        <v>507.22</v>
      </c>
      <c r="HO11" s="24">
        <v>554.56999999999994</v>
      </c>
      <c r="HP11" s="24">
        <v>619.20000000000016</v>
      </c>
      <c r="HQ11" s="24">
        <v>527.32000000000005</v>
      </c>
      <c r="HR11" s="24">
        <v>576.4</v>
      </c>
      <c r="HS11" s="24">
        <v>498.68000000000006</v>
      </c>
      <c r="HT11" s="24">
        <v>489.40000000000003</v>
      </c>
      <c r="HU11" s="24">
        <v>550.29000000000008</v>
      </c>
      <c r="HV11" s="24">
        <v>518.17999999999995</v>
      </c>
      <c r="HW11" s="24">
        <v>643.9</v>
      </c>
      <c r="HX11" s="24">
        <v>626.88000000000011</v>
      </c>
      <c r="HY11" s="24">
        <v>565.95999999999992</v>
      </c>
      <c r="HZ11" s="24">
        <v>585.17999999999995</v>
      </c>
      <c r="IA11" s="24">
        <v>550.4799999999999</v>
      </c>
      <c r="IB11" s="24">
        <v>591.69999999999993</v>
      </c>
      <c r="IC11" s="24">
        <v>568.88</v>
      </c>
      <c r="ID11" s="24">
        <v>595.2600000000001</v>
      </c>
      <c r="IE11" s="24">
        <v>496.1</v>
      </c>
      <c r="IF11" s="24">
        <v>522.0200000000001</v>
      </c>
      <c r="IG11" s="24">
        <v>458.18</v>
      </c>
      <c r="IH11" s="24">
        <v>515.42000000000007</v>
      </c>
      <c r="II11" s="24">
        <v>580.16000000000008</v>
      </c>
      <c r="IJ11" s="24">
        <v>641.11999999999989</v>
      </c>
      <c r="IK11" s="24"/>
      <c r="IL11" s="24"/>
      <c r="IM11" s="24"/>
      <c r="IN11" s="24"/>
      <c r="IO11" s="24"/>
      <c r="IP11" s="24"/>
      <c r="IQ11" s="24"/>
      <c r="IR11" s="24"/>
      <c r="IS11" s="24">
        <f t="shared" si="70"/>
        <v>13765.97</v>
      </c>
      <c r="IT11" s="24">
        <f t="shared" si="71"/>
        <v>14164.400000000001</v>
      </c>
      <c r="IU11" s="24">
        <v>550.94000000000005</v>
      </c>
      <c r="IV11" s="24">
        <v>579.30000000000007</v>
      </c>
      <c r="IW11" s="24">
        <v>459.83000000000004</v>
      </c>
      <c r="IX11" s="24">
        <v>492.78</v>
      </c>
      <c r="IY11" s="24">
        <v>510.38</v>
      </c>
      <c r="IZ11" s="24">
        <v>539.12</v>
      </c>
      <c r="JA11" s="24">
        <v>511.93</v>
      </c>
      <c r="JB11" s="24">
        <v>532.1</v>
      </c>
      <c r="JC11" s="24">
        <v>627.56000000000006</v>
      </c>
      <c r="JD11" s="24">
        <v>638.90000000000009</v>
      </c>
      <c r="JE11" s="24">
        <v>538.41</v>
      </c>
      <c r="JF11" s="24">
        <v>550.83999999999992</v>
      </c>
      <c r="JG11" s="24">
        <v>556.26</v>
      </c>
      <c r="JH11" s="24">
        <v>553.38</v>
      </c>
      <c r="JI11" s="24">
        <v>526.69999999999993</v>
      </c>
      <c r="JJ11" s="24">
        <v>526.74000000000012</v>
      </c>
      <c r="JK11" s="24">
        <v>384.85000000000008</v>
      </c>
      <c r="JL11" s="24">
        <v>406</v>
      </c>
      <c r="JM11" s="24">
        <v>496.88999999999993</v>
      </c>
      <c r="JN11" s="24">
        <v>511.82</v>
      </c>
      <c r="JO11" s="24">
        <v>528.91999999999996</v>
      </c>
      <c r="JP11" s="24">
        <v>540.46</v>
      </c>
      <c r="JQ11" s="24">
        <v>570.83000000000004</v>
      </c>
      <c r="JR11" s="24">
        <v>551.08000000000015</v>
      </c>
      <c r="JS11" s="24">
        <v>594.58000000000004</v>
      </c>
      <c r="JT11" s="24">
        <v>579.78</v>
      </c>
      <c r="JU11" s="24">
        <v>100.67000000000002</v>
      </c>
      <c r="JV11" s="24">
        <v>100.84</v>
      </c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>
        <f t="shared" si="72"/>
        <v>6958.7500000000009</v>
      </c>
      <c r="LF11" s="24">
        <f t="shared" si="73"/>
        <v>7103.1399999999994</v>
      </c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>
        <f t="shared" si="74"/>
        <v>0</v>
      </c>
      <c r="NP11" s="24">
        <f t="shared" si="75"/>
        <v>0</v>
      </c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>
        <f t="shared" si="76"/>
        <v>0</v>
      </c>
      <c r="QB11" s="24">
        <f t="shared" si="77"/>
        <v>0</v>
      </c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>
        <f t="shared" si="78"/>
        <v>0</v>
      </c>
      <c r="SN11" s="24">
        <f t="shared" si="79"/>
        <v>0</v>
      </c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>
        <f t="shared" si="80"/>
        <v>0</v>
      </c>
      <c r="UX11" s="24">
        <f t="shared" si="81"/>
        <v>0</v>
      </c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>
        <f t="shared" si="82"/>
        <v>0</v>
      </c>
      <c r="XJ11" s="24">
        <f t="shared" si="83"/>
        <v>0</v>
      </c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>
        <f t="shared" si="84"/>
        <v>0</v>
      </c>
      <c r="ZT11" s="24">
        <f t="shared" si="85"/>
        <v>0</v>
      </c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>
        <f t="shared" si="86"/>
        <v>0</v>
      </c>
      <c r="ACF11" s="24"/>
      <c r="ACG11" s="24">
        <f t="shared" si="87"/>
        <v>49854.35</v>
      </c>
      <c r="ACH11" s="25"/>
      <c r="ACI11" s="71" t="s">
        <v>135</v>
      </c>
      <c r="ACJ11" s="71" t="s">
        <v>86</v>
      </c>
    </row>
    <row r="12" spans="1:764" ht="15.75" thickBot="1" x14ac:dyDescent="0.3">
      <c r="A12" s="162"/>
      <c r="B12" s="153"/>
      <c r="C12" s="158"/>
      <c r="D12" s="68" t="s">
        <v>9</v>
      </c>
      <c r="E12" s="76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45" cm="1">
        <f t="array" ref="BO12">SUMPRODUCT(E12:BM12,--(E$2:BM$2=BO$2))</f>
        <v>0</v>
      </c>
      <c r="BP12" s="45" cm="1">
        <f t="array" ref="BP12">SUMPRODUCT(F12:BN12,--(F$2:BN$2=BP$2))</f>
        <v>0</v>
      </c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 cm="1">
        <f t="array" ref="DW12">SUMPRODUCT(BQ12:DU12,--(BQ$2:DU$2=DW$2))</f>
        <v>0</v>
      </c>
      <c r="DX12" s="45" cm="1">
        <f t="array" ref="DX12">SUMPRODUCT(BR12:DV12,--(BR$2:DV$2=DX$2))</f>
        <v>0</v>
      </c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45"/>
      <c r="ER12" s="45"/>
      <c r="ES12" s="45"/>
      <c r="ET12" s="45"/>
      <c r="EU12" s="45"/>
      <c r="EV12" s="45"/>
      <c r="EW12" s="45"/>
      <c r="EX12" s="45"/>
      <c r="EY12" s="45"/>
      <c r="EZ12" s="45"/>
      <c r="FA12" s="45"/>
      <c r="FB12" s="45"/>
      <c r="FC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45"/>
      <c r="GH12" s="45"/>
      <c r="GI12" s="45" cm="1">
        <f t="array" ref="GI12">SUMPRODUCT(DY12:GG12,--(DY$2:GG$2=GI$2))</f>
        <v>0</v>
      </c>
      <c r="GJ12" s="45" cm="1">
        <f t="array" ref="GJ12">SUMPRODUCT(DZ12:GH12,--(DZ$2:GH$2=GJ$2))</f>
        <v>0</v>
      </c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45">
        <f t="shared" si="70"/>
        <v>0</v>
      </c>
      <c r="IT12" s="45">
        <f t="shared" si="71"/>
        <v>0</v>
      </c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45"/>
      <c r="JN12" s="45"/>
      <c r="JO12" s="45"/>
      <c r="JP12" s="45"/>
      <c r="JQ12" s="45"/>
      <c r="JR12" s="45"/>
      <c r="JS12" s="45"/>
      <c r="JT12" s="45"/>
      <c r="JU12" s="45"/>
      <c r="JV12" s="45"/>
      <c r="JW12" s="45"/>
      <c r="JX12" s="45"/>
      <c r="JY12" s="45"/>
      <c r="JZ12" s="45"/>
      <c r="KA12" s="45"/>
      <c r="KB12" s="45"/>
      <c r="KC12" s="45"/>
      <c r="KD12" s="45"/>
      <c r="KE12" s="45"/>
      <c r="KF12" s="45"/>
      <c r="KG12" s="45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45"/>
      <c r="LD12" s="45"/>
      <c r="LE12" s="45">
        <f t="shared" si="72"/>
        <v>0</v>
      </c>
      <c r="LF12" s="45">
        <f t="shared" si="73"/>
        <v>0</v>
      </c>
      <c r="LG12" s="45"/>
      <c r="LH12" s="45"/>
      <c r="LI12" s="45"/>
      <c r="LJ12" s="45"/>
      <c r="LK12" s="45"/>
      <c r="LL12" s="45"/>
      <c r="LM12" s="45"/>
      <c r="LN12" s="45"/>
      <c r="LO12" s="45"/>
      <c r="LP12" s="45"/>
      <c r="LQ12" s="45"/>
      <c r="LR12" s="45"/>
      <c r="LS12" s="45"/>
      <c r="LT12" s="45"/>
      <c r="LU12" s="45"/>
      <c r="LV12" s="45"/>
      <c r="LW12" s="45"/>
      <c r="LX12" s="45"/>
      <c r="LY12" s="45"/>
      <c r="LZ12" s="45"/>
      <c r="MA12" s="45"/>
      <c r="MB12" s="45"/>
      <c r="MC12" s="45"/>
      <c r="MD12" s="45"/>
      <c r="ME12" s="45"/>
      <c r="MF12" s="45"/>
      <c r="MG12" s="45"/>
      <c r="MH12" s="45"/>
      <c r="MI12" s="45"/>
      <c r="MJ12" s="45"/>
      <c r="MK12" s="45"/>
      <c r="ML12" s="45"/>
      <c r="MM12" s="45"/>
      <c r="MN12" s="45"/>
      <c r="MO12" s="45"/>
      <c r="MP12" s="45"/>
      <c r="MQ12" s="45"/>
      <c r="MR12" s="45"/>
      <c r="MS12" s="45"/>
      <c r="MT12" s="45"/>
      <c r="MU12" s="45"/>
      <c r="MV12" s="45"/>
      <c r="MW12" s="45"/>
      <c r="MX12" s="45"/>
      <c r="MY12" s="45"/>
      <c r="MZ12" s="45"/>
      <c r="NA12" s="45"/>
      <c r="NB12" s="45"/>
      <c r="NC12" s="45"/>
      <c r="ND12" s="45"/>
      <c r="NE12" s="45"/>
      <c r="NF12" s="45"/>
      <c r="NG12" s="45"/>
      <c r="NH12" s="45"/>
      <c r="NI12" s="45"/>
      <c r="NJ12" s="45"/>
      <c r="NK12" s="45"/>
      <c r="NL12" s="45"/>
      <c r="NM12" s="45"/>
      <c r="NN12" s="45"/>
      <c r="NO12" s="45">
        <f t="shared" si="74"/>
        <v>0</v>
      </c>
      <c r="NP12" s="45">
        <f t="shared" si="75"/>
        <v>0</v>
      </c>
      <c r="NQ12" s="45"/>
      <c r="NR12" s="45"/>
      <c r="NS12" s="45"/>
      <c r="NT12" s="45"/>
      <c r="NU12" s="45"/>
      <c r="NV12" s="45"/>
      <c r="NW12" s="45"/>
      <c r="NX12" s="45"/>
      <c r="NY12" s="45"/>
      <c r="NZ12" s="45"/>
      <c r="OA12" s="45"/>
      <c r="OB12" s="45"/>
      <c r="OC12" s="45"/>
      <c r="OD12" s="45"/>
      <c r="OE12" s="45"/>
      <c r="OF12" s="45"/>
      <c r="OG12" s="45"/>
      <c r="OH12" s="45"/>
      <c r="OI12" s="45"/>
      <c r="OJ12" s="45"/>
      <c r="OK12" s="45"/>
      <c r="OL12" s="45"/>
      <c r="OM12" s="45"/>
      <c r="ON12" s="45"/>
      <c r="OO12" s="45"/>
      <c r="OP12" s="45"/>
      <c r="OQ12" s="45"/>
      <c r="OR12" s="45"/>
      <c r="OS12" s="45"/>
      <c r="OT12" s="45"/>
      <c r="OU12" s="45"/>
      <c r="OV12" s="45"/>
      <c r="OW12" s="45"/>
      <c r="OX12" s="45"/>
      <c r="OY12" s="45"/>
      <c r="OZ12" s="45"/>
      <c r="PA12" s="45"/>
      <c r="PB12" s="45"/>
      <c r="PC12" s="45"/>
      <c r="PD12" s="45"/>
      <c r="PE12" s="45"/>
      <c r="PF12" s="45"/>
      <c r="PG12" s="45"/>
      <c r="PH12" s="45"/>
      <c r="PI12" s="45"/>
      <c r="PJ12" s="45"/>
      <c r="PK12" s="45"/>
      <c r="PL12" s="45"/>
      <c r="PM12" s="45"/>
      <c r="PN12" s="45"/>
      <c r="PO12" s="45"/>
      <c r="PP12" s="45"/>
      <c r="PQ12" s="45"/>
      <c r="PR12" s="45"/>
      <c r="PS12" s="45"/>
      <c r="PT12" s="45"/>
      <c r="PU12" s="45"/>
      <c r="PV12" s="45"/>
      <c r="PW12" s="45"/>
      <c r="PX12" s="45"/>
      <c r="PY12" s="45"/>
      <c r="PZ12" s="45"/>
      <c r="QA12" s="45">
        <f t="shared" si="76"/>
        <v>0</v>
      </c>
      <c r="QB12" s="45">
        <f t="shared" si="77"/>
        <v>0</v>
      </c>
      <c r="QC12" s="45"/>
      <c r="QD12" s="45"/>
      <c r="QE12" s="45"/>
      <c r="QF12" s="45"/>
      <c r="QG12" s="45"/>
      <c r="QH12" s="45"/>
      <c r="QI12" s="45"/>
      <c r="QJ12" s="45"/>
      <c r="QK12" s="45"/>
      <c r="QL12" s="45"/>
      <c r="QM12" s="45"/>
      <c r="QN12" s="45"/>
      <c r="QO12" s="45"/>
      <c r="QP12" s="45"/>
      <c r="QQ12" s="45"/>
      <c r="QR12" s="45"/>
      <c r="QS12" s="45"/>
      <c r="QT12" s="45"/>
      <c r="QU12" s="45"/>
      <c r="QV12" s="45"/>
      <c r="QW12" s="45"/>
      <c r="QX12" s="45"/>
      <c r="QY12" s="45"/>
      <c r="QZ12" s="45"/>
      <c r="RA12" s="45"/>
      <c r="RB12" s="45"/>
      <c r="RC12" s="45"/>
      <c r="RD12" s="45"/>
      <c r="RE12" s="45"/>
      <c r="RF12" s="45"/>
      <c r="RG12" s="45"/>
      <c r="RH12" s="45"/>
      <c r="RI12" s="45"/>
      <c r="RJ12" s="45"/>
      <c r="RK12" s="45"/>
      <c r="RL12" s="45"/>
      <c r="RM12" s="45"/>
      <c r="RN12" s="45"/>
      <c r="RO12" s="45"/>
      <c r="RP12" s="45"/>
      <c r="RQ12" s="45"/>
      <c r="RR12" s="45"/>
      <c r="RS12" s="45"/>
      <c r="RT12" s="45"/>
      <c r="RU12" s="45"/>
      <c r="RV12" s="45"/>
      <c r="RW12" s="45"/>
      <c r="RX12" s="45"/>
      <c r="RY12" s="45"/>
      <c r="RZ12" s="45"/>
      <c r="SA12" s="45"/>
      <c r="SB12" s="45"/>
      <c r="SC12" s="45"/>
      <c r="SD12" s="45"/>
      <c r="SE12" s="45"/>
      <c r="SF12" s="45"/>
      <c r="SG12" s="45"/>
      <c r="SH12" s="45"/>
      <c r="SI12" s="45"/>
      <c r="SJ12" s="45"/>
      <c r="SK12" s="45"/>
      <c r="SL12" s="45"/>
      <c r="SM12" s="45">
        <f t="shared" si="78"/>
        <v>0</v>
      </c>
      <c r="SN12" s="45">
        <f t="shared" si="79"/>
        <v>0</v>
      </c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45">
        <f t="shared" si="80"/>
        <v>0</v>
      </c>
      <c r="UX12" s="45">
        <f t="shared" si="81"/>
        <v>0</v>
      </c>
      <c r="UY12" s="45"/>
      <c r="UZ12" s="45"/>
      <c r="VA12" s="45"/>
      <c r="VB12" s="45"/>
      <c r="VC12" s="45"/>
      <c r="VD12" s="45"/>
      <c r="VE12" s="45"/>
      <c r="VF12" s="45"/>
      <c r="VG12" s="45"/>
      <c r="VH12" s="45"/>
      <c r="VI12" s="45"/>
      <c r="VJ12" s="45"/>
      <c r="VK12" s="45"/>
      <c r="VL12" s="45"/>
      <c r="VM12" s="45"/>
      <c r="VN12" s="45"/>
      <c r="VO12" s="45"/>
      <c r="VP12" s="45"/>
      <c r="VQ12" s="45"/>
      <c r="VR12" s="45"/>
      <c r="VS12" s="45"/>
      <c r="VT12" s="45"/>
      <c r="VU12" s="45"/>
      <c r="VV12" s="45"/>
      <c r="VW12" s="45"/>
      <c r="VX12" s="45"/>
      <c r="VY12" s="45"/>
      <c r="VZ12" s="45"/>
      <c r="WA12" s="45"/>
      <c r="WB12" s="45"/>
      <c r="WC12" s="45"/>
      <c r="WD12" s="45"/>
      <c r="WE12" s="45"/>
      <c r="WF12" s="45"/>
      <c r="WG12" s="45"/>
      <c r="WH12" s="45"/>
      <c r="WI12" s="45"/>
      <c r="WJ12" s="45"/>
      <c r="WK12" s="45"/>
      <c r="WL12" s="45"/>
      <c r="WM12" s="45"/>
      <c r="WN12" s="45"/>
      <c r="WO12" s="45"/>
      <c r="WP12" s="45"/>
      <c r="WQ12" s="45"/>
      <c r="WR12" s="45"/>
      <c r="WS12" s="45"/>
      <c r="WT12" s="45"/>
      <c r="WU12" s="45"/>
      <c r="WV12" s="45"/>
      <c r="WW12" s="45"/>
      <c r="WX12" s="45"/>
      <c r="WY12" s="45"/>
      <c r="WZ12" s="45"/>
      <c r="XA12" s="45"/>
      <c r="XB12" s="45"/>
      <c r="XC12" s="45"/>
      <c r="XD12" s="45"/>
      <c r="XE12" s="45"/>
      <c r="XF12" s="45"/>
      <c r="XG12" s="45"/>
      <c r="XH12" s="45"/>
      <c r="XI12" s="45">
        <f t="shared" si="82"/>
        <v>0</v>
      </c>
      <c r="XJ12" s="45">
        <f t="shared" si="83"/>
        <v>0</v>
      </c>
      <c r="XK12" s="45"/>
      <c r="XL12" s="45"/>
      <c r="XM12" s="45"/>
      <c r="XN12" s="45"/>
      <c r="XO12" s="45"/>
      <c r="XP12" s="45"/>
      <c r="XQ12" s="45"/>
      <c r="XR12" s="45"/>
      <c r="XS12" s="45"/>
      <c r="XT12" s="45"/>
      <c r="XU12" s="45"/>
      <c r="XV12" s="45"/>
      <c r="XW12" s="45"/>
      <c r="XX12" s="45"/>
      <c r="XY12" s="45"/>
      <c r="XZ12" s="45"/>
      <c r="YA12" s="45"/>
      <c r="YB12" s="45"/>
      <c r="YC12" s="45"/>
      <c r="YD12" s="45"/>
      <c r="YE12" s="45"/>
      <c r="YF12" s="45"/>
      <c r="YG12" s="45"/>
      <c r="YH12" s="45"/>
      <c r="YI12" s="45"/>
      <c r="YJ12" s="45"/>
      <c r="YK12" s="45"/>
      <c r="YL12" s="45"/>
      <c r="YM12" s="45"/>
      <c r="YN12" s="45"/>
      <c r="YO12" s="45"/>
      <c r="YP12" s="45"/>
      <c r="YQ12" s="45"/>
      <c r="YR12" s="45"/>
      <c r="YS12" s="45"/>
      <c r="YT12" s="45"/>
      <c r="YU12" s="45"/>
      <c r="YV12" s="45"/>
      <c r="YW12" s="45"/>
      <c r="YX12" s="45"/>
      <c r="YY12" s="45"/>
      <c r="YZ12" s="45"/>
      <c r="ZA12" s="45"/>
      <c r="ZB12" s="45"/>
      <c r="ZC12" s="45"/>
      <c r="ZD12" s="45"/>
      <c r="ZE12" s="45"/>
      <c r="ZF12" s="45"/>
      <c r="ZG12" s="45"/>
      <c r="ZH12" s="45"/>
      <c r="ZI12" s="45"/>
      <c r="ZJ12" s="45"/>
      <c r="ZK12" s="45"/>
      <c r="ZL12" s="45"/>
      <c r="ZM12" s="45"/>
      <c r="ZN12" s="45"/>
      <c r="ZO12" s="45"/>
      <c r="ZP12" s="45"/>
      <c r="ZQ12" s="45"/>
      <c r="ZR12" s="45"/>
      <c r="ZS12" s="45">
        <f t="shared" si="84"/>
        <v>0</v>
      </c>
      <c r="ZT12" s="45">
        <f t="shared" si="85"/>
        <v>0</v>
      </c>
      <c r="ZU12" s="45"/>
      <c r="ZV12" s="45"/>
      <c r="ZW12" s="45"/>
      <c r="ZX12" s="45"/>
      <c r="ZY12" s="45"/>
      <c r="ZZ12" s="45"/>
      <c r="AAA12" s="45"/>
      <c r="AAB12" s="45"/>
      <c r="AAC12" s="45"/>
      <c r="AAD12" s="45"/>
      <c r="AAE12" s="45"/>
      <c r="AAF12" s="45"/>
      <c r="AAG12" s="45"/>
      <c r="AAH12" s="45"/>
      <c r="AAI12" s="45"/>
      <c r="AAJ12" s="45"/>
      <c r="AAK12" s="45"/>
      <c r="AAL12" s="45"/>
      <c r="AAM12" s="45"/>
      <c r="AAN12" s="45"/>
      <c r="AAO12" s="45"/>
      <c r="AAP12" s="45"/>
      <c r="AAQ12" s="45"/>
      <c r="AAR12" s="45"/>
      <c r="AAS12" s="45"/>
      <c r="AAT12" s="45"/>
      <c r="AAU12" s="45"/>
      <c r="AAV12" s="45"/>
      <c r="AAW12" s="45"/>
      <c r="AAX12" s="45"/>
      <c r="AAY12" s="45"/>
      <c r="AAZ12" s="45"/>
      <c r="ABA12" s="45"/>
      <c r="ABB12" s="45"/>
      <c r="ABC12" s="45"/>
      <c r="ABD12" s="45"/>
      <c r="ABE12" s="45"/>
      <c r="ABF12" s="45"/>
      <c r="ABG12" s="45"/>
      <c r="ABH12" s="45"/>
      <c r="ABI12" s="45"/>
      <c r="ABJ12" s="45"/>
      <c r="ABK12" s="45"/>
      <c r="ABL12" s="45"/>
      <c r="ABM12" s="45"/>
      <c r="ABN12" s="45"/>
      <c r="ABO12" s="45"/>
      <c r="ABP12" s="45"/>
      <c r="ABQ12" s="45"/>
      <c r="ABR12" s="45"/>
      <c r="ABS12" s="45"/>
      <c r="ABT12" s="45"/>
      <c r="ABU12" s="45"/>
      <c r="ABV12" s="45"/>
      <c r="ABW12" s="45"/>
      <c r="ABX12" s="45"/>
      <c r="ABY12" s="45"/>
      <c r="ABZ12" s="45"/>
      <c r="ACA12" s="45"/>
      <c r="ACB12" s="45"/>
      <c r="ACC12" s="45"/>
      <c r="ACD12" s="45"/>
      <c r="ACE12" s="45">
        <f t="shared" si="86"/>
        <v>0</v>
      </c>
      <c r="ACF12" s="45"/>
      <c r="ACG12" s="45">
        <f t="shared" si="87"/>
        <v>0</v>
      </c>
      <c r="ACH12" s="55"/>
      <c r="ACI12" s="71" t="s">
        <v>136</v>
      </c>
      <c r="ACJ12" s="71" t="s">
        <v>86</v>
      </c>
    </row>
    <row r="13" spans="1:764" ht="16.5" thickBot="1" x14ac:dyDescent="0.3">
      <c r="A13" s="163"/>
      <c r="B13" s="164" t="s">
        <v>37</v>
      </c>
      <c r="C13" s="165"/>
      <c r="D13" s="166"/>
      <c r="E13" s="48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>
        <f>SUM(BO3:BO12)</f>
        <v>13736.970000000001</v>
      </c>
      <c r="BP13" s="39">
        <f>SUM(BP3:BP12)</f>
        <v>13945.779999999999</v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>
        <f>SUM(DW3:DW12)</f>
        <v>13453.81</v>
      </c>
      <c r="DX13" s="39">
        <f>SUM(DX3:DX12)</f>
        <v>13899.702000000001</v>
      </c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>
        <f>SUM(GI3:GI12)</f>
        <v>16004.049999999997</v>
      </c>
      <c r="GJ13" s="39">
        <f>SUM(GJ3:GJ12)</f>
        <v>16239.899999999998</v>
      </c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>
        <f>SUM(IS3:IS12)</f>
        <v>14165.42</v>
      </c>
      <c r="IT13" s="39">
        <f>SUM(IT3:IT12)</f>
        <v>14588.04</v>
      </c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39"/>
      <c r="KU13" s="39"/>
      <c r="KV13" s="39"/>
      <c r="KW13" s="39"/>
      <c r="KX13" s="39"/>
      <c r="KY13" s="39"/>
      <c r="KZ13" s="39"/>
      <c r="LA13" s="39"/>
      <c r="LB13" s="39"/>
      <c r="LC13" s="39"/>
      <c r="LD13" s="39"/>
      <c r="LE13" s="39">
        <f>SUM(LE3:LE12)</f>
        <v>7362.2200000000012</v>
      </c>
      <c r="LF13" s="39">
        <f>SUM(LF3:LF12)</f>
        <v>7492.7</v>
      </c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39"/>
      <c r="LU13" s="39"/>
      <c r="LV13" s="39"/>
      <c r="LW13" s="39"/>
      <c r="LX13" s="39"/>
      <c r="LY13" s="39"/>
      <c r="LZ13" s="39"/>
      <c r="MA13" s="39"/>
      <c r="MB13" s="39"/>
      <c r="MC13" s="39"/>
      <c r="MD13" s="39"/>
      <c r="ME13" s="39"/>
      <c r="MF13" s="39"/>
      <c r="MG13" s="39"/>
      <c r="MH13" s="39"/>
      <c r="MI13" s="39"/>
      <c r="MJ13" s="39"/>
      <c r="MK13" s="39"/>
      <c r="ML13" s="39"/>
      <c r="MM13" s="39"/>
      <c r="MN13" s="39"/>
      <c r="MO13" s="39"/>
      <c r="MP13" s="39"/>
      <c r="MQ13" s="39"/>
      <c r="MR13" s="39"/>
      <c r="MS13" s="39"/>
      <c r="MT13" s="39"/>
      <c r="MU13" s="39"/>
      <c r="MV13" s="39"/>
      <c r="MW13" s="39"/>
      <c r="MX13" s="39"/>
      <c r="MY13" s="39"/>
      <c r="MZ13" s="39"/>
      <c r="NA13" s="39"/>
      <c r="NB13" s="39"/>
      <c r="NC13" s="39"/>
      <c r="ND13" s="39"/>
      <c r="NE13" s="39"/>
      <c r="NF13" s="39"/>
      <c r="NG13" s="39"/>
      <c r="NH13" s="39"/>
      <c r="NI13" s="39"/>
      <c r="NJ13" s="39"/>
      <c r="NK13" s="39"/>
      <c r="NL13" s="39"/>
      <c r="NM13" s="39"/>
      <c r="NN13" s="39"/>
      <c r="NO13" s="39">
        <f>SUM(NO3:NO12)</f>
        <v>0</v>
      </c>
      <c r="NP13" s="39">
        <f>SUM(NP3:NP12)</f>
        <v>0</v>
      </c>
      <c r="NQ13" s="39"/>
      <c r="NR13" s="39"/>
      <c r="NS13" s="39"/>
      <c r="NT13" s="39"/>
      <c r="NU13" s="39"/>
      <c r="NV13" s="39"/>
      <c r="NW13" s="39"/>
      <c r="NX13" s="39"/>
      <c r="NY13" s="39"/>
      <c r="NZ13" s="39"/>
      <c r="OA13" s="39"/>
      <c r="OB13" s="39"/>
      <c r="OC13" s="39"/>
      <c r="OD13" s="39"/>
      <c r="OE13" s="39"/>
      <c r="OF13" s="39"/>
      <c r="OG13" s="39"/>
      <c r="OH13" s="39"/>
      <c r="OI13" s="39"/>
      <c r="OJ13" s="39"/>
      <c r="OK13" s="39"/>
      <c r="OL13" s="39"/>
      <c r="OM13" s="39"/>
      <c r="ON13" s="39"/>
      <c r="OO13" s="39"/>
      <c r="OP13" s="39"/>
      <c r="OQ13" s="39"/>
      <c r="OR13" s="39"/>
      <c r="OS13" s="39"/>
      <c r="OT13" s="39"/>
      <c r="OU13" s="39"/>
      <c r="OV13" s="39"/>
      <c r="OW13" s="39"/>
      <c r="OX13" s="39"/>
      <c r="OY13" s="39"/>
      <c r="OZ13" s="39"/>
      <c r="PA13" s="39"/>
      <c r="PB13" s="39"/>
      <c r="PC13" s="39"/>
      <c r="PD13" s="39"/>
      <c r="PE13" s="39"/>
      <c r="PF13" s="39"/>
      <c r="PG13" s="39"/>
      <c r="PH13" s="39"/>
      <c r="PI13" s="39"/>
      <c r="PJ13" s="39"/>
      <c r="PK13" s="39"/>
      <c r="PL13" s="39"/>
      <c r="PM13" s="39"/>
      <c r="PN13" s="39"/>
      <c r="PO13" s="39"/>
      <c r="PP13" s="39"/>
      <c r="PQ13" s="39"/>
      <c r="PR13" s="39"/>
      <c r="PS13" s="39"/>
      <c r="PT13" s="39"/>
      <c r="PU13" s="39"/>
      <c r="PV13" s="39"/>
      <c r="PW13" s="39"/>
      <c r="PX13" s="39"/>
      <c r="PY13" s="39"/>
      <c r="PZ13" s="39"/>
      <c r="QA13" s="39">
        <f>SUM(QA3:QA12)</f>
        <v>0</v>
      </c>
      <c r="QB13" s="39">
        <f>SUM(QB3:QB12)</f>
        <v>0</v>
      </c>
      <c r="QC13" s="39"/>
      <c r="QD13" s="39"/>
      <c r="QE13" s="39"/>
      <c r="QF13" s="39"/>
      <c r="QG13" s="39"/>
      <c r="QH13" s="39"/>
      <c r="QI13" s="39"/>
      <c r="QJ13" s="39"/>
      <c r="QK13" s="39"/>
      <c r="QL13" s="39"/>
      <c r="QM13" s="39"/>
      <c r="QN13" s="39"/>
      <c r="QO13" s="39"/>
      <c r="QP13" s="39"/>
      <c r="QQ13" s="39"/>
      <c r="QR13" s="39"/>
      <c r="QS13" s="39"/>
      <c r="QT13" s="39"/>
      <c r="QU13" s="39"/>
      <c r="QV13" s="39"/>
      <c r="QW13" s="39"/>
      <c r="QX13" s="39"/>
      <c r="QY13" s="39"/>
      <c r="QZ13" s="39"/>
      <c r="RA13" s="39"/>
      <c r="RB13" s="39"/>
      <c r="RC13" s="39"/>
      <c r="RD13" s="39"/>
      <c r="RE13" s="39"/>
      <c r="RF13" s="39"/>
      <c r="RG13" s="39"/>
      <c r="RH13" s="39"/>
      <c r="RI13" s="39"/>
      <c r="RJ13" s="39"/>
      <c r="RK13" s="39"/>
      <c r="RL13" s="39"/>
      <c r="RM13" s="39"/>
      <c r="RN13" s="39"/>
      <c r="RO13" s="39"/>
      <c r="RP13" s="39"/>
      <c r="RQ13" s="39"/>
      <c r="RR13" s="39"/>
      <c r="RS13" s="39"/>
      <c r="RT13" s="39"/>
      <c r="RU13" s="39"/>
      <c r="RV13" s="39"/>
      <c r="RW13" s="39"/>
      <c r="RX13" s="39"/>
      <c r="RY13" s="39"/>
      <c r="RZ13" s="39"/>
      <c r="SA13" s="39"/>
      <c r="SB13" s="39"/>
      <c r="SC13" s="39"/>
      <c r="SD13" s="39"/>
      <c r="SE13" s="39"/>
      <c r="SF13" s="39"/>
      <c r="SG13" s="39"/>
      <c r="SH13" s="39"/>
      <c r="SI13" s="39"/>
      <c r="SJ13" s="39"/>
      <c r="SK13" s="39"/>
      <c r="SL13" s="39"/>
      <c r="SM13" s="39">
        <f>SUM(SM3:SM12)</f>
        <v>0</v>
      </c>
      <c r="SN13" s="39">
        <f>SUM(SN3:SN12)</f>
        <v>0</v>
      </c>
      <c r="SO13" s="39"/>
      <c r="SP13" s="39"/>
      <c r="SQ13" s="39"/>
      <c r="SR13" s="39"/>
      <c r="SS13" s="39"/>
      <c r="ST13" s="39"/>
      <c r="SU13" s="39"/>
      <c r="SV13" s="39"/>
      <c r="SW13" s="39"/>
      <c r="SX13" s="39"/>
      <c r="SY13" s="39"/>
      <c r="SZ13" s="39"/>
      <c r="TA13" s="39"/>
      <c r="TB13" s="39"/>
      <c r="TC13" s="39"/>
      <c r="TD13" s="39"/>
      <c r="TE13" s="39"/>
      <c r="TF13" s="39"/>
      <c r="TG13" s="39"/>
      <c r="TH13" s="39"/>
      <c r="TI13" s="39"/>
      <c r="TJ13" s="39"/>
      <c r="TK13" s="39"/>
      <c r="TL13" s="39"/>
      <c r="TM13" s="39"/>
      <c r="TN13" s="39"/>
      <c r="TO13" s="39"/>
      <c r="TP13" s="39"/>
      <c r="TQ13" s="39"/>
      <c r="TR13" s="39"/>
      <c r="TS13" s="39"/>
      <c r="TT13" s="39"/>
      <c r="TU13" s="39"/>
      <c r="TV13" s="39"/>
      <c r="TW13" s="39"/>
      <c r="TX13" s="39"/>
      <c r="TY13" s="39"/>
      <c r="TZ13" s="39"/>
      <c r="UA13" s="39"/>
      <c r="UB13" s="39"/>
      <c r="UC13" s="39"/>
      <c r="UD13" s="39"/>
      <c r="UE13" s="39"/>
      <c r="UF13" s="39"/>
      <c r="UG13" s="39"/>
      <c r="UH13" s="39"/>
      <c r="UI13" s="39"/>
      <c r="UJ13" s="39"/>
      <c r="UK13" s="39"/>
      <c r="UL13" s="39"/>
      <c r="UM13" s="39"/>
      <c r="UN13" s="39"/>
      <c r="UO13" s="39"/>
      <c r="UP13" s="39"/>
      <c r="UQ13" s="39"/>
      <c r="UR13" s="39"/>
      <c r="US13" s="39"/>
      <c r="UT13" s="39"/>
      <c r="UU13" s="39"/>
      <c r="UV13" s="39"/>
      <c r="UW13" s="39">
        <f>SUM(UW3:UW12)</f>
        <v>0</v>
      </c>
      <c r="UX13" s="39">
        <f>SUM(UX3:UX12)</f>
        <v>0</v>
      </c>
      <c r="UY13" s="39"/>
      <c r="UZ13" s="39"/>
      <c r="VA13" s="39"/>
      <c r="VB13" s="39"/>
      <c r="VC13" s="39"/>
      <c r="VD13" s="39"/>
      <c r="VE13" s="39"/>
      <c r="VF13" s="39"/>
      <c r="VG13" s="39"/>
      <c r="VH13" s="39"/>
      <c r="VI13" s="39"/>
      <c r="VJ13" s="39"/>
      <c r="VK13" s="39"/>
      <c r="VL13" s="39"/>
      <c r="VM13" s="39"/>
      <c r="VN13" s="39"/>
      <c r="VO13" s="39"/>
      <c r="VP13" s="39"/>
      <c r="VQ13" s="39"/>
      <c r="VR13" s="39"/>
      <c r="VS13" s="39"/>
      <c r="VT13" s="39"/>
      <c r="VU13" s="39"/>
      <c r="VV13" s="39"/>
      <c r="VW13" s="39"/>
      <c r="VX13" s="39"/>
      <c r="VY13" s="39"/>
      <c r="VZ13" s="39"/>
      <c r="WA13" s="39"/>
      <c r="WB13" s="39"/>
      <c r="WC13" s="39"/>
      <c r="WD13" s="39"/>
      <c r="WE13" s="39"/>
      <c r="WF13" s="39"/>
      <c r="WG13" s="39"/>
      <c r="WH13" s="39"/>
      <c r="WI13" s="39"/>
      <c r="WJ13" s="39"/>
      <c r="WK13" s="39"/>
      <c r="WL13" s="39"/>
      <c r="WM13" s="39"/>
      <c r="WN13" s="39"/>
      <c r="WO13" s="39"/>
      <c r="WP13" s="39"/>
      <c r="WQ13" s="39"/>
      <c r="WR13" s="39"/>
      <c r="WS13" s="39"/>
      <c r="WT13" s="39"/>
      <c r="WU13" s="39"/>
      <c r="WV13" s="39"/>
      <c r="WW13" s="39"/>
      <c r="WX13" s="39"/>
      <c r="WY13" s="39"/>
      <c r="WZ13" s="39"/>
      <c r="XA13" s="39"/>
      <c r="XB13" s="39"/>
      <c r="XC13" s="39"/>
      <c r="XD13" s="39"/>
      <c r="XE13" s="39"/>
      <c r="XF13" s="39"/>
      <c r="XG13" s="39"/>
      <c r="XH13" s="39"/>
      <c r="XI13" s="39">
        <f>SUM(XI3:XI12)</f>
        <v>0</v>
      </c>
      <c r="XJ13" s="39">
        <f>SUM(XJ3:XJ12)</f>
        <v>0</v>
      </c>
      <c r="XK13" s="39"/>
      <c r="XL13" s="39"/>
      <c r="XM13" s="39"/>
      <c r="XN13" s="39"/>
      <c r="XO13" s="39"/>
      <c r="XP13" s="39"/>
      <c r="XQ13" s="39"/>
      <c r="XR13" s="39"/>
      <c r="XS13" s="39"/>
      <c r="XT13" s="39"/>
      <c r="XU13" s="39"/>
      <c r="XV13" s="39"/>
      <c r="XW13" s="39"/>
      <c r="XX13" s="39"/>
      <c r="XY13" s="39"/>
      <c r="XZ13" s="39"/>
      <c r="YA13" s="39"/>
      <c r="YB13" s="39"/>
      <c r="YC13" s="39"/>
      <c r="YD13" s="39"/>
      <c r="YE13" s="39"/>
      <c r="YF13" s="39"/>
      <c r="YG13" s="39"/>
      <c r="YH13" s="39"/>
      <c r="YI13" s="39"/>
      <c r="YJ13" s="39"/>
      <c r="YK13" s="39"/>
      <c r="YL13" s="39"/>
      <c r="YM13" s="39"/>
      <c r="YN13" s="39"/>
      <c r="YO13" s="39"/>
      <c r="YP13" s="39"/>
      <c r="YQ13" s="39"/>
      <c r="YR13" s="39"/>
      <c r="YS13" s="39"/>
      <c r="YT13" s="39"/>
      <c r="YU13" s="39"/>
      <c r="YV13" s="39"/>
      <c r="YW13" s="39"/>
      <c r="YX13" s="39"/>
      <c r="YY13" s="39"/>
      <c r="YZ13" s="39"/>
      <c r="ZA13" s="39"/>
      <c r="ZB13" s="39"/>
      <c r="ZC13" s="39"/>
      <c r="ZD13" s="39"/>
      <c r="ZE13" s="39"/>
      <c r="ZF13" s="39"/>
      <c r="ZG13" s="39"/>
      <c r="ZH13" s="39"/>
      <c r="ZI13" s="39"/>
      <c r="ZJ13" s="39"/>
      <c r="ZK13" s="39"/>
      <c r="ZL13" s="39"/>
      <c r="ZM13" s="39"/>
      <c r="ZN13" s="39"/>
      <c r="ZO13" s="39"/>
      <c r="ZP13" s="39"/>
      <c r="ZQ13" s="39"/>
      <c r="ZR13" s="39"/>
      <c r="ZS13" s="39">
        <f>SUM(ZS3:ZS12)</f>
        <v>0</v>
      </c>
      <c r="ZT13" s="39">
        <f>SUM(ZT3:ZT12)</f>
        <v>0</v>
      </c>
      <c r="ZU13" s="39"/>
      <c r="ZV13" s="39"/>
      <c r="ZW13" s="39"/>
      <c r="ZX13" s="39"/>
      <c r="ZY13" s="39"/>
      <c r="ZZ13" s="39"/>
      <c r="AAA13" s="39"/>
      <c r="AAB13" s="39"/>
      <c r="AAC13" s="39"/>
      <c r="AAD13" s="39"/>
      <c r="AAE13" s="39"/>
      <c r="AAF13" s="39"/>
      <c r="AAG13" s="39"/>
      <c r="AAH13" s="39"/>
      <c r="AAI13" s="39"/>
      <c r="AAJ13" s="39"/>
      <c r="AAK13" s="39"/>
      <c r="AAL13" s="39"/>
      <c r="AAM13" s="39"/>
      <c r="AAN13" s="39"/>
      <c r="AAO13" s="39"/>
      <c r="AAP13" s="39"/>
      <c r="AAQ13" s="39"/>
      <c r="AAR13" s="39"/>
      <c r="AAS13" s="39"/>
      <c r="AAT13" s="39"/>
      <c r="AAU13" s="39"/>
      <c r="AAV13" s="39"/>
      <c r="AAW13" s="39"/>
      <c r="AAX13" s="39"/>
      <c r="AAY13" s="39"/>
      <c r="AAZ13" s="39"/>
      <c r="ABA13" s="39"/>
      <c r="ABB13" s="39"/>
      <c r="ABC13" s="39"/>
      <c r="ABD13" s="39"/>
      <c r="ABE13" s="39"/>
      <c r="ABF13" s="39"/>
      <c r="ABG13" s="39"/>
      <c r="ABH13" s="39"/>
      <c r="ABI13" s="39"/>
      <c r="ABJ13" s="39"/>
      <c r="ABK13" s="39"/>
      <c r="ABL13" s="39"/>
      <c r="ABM13" s="39"/>
      <c r="ABN13" s="39"/>
      <c r="ABO13" s="39"/>
      <c r="ABP13" s="39"/>
      <c r="ABQ13" s="39"/>
      <c r="ABR13" s="39"/>
      <c r="ABS13" s="39"/>
      <c r="ABT13" s="39"/>
      <c r="ABU13" s="39"/>
      <c r="ABV13" s="39"/>
      <c r="ABW13" s="39"/>
      <c r="ABX13" s="39"/>
      <c r="ABY13" s="39"/>
      <c r="ABZ13" s="39"/>
      <c r="ACA13" s="39"/>
      <c r="ACB13" s="39"/>
      <c r="ACC13" s="39"/>
      <c r="ACD13" s="39"/>
      <c r="ACE13" s="39">
        <f>SUM(ACE3:ACE12)</f>
        <v>0</v>
      </c>
      <c r="ACF13" s="39"/>
      <c r="ACG13" s="39">
        <f>SUM(ACG3:ACG12)</f>
        <v>64722.47</v>
      </c>
      <c r="ACH13" s="40"/>
      <c r="ACI13" s="71" t="s">
        <v>223</v>
      </c>
      <c r="ACJ13" s="71" t="s">
        <v>37</v>
      </c>
    </row>
    <row r="14" spans="1:764" x14ac:dyDescent="0.25">
      <c r="A14" s="161">
        <v>2</v>
      </c>
      <c r="B14" s="151" t="s">
        <v>87</v>
      </c>
      <c r="C14" s="154" t="s">
        <v>3</v>
      </c>
      <c r="D14" s="49" t="s">
        <v>6</v>
      </c>
      <c r="E14" s="72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43" cm="1">
        <f t="array" ref="BO14">SUMPRODUCT(E14:BM14,--(E$2:BM$2=BO$2))</f>
        <v>0</v>
      </c>
      <c r="BP14" s="43" cm="1">
        <f t="array" ref="BP14">SUMPRODUCT(F14:BN14,--(F$2:BN$2=BP$2))</f>
        <v>0</v>
      </c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43"/>
      <c r="CY14" s="43"/>
      <c r="CZ14" s="43"/>
      <c r="DA14" s="43"/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 cm="1">
        <f t="array" ref="DW14">SUMPRODUCT(BQ14:DU14,--(BQ$2:DU$2=DW$2))</f>
        <v>0</v>
      </c>
      <c r="DX14" s="43" cm="1">
        <f t="array" ref="DX14">SUMPRODUCT(BR14:DV14,--(BR$2:DV$2=DX$2))</f>
        <v>0</v>
      </c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43"/>
      <c r="EM14" s="43"/>
      <c r="EN14" s="43"/>
      <c r="EO14" s="43"/>
      <c r="EP14" s="43"/>
      <c r="EQ14" s="43"/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43"/>
      <c r="FI14" s="43"/>
      <c r="FJ14" s="43"/>
      <c r="FK14" s="43"/>
      <c r="FL14" s="43"/>
      <c r="FM14" s="43"/>
      <c r="FN14" s="43"/>
      <c r="FO14" s="43"/>
      <c r="FP14" s="43"/>
      <c r="FQ14" s="43"/>
      <c r="FR14" s="43"/>
      <c r="FS14" s="43"/>
      <c r="FT14" s="43"/>
      <c r="FU14" s="43"/>
      <c r="FV14" s="43"/>
      <c r="FW14" s="43"/>
      <c r="FX14" s="43"/>
      <c r="FY14" s="43"/>
      <c r="FZ14" s="43"/>
      <c r="GA14" s="43"/>
      <c r="GB14" s="43"/>
      <c r="GC14" s="43"/>
      <c r="GD14" s="43"/>
      <c r="GE14" s="43"/>
      <c r="GF14" s="43"/>
      <c r="GG14" s="43"/>
      <c r="GH14" s="43"/>
      <c r="GI14" s="43" cm="1">
        <f t="array" ref="GI14">SUMPRODUCT(DY14:GG14,--(DY$2:GG$2=GI$2))</f>
        <v>0</v>
      </c>
      <c r="GJ14" s="43" cm="1">
        <f t="array" ref="GJ14">SUMPRODUCT(DZ14:GH14,--(DZ$2:GH$2=GJ$2))</f>
        <v>0</v>
      </c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43"/>
      <c r="GY14" s="43"/>
      <c r="GZ14" s="43"/>
      <c r="HA14" s="43"/>
      <c r="HB14" s="43"/>
      <c r="HC14" s="43"/>
      <c r="HD14" s="43"/>
      <c r="HE14" s="43"/>
      <c r="HF14" s="43"/>
      <c r="HG14" s="43"/>
      <c r="HH14" s="43"/>
      <c r="HI14" s="43"/>
      <c r="HJ14" s="43"/>
      <c r="HK14" s="43"/>
      <c r="HL14" s="43"/>
      <c r="HM14" s="43"/>
      <c r="HN14" s="43"/>
      <c r="HO14" s="43"/>
      <c r="HP14" s="43"/>
      <c r="HQ14" s="43"/>
      <c r="HR14" s="43"/>
      <c r="HS14" s="43"/>
      <c r="HT14" s="43"/>
      <c r="HU14" s="43"/>
      <c r="HV14" s="43"/>
      <c r="HW14" s="43"/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43"/>
      <c r="IO14" s="43"/>
      <c r="IP14" s="43"/>
      <c r="IQ14" s="43"/>
      <c r="IR14" s="43"/>
      <c r="IS14" s="43">
        <f>GK14+GM14+GO14+GQ14+GS14+GU14+GW14+GY14+HA14+HC14+HE14+HG14+HI14+HK14+HM14+HO14+HQ14+HS14+HU14+HW14+HY14+IA14+IC14+IE14+IG14+II14+IK14+IM14+IO14+IQ14</f>
        <v>0</v>
      </c>
      <c r="IT14" s="43">
        <f>GL14+GN14+GP14+GR14+GT14+GV14+GX14+GZ14+HB14+HD14+HF14+HH14+HJ14+HL14+HN14+HP14+HR14+HT14+HV14+HX14+HZ14+IB14+ID14+IF14+IH14+IJ14+IL14+IN14+IP14+IR14</f>
        <v>0</v>
      </c>
      <c r="IU14" s="43"/>
      <c r="IV14" s="43"/>
      <c r="IW14" s="43"/>
      <c r="IX14" s="43"/>
      <c r="IY14" s="43"/>
      <c r="IZ14" s="43"/>
      <c r="JA14" s="43"/>
      <c r="JB14" s="43"/>
      <c r="JC14" s="43"/>
      <c r="JD14" s="43"/>
      <c r="JE14" s="43"/>
      <c r="JF14" s="43"/>
      <c r="JG14" s="43"/>
      <c r="JH14" s="43"/>
      <c r="JI14" s="43"/>
      <c r="JJ14" s="43"/>
      <c r="JK14" s="43"/>
      <c r="JL14" s="43"/>
      <c r="JM14" s="43"/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43"/>
      <c r="KE14" s="43"/>
      <c r="KF14" s="43"/>
      <c r="KG14" s="43"/>
      <c r="KH14" s="43"/>
      <c r="KI14" s="43"/>
      <c r="KJ14" s="43"/>
      <c r="KK14" s="43"/>
      <c r="KL14" s="43"/>
      <c r="KM14" s="43"/>
      <c r="KN14" s="43"/>
      <c r="KO14" s="43"/>
      <c r="KP14" s="43"/>
      <c r="KQ14" s="43"/>
      <c r="KR14" s="43"/>
      <c r="KS14" s="43"/>
      <c r="KT14" s="43"/>
      <c r="KU14" s="43"/>
      <c r="KV14" s="43"/>
      <c r="KW14" s="43"/>
      <c r="KX14" s="43"/>
      <c r="KY14" s="43"/>
      <c r="KZ14" s="43"/>
      <c r="LA14" s="43"/>
      <c r="LB14" s="43"/>
      <c r="LC14" s="43"/>
      <c r="LD14" s="43"/>
      <c r="LE14" s="43">
        <f>IU14+IW14+IY14+JA14+JC14+JE14+JG14+JI14+JK14+JM14+JO14+JQ14+JS14+JU14+JW14+JY14+KA14+KC14+KE14+KG14+KI14+KK14+KM14+KO14+KQ14+KS14+KU14+KW14+KY14+LA14+LC14</f>
        <v>0</v>
      </c>
      <c r="LF14" s="43">
        <f>IV14+IX14+IZ14+JB14+JD14+JF14+JH14+JJ14+JL14+JN14+JP14+JR14+JT14+JV14+JX14+JZ14+KB14+KD14+KF14+KH14+KJ14+KL14+KN14+KP14+KR14+KT14+KV14+KX14+KZ14+LB14+LD14</f>
        <v>0</v>
      </c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43"/>
      <c r="LU14" s="43"/>
      <c r="LV14" s="43"/>
      <c r="LW14" s="43"/>
      <c r="LX14" s="43"/>
      <c r="LY14" s="43"/>
      <c r="LZ14" s="43"/>
      <c r="MA14" s="43"/>
      <c r="MB14" s="43"/>
      <c r="MC14" s="43"/>
      <c r="MD14" s="43"/>
      <c r="ME14" s="43"/>
      <c r="MF14" s="43"/>
      <c r="MG14" s="43"/>
      <c r="MH14" s="43"/>
      <c r="MI14" s="43"/>
      <c r="MJ14" s="43"/>
      <c r="MK14" s="43"/>
      <c r="ML14" s="43"/>
      <c r="MM14" s="43"/>
      <c r="MN14" s="43"/>
      <c r="MO14" s="43"/>
      <c r="MP14" s="43"/>
      <c r="MQ14" s="43"/>
      <c r="MR14" s="43"/>
      <c r="MS14" s="43"/>
      <c r="MT14" s="43"/>
      <c r="MU14" s="43"/>
      <c r="MV14" s="43"/>
      <c r="MW14" s="43"/>
      <c r="MX14" s="43"/>
      <c r="MY14" s="43"/>
      <c r="MZ14" s="43"/>
      <c r="NA14" s="43"/>
      <c r="NB14" s="43"/>
      <c r="NC14" s="43"/>
      <c r="ND14" s="43"/>
      <c r="NE14" s="43"/>
      <c r="NF14" s="43"/>
      <c r="NG14" s="43"/>
      <c r="NH14" s="43"/>
      <c r="NI14" s="43"/>
      <c r="NJ14" s="43"/>
      <c r="NK14" s="43"/>
      <c r="NL14" s="43"/>
      <c r="NM14" s="43"/>
      <c r="NN14" s="43"/>
      <c r="NO14" s="43">
        <f>LG14+LI14+LK14+LM14+LO14+LQ14+LS14+LU14+LW14+LY14+MA14+MC14+ME14+MG14+MI14+MK14+MM14+MO14+MQ14+MS14+MU14+MW14+MY14+NA14+NC14+NE14+NG14+NI14+NK14+NM14</f>
        <v>0</v>
      </c>
      <c r="NP14" s="43">
        <f>LH14+LJ14+LL14+LN14+LP14+LR14+LT14+LV14+LX14+LZ14+MB14+MD14+MF14+MH14+MJ14+ML14+MN14+MP14+MR14+MT14+MV14+MX14+MZ14+NB14+ND14+NF14+NH14+NJ14+NL14+NN14</f>
        <v>0</v>
      </c>
      <c r="NQ14" s="43"/>
      <c r="NR14" s="43"/>
      <c r="NS14" s="43"/>
      <c r="NT14" s="43"/>
      <c r="NU14" s="43"/>
      <c r="NV14" s="43"/>
      <c r="NW14" s="43"/>
      <c r="NX14" s="43"/>
      <c r="NY14" s="43"/>
      <c r="NZ14" s="43"/>
      <c r="OA14" s="43"/>
      <c r="OB14" s="43"/>
      <c r="OC14" s="43"/>
      <c r="OD14" s="43"/>
      <c r="OE14" s="43"/>
      <c r="OF14" s="43"/>
      <c r="OG14" s="43"/>
      <c r="OH14" s="43"/>
      <c r="OI14" s="43"/>
      <c r="OJ14" s="43"/>
      <c r="OK14" s="43"/>
      <c r="OL14" s="43"/>
      <c r="OM14" s="43"/>
      <c r="ON14" s="43"/>
      <c r="OO14" s="43"/>
      <c r="OP14" s="43"/>
      <c r="OQ14" s="43"/>
      <c r="OR14" s="43"/>
      <c r="OS14" s="43"/>
      <c r="OT14" s="43"/>
      <c r="OU14" s="43"/>
      <c r="OV14" s="43"/>
      <c r="OW14" s="43"/>
      <c r="OX14" s="43"/>
      <c r="OY14" s="43"/>
      <c r="OZ14" s="43"/>
      <c r="PA14" s="43"/>
      <c r="PB14" s="43"/>
      <c r="PC14" s="43"/>
      <c r="PD14" s="43"/>
      <c r="PE14" s="43"/>
      <c r="PF14" s="43"/>
      <c r="PG14" s="43"/>
      <c r="PH14" s="43"/>
      <c r="PI14" s="43"/>
      <c r="PJ14" s="43"/>
      <c r="PK14" s="43"/>
      <c r="PL14" s="43"/>
      <c r="PM14" s="43"/>
      <c r="PN14" s="43"/>
      <c r="PO14" s="43"/>
      <c r="PP14" s="43"/>
      <c r="PQ14" s="43"/>
      <c r="PR14" s="43"/>
      <c r="PS14" s="43"/>
      <c r="PT14" s="43"/>
      <c r="PU14" s="43"/>
      <c r="PV14" s="43"/>
      <c r="PW14" s="43"/>
      <c r="PX14" s="43"/>
      <c r="PY14" s="43"/>
      <c r="PZ14" s="43"/>
      <c r="QA14" s="43">
        <f>NQ14+NS14+NU14+NW14+NY14+OA14+OC14+OE14+OG14+OI14+OK14+OM14+OO14+OQ14+OS14+OU14+OW14+OY14+PA14+PC14+PE14+PG14+PI14+PK14+PM14+PO14+PQ14+PS14+PU14+PW14+PY14</f>
        <v>0</v>
      </c>
      <c r="QB14" s="43">
        <f>NR14+NT14+NV14+NX14+NZ14+OB14+OD14+OF14+OH14+OJ14+OL14+ON14+OP14+OR14+OT14+OV14+OX14+OZ14+PB14+PD14+PF14+PH14+PJ14+PL14+PN14+PP14+PR14+PT14+PV14+PX14+PZ14</f>
        <v>0</v>
      </c>
      <c r="QC14" s="43"/>
      <c r="QD14" s="43"/>
      <c r="QE14" s="43"/>
      <c r="QF14" s="43"/>
      <c r="QG14" s="43"/>
      <c r="QH14" s="43"/>
      <c r="QI14" s="43"/>
      <c r="QJ14" s="43"/>
      <c r="QK14" s="43"/>
      <c r="QL14" s="43"/>
      <c r="QM14" s="43"/>
      <c r="QN14" s="43"/>
      <c r="QO14" s="43"/>
      <c r="QP14" s="43"/>
      <c r="QQ14" s="43"/>
      <c r="QR14" s="43"/>
      <c r="QS14" s="43"/>
      <c r="QT14" s="43"/>
      <c r="QU14" s="43"/>
      <c r="QV14" s="43"/>
      <c r="QW14" s="43"/>
      <c r="QX14" s="43"/>
      <c r="QY14" s="43"/>
      <c r="QZ14" s="43"/>
      <c r="RA14" s="43"/>
      <c r="RB14" s="43"/>
      <c r="RC14" s="43"/>
      <c r="RD14" s="43"/>
      <c r="RE14" s="43"/>
      <c r="RF14" s="43"/>
      <c r="RG14" s="43"/>
      <c r="RH14" s="43"/>
      <c r="RI14" s="43"/>
      <c r="RJ14" s="43"/>
      <c r="RK14" s="43"/>
      <c r="RL14" s="43"/>
      <c r="RM14" s="43"/>
      <c r="RN14" s="43"/>
      <c r="RO14" s="43"/>
      <c r="RP14" s="43"/>
      <c r="RQ14" s="43"/>
      <c r="RR14" s="43"/>
      <c r="RS14" s="43"/>
      <c r="RT14" s="43"/>
      <c r="RU14" s="43"/>
      <c r="RV14" s="43"/>
      <c r="RW14" s="43"/>
      <c r="RX14" s="43"/>
      <c r="RY14" s="43"/>
      <c r="RZ14" s="43"/>
      <c r="SA14" s="43"/>
      <c r="SB14" s="43"/>
      <c r="SC14" s="43"/>
      <c r="SD14" s="43"/>
      <c r="SE14" s="43"/>
      <c r="SF14" s="43"/>
      <c r="SG14" s="43"/>
      <c r="SH14" s="43"/>
      <c r="SI14" s="43"/>
      <c r="SJ14" s="43"/>
      <c r="SK14" s="43"/>
      <c r="SL14" s="43"/>
      <c r="SM14" s="43">
        <f>QC14+QE14+QG14+QI14+QK14+QM14+QO14+QQ14+QS14+QU14+QW14+QY14+RA14+RC14+RE14+RG14+RI14+RK14+RM14+RO14+RQ14+RS14+RU14+RW14+RY14+SA14+SC14+SE14+SG14+SI14+SK14</f>
        <v>0</v>
      </c>
      <c r="SN14" s="43">
        <f>QD14+QF14+QH14+QJ14+QL14+QN14+QP14+QR14+QT14+QV14+QX14+QZ14+RB14+RD14+RF14+RH14+RJ14+RL14+RN14+RP14+RR14+RT14+RV14+RX14+RZ14+SB14+SD14+SF14+SH14+SJ14+SL14</f>
        <v>0</v>
      </c>
      <c r="SO14" s="43"/>
      <c r="SP14" s="43"/>
      <c r="SQ14" s="43"/>
      <c r="SR14" s="43"/>
      <c r="SS14" s="43"/>
      <c r="ST14" s="43"/>
      <c r="SU14" s="43"/>
      <c r="SV14" s="43"/>
      <c r="SW14" s="43"/>
      <c r="SX14" s="43"/>
      <c r="SY14" s="43"/>
      <c r="SZ14" s="43"/>
      <c r="TA14" s="43"/>
      <c r="TB14" s="43"/>
      <c r="TC14" s="43"/>
      <c r="TD14" s="43"/>
      <c r="TE14" s="43"/>
      <c r="TF14" s="43"/>
      <c r="TG14" s="43"/>
      <c r="TH14" s="43"/>
      <c r="TI14" s="43"/>
      <c r="TJ14" s="43"/>
      <c r="TK14" s="43"/>
      <c r="TL14" s="43"/>
      <c r="TM14" s="43"/>
      <c r="TN14" s="43"/>
      <c r="TO14" s="43"/>
      <c r="TP14" s="43"/>
      <c r="TQ14" s="43"/>
      <c r="TR14" s="43"/>
      <c r="TS14" s="43"/>
      <c r="TT14" s="43"/>
      <c r="TU14" s="43"/>
      <c r="TV14" s="43"/>
      <c r="TW14" s="43"/>
      <c r="TX14" s="43"/>
      <c r="TY14" s="43"/>
      <c r="TZ14" s="43"/>
      <c r="UA14" s="43"/>
      <c r="UB14" s="43"/>
      <c r="UC14" s="43"/>
      <c r="UD14" s="43"/>
      <c r="UE14" s="43"/>
      <c r="UF14" s="43"/>
      <c r="UG14" s="43"/>
      <c r="UH14" s="43"/>
      <c r="UI14" s="43"/>
      <c r="UJ14" s="43"/>
      <c r="UK14" s="43"/>
      <c r="UL14" s="43"/>
      <c r="UM14" s="43"/>
      <c r="UN14" s="43"/>
      <c r="UO14" s="43"/>
      <c r="UP14" s="43"/>
      <c r="UQ14" s="43"/>
      <c r="UR14" s="43"/>
      <c r="US14" s="43"/>
      <c r="UT14" s="43"/>
      <c r="UU14" s="43"/>
      <c r="UV14" s="43"/>
      <c r="UW14" s="43">
        <f>SO14+SQ14+SS14+SU14+SW14+SY14+TA14+TC14+TE14+TG14+TI14+TK14+TM14+TO14+TQ14+TS14+TU14+TW14+TY14+UA14+UC14+UE14+UG14+UI14+UK14+UM14+UO14+UQ14+US14+UU14</f>
        <v>0</v>
      </c>
      <c r="UX14" s="43">
        <f>SP14+SR14+ST14+SV14+SX14+SZ14+TB14+TD14+TF14+TH14+TJ14+TL14+TN14+TP14+TR14+TT14+TV14+TX14+TZ14+UB14+UD14+UF14+UH14+UJ14+UL14+UN14+UP14+UR14+UT14+UV14</f>
        <v>0</v>
      </c>
      <c r="UY14" s="43"/>
      <c r="UZ14" s="43"/>
      <c r="VA14" s="43"/>
      <c r="VB14" s="43"/>
      <c r="VC14" s="43"/>
      <c r="VD14" s="43"/>
      <c r="VE14" s="43"/>
      <c r="VF14" s="43"/>
      <c r="VG14" s="43"/>
      <c r="VH14" s="43"/>
      <c r="VI14" s="43"/>
      <c r="VJ14" s="43"/>
      <c r="VK14" s="43"/>
      <c r="VL14" s="43"/>
      <c r="VM14" s="43"/>
      <c r="VN14" s="43"/>
      <c r="VO14" s="43"/>
      <c r="VP14" s="43"/>
      <c r="VQ14" s="43"/>
      <c r="VR14" s="43"/>
      <c r="VS14" s="43"/>
      <c r="VT14" s="43"/>
      <c r="VU14" s="43"/>
      <c r="VV14" s="43"/>
      <c r="VW14" s="43"/>
      <c r="VX14" s="43"/>
      <c r="VY14" s="43"/>
      <c r="VZ14" s="43"/>
      <c r="WA14" s="43"/>
      <c r="WB14" s="43"/>
      <c r="WC14" s="43"/>
      <c r="WD14" s="43"/>
      <c r="WE14" s="43"/>
      <c r="WF14" s="43"/>
      <c r="WG14" s="43"/>
      <c r="WH14" s="43"/>
      <c r="WI14" s="43"/>
      <c r="WJ14" s="43"/>
      <c r="WK14" s="43"/>
      <c r="WL14" s="43"/>
      <c r="WM14" s="43"/>
      <c r="WN14" s="43"/>
      <c r="WO14" s="43"/>
      <c r="WP14" s="43"/>
      <c r="WQ14" s="43"/>
      <c r="WR14" s="43"/>
      <c r="WS14" s="43"/>
      <c r="WT14" s="43"/>
      <c r="WU14" s="43"/>
      <c r="WV14" s="43"/>
      <c r="WW14" s="43"/>
      <c r="WX14" s="43"/>
      <c r="WY14" s="43"/>
      <c r="WZ14" s="43"/>
      <c r="XA14" s="43"/>
      <c r="XB14" s="43"/>
      <c r="XC14" s="43"/>
      <c r="XD14" s="43"/>
      <c r="XE14" s="43"/>
      <c r="XF14" s="43"/>
      <c r="XG14" s="43"/>
      <c r="XH14" s="43"/>
      <c r="XI14" s="43">
        <f>UY14+VA14+VC14+VE14+VG14+VI14+VK14+VM14+VO14+VQ14+VS14+VU14+VW14+VY14+WA14+WC14+WE14+WG14+WI14+WK14+WM14+WO14+WQ14+WS14+WU14+WW14+WY14+XA14+XC14+XE14+XG14</f>
        <v>0</v>
      </c>
      <c r="XJ14" s="43">
        <f>UZ14+VB14+VD14+VF14+VH14+VJ14+VL14+VN14+VP14+VR14+VT14+VV14+VX14+VZ14+WB14+WD14+WF14+WH14+WJ14+WL14+WN14+WP14+WR14+WT14+WV14+WX14+WZ14+XB14+XD14+XF14+XH14</f>
        <v>0</v>
      </c>
      <c r="XK14" s="43"/>
      <c r="XL14" s="43"/>
      <c r="XM14" s="43"/>
      <c r="XN14" s="43"/>
      <c r="XO14" s="43"/>
      <c r="XP14" s="43"/>
      <c r="XQ14" s="43"/>
      <c r="XR14" s="43"/>
      <c r="XS14" s="43"/>
      <c r="XT14" s="43"/>
      <c r="XU14" s="43"/>
      <c r="XV14" s="43"/>
      <c r="XW14" s="43"/>
      <c r="XX14" s="43"/>
      <c r="XY14" s="43"/>
      <c r="XZ14" s="43"/>
      <c r="YA14" s="43"/>
      <c r="YB14" s="43"/>
      <c r="YC14" s="43"/>
      <c r="YD14" s="43"/>
      <c r="YE14" s="43"/>
      <c r="YF14" s="43"/>
      <c r="YG14" s="43"/>
      <c r="YH14" s="43"/>
      <c r="YI14" s="43"/>
      <c r="YJ14" s="43"/>
      <c r="YK14" s="43"/>
      <c r="YL14" s="43"/>
      <c r="YM14" s="43"/>
      <c r="YN14" s="43"/>
      <c r="YO14" s="43"/>
      <c r="YP14" s="43"/>
      <c r="YQ14" s="43"/>
      <c r="YR14" s="43"/>
      <c r="YS14" s="43"/>
      <c r="YT14" s="43"/>
      <c r="YU14" s="43"/>
      <c r="YV14" s="43"/>
      <c r="YW14" s="43"/>
      <c r="YX14" s="43"/>
      <c r="YY14" s="43"/>
      <c r="YZ14" s="43"/>
      <c r="ZA14" s="43"/>
      <c r="ZB14" s="43"/>
      <c r="ZC14" s="43"/>
      <c r="ZD14" s="43"/>
      <c r="ZE14" s="43"/>
      <c r="ZF14" s="43"/>
      <c r="ZG14" s="43"/>
      <c r="ZH14" s="43"/>
      <c r="ZI14" s="43"/>
      <c r="ZJ14" s="43"/>
      <c r="ZK14" s="43"/>
      <c r="ZL14" s="43"/>
      <c r="ZM14" s="43"/>
      <c r="ZN14" s="43"/>
      <c r="ZO14" s="43"/>
      <c r="ZP14" s="43"/>
      <c r="ZQ14" s="43"/>
      <c r="ZR14" s="43"/>
      <c r="ZS14" s="43">
        <f>XK14+XM14+XO14+XQ14+XS14+XU14+XW14+XY14+YA14+YC14+YE14+YG14+YI14+YK14+YM14+YO14+YQ14+YS14+YU14+YW14+YY14+ZA14+ZC14+ZE14+ZG14+ZI14+ZK14+ZM14+ZO14+ZQ14</f>
        <v>0</v>
      </c>
      <c r="ZT14" s="43">
        <f>XL14+XN14+XP14+XR14+XT14+XV14+XX14+XZ14+YB14+YD14+YF14+YH14+YJ14+YL14+YN14+YP14+YR14+YT14+YV14+YX14+YZ14+ZB14+ZD14+ZF14+ZH14+ZJ14+ZL14+ZN14+ZP14+ZR14</f>
        <v>0</v>
      </c>
      <c r="ZU14" s="43"/>
      <c r="ZV14" s="43"/>
      <c r="ZW14" s="43"/>
      <c r="ZX14" s="43"/>
      <c r="ZY14" s="43"/>
      <c r="ZZ14" s="43"/>
      <c r="AAA14" s="43"/>
      <c r="AAB14" s="43"/>
      <c r="AAC14" s="43"/>
      <c r="AAD14" s="43"/>
      <c r="AAE14" s="43"/>
      <c r="AAF14" s="43"/>
      <c r="AAG14" s="43"/>
      <c r="AAH14" s="43"/>
      <c r="AAI14" s="43"/>
      <c r="AAJ14" s="43"/>
      <c r="AAK14" s="43"/>
      <c r="AAL14" s="43"/>
      <c r="AAM14" s="43"/>
      <c r="AAN14" s="43"/>
      <c r="AAO14" s="43"/>
      <c r="AAP14" s="43"/>
      <c r="AAQ14" s="43"/>
      <c r="AAR14" s="43"/>
      <c r="AAS14" s="43"/>
      <c r="AAT14" s="43"/>
      <c r="AAU14" s="43"/>
      <c r="AAV14" s="43"/>
      <c r="AAW14" s="43"/>
      <c r="AAX14" s="43"/>
      <c r="AAY14" s="43"/>
      <c r="AAZ14" s="43"/>
      <c r="ABA14" s="43"/>
      <c r="ABB14" s="43"/>
      <c r="ABC14" s="43"/>
      <c r="ABD14" s="43"/>
      <c r="ABE14" s="43"/>
      <c r="ABF14" s="43"/>
      <c r="ABG14" s="43"/>
      <c r="ABH14" s="43"/>
      <c r="ABI14" s="43"/>
      <c r="ABJ14" s="43"/>
      <c r="ABK14" s="43"/>
      <c r="ABL14" s="43"/>
      <c r="ABM14" s="43"/>
      <c r="ABN14" s="43"/>
      <c r="ABO14" s="43"/>
      <c r="ABP14" s="43"/>
      <c r="ABQ14" s="43"/>
      <c r="ABR14" s="43"/>
      <c r="ABS14" s="43"/>
      <c r="ABT14" s="43"/>
      <c r="ABU14" s="43"/>
      <c r="ABV14" s="43"/>
      <c r="ABW14" s="43"/>
      <c r="ABX14" s="43"/>
      <c r="ABY14" s="43"/>
      <c r="ABZ14" s="43"/>
      <c r="ACA14" s="43"/>
      <c r="ACB14" s="43"/>
      <c r="ACC14" s="43"/>
      <c r="ACD14" s="44"/>
      <c r="ACE14" s="43">
        <f>ZU14+ZW14+ZY14+AAA14+AAC14+AAE14+AAG14+AAI14+AAK14+AAM14+AAO14+AAQ14+AAS14+AAU14+AAW14+AAY14+ABA14+ABC14+ABE14+ABG14+ABI14+ABK14+ABM14+ABO14+ABQ14+ABS14+ABU14+ABW14+ABY14+ACA14+ACC14</f>
        <v>0</v>
      </c>
      <c r="ACF14" s="43"/>
      <c r="ACG14" s="43">
        <f>BO14+DW14+GI14+IS14+LE14+NO14+QA14+SM14+UW14+XI14+ZS14+ACE14</f>
        <v>0</v>
      </c>
      <c r="ACH14" s="54"/>
      <c r="ACI14" s="71" t="s">
        <v>213</v>
      </c>
      <c r="ACJ14" s="71" t="s">
        <v>87</v>
      </c>
    </row>
    <row r="15" spans="1:764" x14ac:dyDescent="0.25">
      <c r="A15" s="162"/>
      <c r="B15" s="152"/>
      <c r="C15" s="155"/>
      <c r="D15" s="50" t="s">
        <v>7</v>
      </c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24" cm="1">
        <f t="array" ref="BO15">SUMPRODUCT(E15:BM15,--(E$2:BM$2=BO$2))</f>
        <v>0</v>
      </c>
      <c r="BP15" s="24" cm="1">
        <f t="array" ref="BP15">SUMPRODUCT(F15:BN15,--(F$2:BN$2=BP$2))</f>
        <v>0</v>
      </c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 cm="1">
        <f t="array" ref="DW15">SUMPRODUCT(BQ15:DU15,--(BQ$2:DU$2=DW$2))</f>
        <v>0</v>
      </c>
      <c r="DX15" s="24" cm="1">
        <f t="array" ref="DX15">SUMPRODUCT(BR15:DV15,--(BR$2:DV$2=DX$2))</f>
        <v>0</v>
      </c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/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24"/>
      <c r="GG15" s="24"/>
      <c r="GH15" s="24"/>
      <c r="GI15" s="24" cm="1">
        <f t="array" ref="GI15">SUMPRODUCT(DY15:GG15,--(DY$2:GG$2=GI$2))</f>
        <v>0</v>
      </c>
      <c r="GJ15" s="24" cm="1">
        <f t="array" ref="GJ15">SUMPRODUCT(DZ15:GH15,--(DZ$2:GH$2=GJ$2))</f>
        <v>0</v>
      </c>
      <c r="GK15" s="24"/>
      <c r="GL15" s="24"/>
      <c r="GM15" s="24"/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>
        <f t="shared" ref="IS15:IS23" si="88">GK15+GM15+GO15+GQ15+GS15+GU15+GW15+GY15+HA15+HC15+HE15+HG15+HI15+HK15+HM15+HO15+HQ15+HS15+HU15+HW15+HY15+IA15+IC15+IE15+IG15+II15+IK15+IM15+IO15+IQ15</f>
        <v>0</v>
      </c>
      <c r="IT15" s="24">
        <f t="shared" ref="IT15:IT23" si="89">GL15+GN15+GP15+GR15+GT15+GV15+GX15+GZ15+HB15+HD15+HF15+HH15+HJ15+HL15+HN15+HP15+HR15+HT15+HV15+HX15+HZ15+IB15+ID15+IF15+IH15+IJ15+IL15+IN15+IP15+IR15</f>
        <v>0</v>
      </c>
      <c r="IU15" s="24"/>
      <c r="IV15" s="24"/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24"/>
      <c r="JR15" s="24"/>
      <c r="JS15" s="24"/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24"/>
      <c r="KO15" s="24"/>
      <c r="KP15" s="24"/>
      <c r="KQ15" s="24"/>
      <c r="KR15" s="24"/>
      <c r="KS15" s="24"/>
      <c r="KT15" s="24"/>
      <c r="KU15" s="24"/>
      <c r="KV15" s="24"/>
      <c r="KW15" s="24"/>
      <c r="KX15" s="24"/>
      <c r="KY15" s="24"/>
      <c r="KZ15" s="24"/>
      <c r="LA15" s="24"/>
      <c r="LB15" s="24"/>
      <c r="LC15" s="24"/>
      <c r="LD15" s="24"/>
      <c r="LE15" s="24">
        <f t="shared" ref="LE15:LE23" si="90">IU15+IW15+IY15+JA15+JC15+JE15+JG15+JI15+JK15+JM15+JO15+JQ15+JS15+JU15+JW15+JY15+KA15+KC15+KE15+KG15+KI15+KK15+KM15+KO15+KQ15+KS15+KU15+KW15+KY15+LA15+LC15</f>
        <v>0</v>
      </c>
      <c r="LF15" s="24">
        <f t="shared" ref="LF15:LF23" si="91">IV15+IX15+IZ15+JB15+JD15+JF15+JH15+JJ15+JL15+JN15+JP15+JR15+JT15+JV15+JX15+JZ15+KB15+KD15+KF15+KH15+KJ15+KL15+KN15+KP15+KR15+KT15+KV15+KX15+KZ15+LB15+LD15</f>
        <v>0</v>
      </c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24"/>
      <c r="MS15" s="24"/>
      <c r="MT15" s="24"/>
      <c r="MU15" s="24"/>
      <c r="MV15" s="24"/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>
        <f t="shared" ref="NO15:NO23" si="92">LG15+LI15+LK15+LM15+LO15+LQ15+LS15+LU15+LW15+LY15+MA15+MC15+ME15+MG15+MI15+MK15+MM15+MO15+MQ15+MS15+MU15+MW15+MY15+NA15+NC15+NE15+NG15+NI15+NK15+NM15</f>
        <v>0</v>
      </c>
      <c r="NP15" s="24">
        <f t="shared" ref="NP15:NP23" si="93">LH15+LJ15+LL15+LN15+LP15+LR15+LT15+LV15+LX15+LZ15+MB15+MD15+MF15+MH15+MJ15+ML15+MN15+MP15+MR15+MT15+MV15+MX15+MZ15+NB15+ND15+NF15+NH15+NJ15+NL15+NN15</f>
        <v>0</v>
      </c>
      <c r="NQ15" s="24"/>
      <c r="NR15" s="24"/>
      <c r="NS15" s="24"/>
      <c r="NT15" s="24"/>
      <c r="NU15" s="24"/>
      <c r="NV15" s="24"/>
      <c r="NW15" s="24"/>
      <c r="NX15" s="24"/>
      <c r="NY15" s="24"/>
      <c r="NZ15" s="24"/>
      <c r="OA15" s="24"/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24"/>
      <c r="OW15" s="24"/>
      <c r="OX15" s="24"/>
      <c r="OY15" s="24"/>
      <c r="OZ15" s="24"/>
      <c r="PA15" s="24"/>
      <c r="PB15" s="24"/>
      <c r="PC15" s="24"/>
      <c r="PD15" s="24"/>
      <c r="PE15" s="24"/>
      <c r="PF15" s="24"/>
      <c r="PG15" s="24"/>
      <c r="PH15" s="24"/>
      <c r="PI15" s="24"/>
      <c r="PJ15" s="24"/>
      <c r="PK15" s="24"/>
      <c r="PL15" s="24"/>
      <c r="PM15" s="24"/>
      <c r="PN15" s="24"/>
      <c r="PO15" s="24"/>
      <c r="PP15" s="24"/>
      <c r="PQ15" s="24"/>
      <c r="PR15" s="24"/>
      <c r="PS15" s="24"/>
      <c r="PT15" s="24"/>
      <c r="PU15" s="24"/>
      <c r="PV15" s="24"/>
      <c r="PW15" s="24"/>
      <c r="PX15" s="24"/>
      <c r="PY15" s="24"/>
      <c r="PZ15" s="24"/>
      <c r="QA15" s="24">
        <f t="shared" ref="QA15:QA23" si="94">NQ15+NS15+NU15+NW15+NY15+OA15+OC15+OE15+OG15+OI15+OK15+OM15+OO15+OQ15+OS15+OU15+OW15+OY15+PA15+PC15+PE15+PG15+PI15+PK15+PM15+PO15+PQ15+PS15+PU15+PW15+PY15</f>
        <v>0</v>
      </c>
      <c r="QB15" s="24">
        <f t="shared" ref="QB15:QB23" si="95">NR15+NT15+NV15+NX15+NZ15+OB15+OD15+OF15+OH15+OJ15+OL15+ON15+OP15+OR15+OT15+OV15+OX15+OZ15+PB15+PD15+PF15+PH15+PJ15+PL15+PN15+PP15+PR15+PT15+PV15+PX15+PZ15</f>
        <v>0</v>
      </c>
      <c r="QC15" s="24"/>
      <c r="QD15" s="24"/>
      <c r="QE15" s="24"/>
      <c r="QF15" s="24"/>
      <c r="QG15" s="24"/>
      <c r="QH15" s="24"/>
      <c r="QI15" s="24"/>
      <c r="QJ15" s="24"/>
      <c r="QK15" s="24"/>
      <c r="QL15" s="24"/>
      <c r="QM15" s="24"/>
      <c r="QN15" s="24"/>
      <c r="QO15" s="24"/>
      <c r="QP15" s="24"/>
      <c r="QQ15" s="24"/>
      <c r="QR15" s="24"/>
      <c r="QS15" s="24"/>
      <c r="QT15" s="24"/>
      <c r="QU15" s="24"/>
      <c r="QV15" s="24"/>
      <c r="QW15" s="24"/>
      <c r="QX15" s="24"/>
      <c r="QY15" s="24"/>
      <c r="QZ15" s="24"/>
      <c r="RA15" s="24"/>
      <c r="RB15" s="24"/>
      <c r="RC15" s="24"/>
      <c r="RD15" s="24"/>
      <c r="RE15" s="24"/>
      <c r="RF15" s="24"/>
      <c r="RG15" s="24"/>
      <c r="RH15" s="24"/>
      <c r="RI15" s="24"/>
      <c r="RJ15" s="24"/>
      <c r="RK15" s="24"/>
      <c r="RL15" s="24"/>
      <c r="RM15" s="24"/>
      <c r="RN15" s="24"/>
      <c r="RO15" s="24"/>
      <c r="RP15" s="24"/>
      <c r="RQ15" s="24"/>
      <c r="RR15" s="24"/>
      <c r="RS15" s="24"/>
      <c r="RT15" s="24"/>
      <c r="RU15" s="24"/>
      <c r="RV15" s="24"/>
      <c r="RW15" s="24"/>
      <c r="RX15" s="24"/>
      <c r="RY15" s="24"/>
      <c r="RZ15" s="24"/>
      <c r="SA15" s="24"/>
      <c r="SB15" s="24"/>
      <c r="SC15" s="24"/>
      <c r="SD15" s="24"/>
      <c r="SE15" s="24"/>
      <c r="SF15" s="24"/>
      <c r="SG15" s="24"/>
      <c r="SH15" s="24"/>
      <c r="SI15" s="24"/>
      <c r="SJ15" s="24"/>
      <c r="SK15" s="24"/>
      <c r="SL15" s="24"/>
      <c r="SM15" s="24">
        <f t="shared" ref="SM15:SM23" si="96">QC15+QE15+QG15+QI15+QK15+QM15+QO15+QQ15+QS15+QU15+QW15+QY15+RA15+RC15+RE15+RG15+RI15+RK15+RM15+RO15+RQ15+RS15+RU15+RW15+RY15+SA15+SC15+SE15+SG15+SI15+SK15</f>
        <v>0</v>
      </c>
      <c r="SN15" s="24">
        <f t="shared" ref="SN15:SN23" si="97">QD15+QF15+QH15+QJ15+QL15+QN15+QP15+QR15+QT15+QV15+QX15+QZ15+RB15+RD15+RF15+RH15+RJ15+RL15+RN15+RP15+RR15+RT15+RV15+RX15+RZ15+SB15+SD15+SF15+SH15+SJ15+SL15</f>
        <v>0</v>
      </c>
      <c r="SO15" s="24"/>
      <c r="SP15" s="24"/>
      <c r="SQ15" s="24"/>
      <c r="SR15" s="24"/>
      <c r="SS15" s="24"/>
      <c r="ST15" s="24"/>
      <c r="SU15" s="24"/>
      <c r="SV15" s="24"/>
      <c r="SW15" s="24"/>
      <c r="SX15" s="24"/>
      <c r="SY15" s="24"/>
      <c r="SZ15" s="24"/>
      <c r="TA15" s="24"/>
      <c r="TB15" s="24"/>
      <c r="TC15" s="24"/>
      <c r="TD15" s="24"/>
      <c r="TE15" s="24"/>
      <c r="TF15" s="24"/>
      <c r="TG15" s="24"/>
      <c r="TH15" s="24"/>
      <c r="TI15" s="24"/>
      <c r="TJ15" s="24"/>
      <c r="TK15" s="24"/>
      <c r="TL15" s="24"/>
      <c r="TM15" s="24"/>
      <c r="TN15" s="24"/>
      <c r="TO15" s="24"/>
      <c r="TP15" s="24"/>
      <c r="TQ15" s="24"/>
      <c r="TR15" s="24"/>
      <c r="TS15" s="24"/>
      <c r="TT15" s="24"/>
      <c r="TU15" s="24"/>
      <c r="TV15" s="24"/>
      <c r="TW15" s="24"/>
      <c r="TX15" s="24"/>
      <c r="TY15" s="24"/>
      <c r="TZ15" s="24"/>
      <c r="UA15" s="24"/>
      <c r="UB15" s="24"/>
      <c r="UC15" s="24"/>
      <c r="UD15" s="24"/>
      <c r="UE15" s="24"/>
      <c r="UF15" s="24"/>
      <c r="UG15" s="24"/>
      <c r="UH15" s="24"/>
      <c r="UI15" s="24"/>
      <c r="UJ15" s="24"/>
      <c r="UK15" s="24"/>
      <c r="UL15" s="24"/>
      <c r="UM15" s="24"/>
      <c r="UN15" s="24"/>
      <c r="UO15" s="24"/>
      <c r="UP15" s="24"/>
      <c r="UQ15" s="24"/>
      <c r="UR15" s="24"/>
      <c r="US15" s="24"/>
      <c r="UT15" s="24"/>
      <c r="UU15" s="24"/>
      <c r="UV15" s="24"/>
      <c r="UW15" s="24">
        <f t="shared" ref="UW15:UW23" si="98">SO15+SQ15+SS15+SU15+SW15+SY15+TA15+TC15+TE15+TG15+TI15+TK15+TM15+TO15+TQ15+TS15+TU15+TW15+TY15+UA15+UC15+UE15+UG15+UI15+UK15+UM15+UO15+UQ15+US15+UU15</f>
        <v>0</v>
      </c>
      <c r="UX15" s="24">
        <f t="shared" ref="UX15:UX23" si="99">SP15+SR15+ST15+SV15+SX15+SZ15+TB15+TD15+TF15+TH15+TJ15+TL15+TN15+TP15+TR15+TT15+TV15+TX15+TZ15+UB15+UD15+UF15+UH15+UJ15+UL15+UN15+UP15+UR15+UT15+UV15</f>
        <v>0</v>
      </c>
      <c r="UY15" s="24"/>
      <c r="UZ15" s="24"/>
      <c r="VA15" s="24"/>
      <c r="VB15" s="24"/>
      <c r="VC15" s="24"/>
      <c r="VD15" s="24"/>
      <c r="VE15" s="24"/>
      <c r="VF15" s="24"/>
      <c r="VG15" s="24"/>
      <c r="VH15" s="24"/>
      <c r="VI15" s="24"/>
      <c r="VJ15" s="24"/>
      <c r="VK15" s="24"/>
      <c r="VL15" s="24"/>
      <c r="VM15" s="24"/>
      <c r="VN15" s="24"/>
      <c r="VO15" s="24"/>
      <c r="VP15" s="24"/>
      <c r="VQ15" s="24"/>
      <c r="VR15" s="24"/>
      <c r="VS15" s="24"/>
      <c r="VT15" s="24"/>
      <c r="VU15" s="24"/>
      <c r="VV15" s="24"/>
      <c r="VW15" s="24"/>
      <c r="VX15" s="24"/>
      <c r="VY15" s="24"/>
      <c r="VZ15" s="24"/>
      <c r="WA15" s="24"/>
      <c r="WB15" s="24"/>
      <c r="WC15" s="24"/>
      <c r="WD15" s="24"/>
      <c r="WE15" s="24"/>
      <c r="WF15" s="24"/>
      <c r="WG15" s="24"/>
      <c r="WH15" s="24"/>
      <c r="WI15" s="24"/>
      <c r="WJ15" s="24"/>
      <c r="WK15" s="24"/>
      <c r="WL15" s="24"/>
      <c r="WM15" s="24"/>
      <c r="WN15" s="24"/>
      <c r="WO15" s="24"/>
      <c r="WP15" s="24"/>
      <c r="WQ15" s="24"/>
      <c r="WR15" s="24"/>
      <c r="WS15" s="24"/>
      <c r="WT15" s="24"/>
      <c r="WU15" s="24"/>
      <c r="WV15" s="24"/>
      <c r="WW15" s="24"/>
      <c r="WX15" s="24"/>
      <c r="WY15" s="24"/>
      <c r="WZ15" s="24"/>
      <c r="XA15" s="24"/>
      <c r="XB15" s="24"/>
      <c r="XC15" s="24"/>
      <c r="XD15" s="24"/>
      <c r="XE15" s="24"/>
      <c r="XF15" s="24"/>
      <c r="XG15" s="24"/>
      <c r="XH15" s="24"/>
      <c r="XI15" s="24">
        <f t="shared" ref="XI15:XI23" si="100">UY15+VA15+VC15+VE15+VG15+VI15+VK15+VM15+VO15+VQ15+VS15+VU15+VW15+VY15+WA15+WC15+WE15+WG15+WI15+WK15+WM15+WO15+WQ15+WS15+WU15+WW15+WY15+XA15+XC15+XE15+XG15</f>
        <v>0</v>
      </c>
      <c r="XJ15" s="24">
        <f t="shared" ref="XJ15:XJ23" si="101">UZ15+VB15+VD15+VF15+VH15+VJ15+VL15+VN15+VP15+VR15+VT15+VV15+VX15+VZ15+WB15+WD15+WF15+WH15+WJ15+WL15+WN15+WP15+WR15+WT15+WV15+WX15+WZ15+XB15+XD15+XF15+XH15</f>
        <v>0</v>
      </c>
      <c r="XK15" s="24"/>
      <c r="XL15" s="24"/>
      <c r="XM15" s="24"/>
      <c r="XN15" s="24"/>
      <c r="XO15" s="24"/>
      <c r="XP15" s="24"/>
      <c r="XQ15" s="24"/>
      <c r="XR15" s="24"/>
      <c r="XS15" s="24"/>
      <c r="XT15" s="24"/>
      <c r="XU15" s="24"/>
      <c r="XV15" s="24"/>
      <c r="XW15" s="24"/>
      <c r="XX15" s="24"/>
      <c r="XY15" s="24"/>
      <c r="XZ15" s="24"/>
      <c r="YA15" s="24"/>
      <c r="YB15" s="24"/>
      <c r="YC15" s="24"/>
      <c r="YD15" s="24"/>
      <c r="YE15" s="24"/>
      <c r="YF15" s="24"/>
      <c r="YG15" s="24"/>
      <c r="YH15" s="24"/>
      <c r="YI15" s="24"/>
      <c r="YJ15" s="24"/>
      <c r="YK15" s="24"/>
      <c r="YL15" s="24"/>
      <c r="YM15" s="24"/>
      <c r="YN15" s="24"/>
      <c r="YO15" s="24"/>
      <c r="YP15" s="24"/>
      <c r="YQ15" s="24"/>
      <c r="YR15" s="24"/>
      <c r="YS15" s="24"/>
      <c r="YT15" s="24"/>
      <c r="YU15" s="24"/>
      <c r="YV15" s="24"/>
      <c r="YW15" s="24"/>
      <c r="YX15" s="24"/>
      <c r="YY15" s="24"/>
      <c r="YZ15" s="24"/>
      <c r="ZA15" s="24"/>
      <c r="ZB15" s="24"/>
      <c r="ZC15" s="24"/>
      <c r="ZD15" s="24"/>
      <c r="ZE15" s="24"/>
      <c r="ZF15" s="24"/>
      <c r="ZG15" s="24"/>
      <c r="ZH15" s="24"/>
      <c r="ZI15" s="24"/>
      <c r="ZJ15" s="24"/>
      <c r="ZK15" s="24"/>
      <c r="ZL15" s="24"/>
      <c r="ZM15" s="24"/>
      <c r="ZN15" s="24"/>
      <c r="ZO15" s="24"/>
      <c r="ZP15" s="24"/>
      <c r="ZQ15" s="24"/>
      <c r="ZR15" s="24"/>
      <c r="ZS15" s="24">
        <f t="shared" ref="ZS15:ZS23" si="102">XK15+XM15+XO15+XQ15+XS15+XU15+XW15+XY15+YA15+YC15+YE15+YG15+YI15+YK15+YM15+YO15+YQ15+YS15+YU15+YW15+YY15+ZA15+ZC15+ZE15+ZG15+ZI15+ZK15+ZM15+ZO15+ZQ15</f>
        <v>0</v>
      </c>
      <c r="ZT15" s="24">
        <f t="shared" ref="ZT15:ZT23" si="103">XL15+XN15+XP15+XR15+XT15+XV15+XX15+XZ15+YB15+YD15+YF15+YH15+YJ15+YL15+YN15+YP15+YR15+YT15+YV15+YX15+YZ15+ZB15+ZD15+ZF15+ZH15+ZJ15+ZL15+ZN15+ZP15+ZR15</f>
        <v>0</v>
      </c>
      <c r="ZU15" s="24"/>
      <c r="ZV15" s="24"/>
      <c r="ZW15" s="24"/>
      <c r="ZX15" s="24"/>
      <c r="ZY15" s="24"/>
      <c r="ZZ15" s="24"/>
      <c r="AAA15" s="24"/>
      <c r="AAB15" s="24"/>
      <c r="AAC15" s="24"/>
      <c r="AAD15" s="24"/>
      <c r="AAE15" s="24"/>
      <c r="AAF15" s="24"/>
      <c r="AAG15" s="24"/>
      <c r="AAH15" s="24"/>
      <c r="AAI15" s="24"/>
      <c r="AAJ15" s="24"/>
      <c r="AAK15" s="24"/>
      <c r="AAL15" s="24"/>
      <c r="AAM15" s="24"/>
      <c r="AAN15" s="24"/>
      <c r="AAO15" s="24"/>
      <c r="AAP15" s="24"/>
      <c r="AAQ15" s="24"/>
      <c r="AAR15" s="24"/>
      <c r="AAS15" s="24"/>
      <c r="AAT15" s="24"/>
      <c r="AAU15" s="24"/>
      <c r="AAV15" s="24"/>
      <c r="AAW15" s="24"/>
      <c r="AAX15" s="24"/>
      <c r="AAY15" s="24"/>
      <c r="AAZ15" s="24"/>
      <c r="ABA15" s="24"/>
      <c r="ABB15" s="24"/>
      <c r="ABC15" s="24"/>
      <c r="ABD15" s="24"/>
      <c r="ABE15" s="24"/>
      <c r="ABF15" s="24"/>
      <c r="ABG15" s="24"/>
      <c r="ABH15" s="24"/>
      <c r="ABI15" s="24"/>
      <c r="ABJ15" s="24"/>
      <c r="ABK15" s="24"/>
      <c r="ABL15" s="24"/>
      <c r="ABM15" s="24"/>
      <c r="ABN15" s="24"/>
      <c r="ABO15" s="24"/>
      <c r="ABP15" s="24"/>
      <c r="ABQ15" s="24"/>
      <c r="ABR15" s="24"/>
      <c r="ABS15" s="24"/>
      <c r="ABT15" s="24"/>
      <c r="ABU15" s="24"/>
      <c r="ABV15" s="24"/>
      <c r="ABW15" s="24"/>
      <c r="ABX15" s="24"/>
      <c r="ABY15" s="24"/>
      <c r="ABZ15" s="24"/>
      <c r="ACA15" s="24"/>
      <c r="ACB15" s="24"/>
      <c r="ACC15" s="24"/>
      <c r="ACD15" s="24"/>
      <c r="ACE15" s="24">
        <f t="shared" ref="ACE15:ACE23" si="104">ZU15+ZW15+ZY15+AAA15+AAC15+AAE15+AAG15+AAI15+AAK15+AAM15+AAO15+AAQ15+AAS15+AAU15+AAW15+AAY15+ABA15+ABC15+ABE15+ABG15+ABI15+ABK15+ABM15+ABO15+ABQ15+ABS15+ABU15+ABW15+ABY15+ACA15+ACC15</f>
        <v>0</v>
      </c>
      <c r="ACF15" s="24"/>
      <c r="ACG15" s="24">
        <f t="shared" ref="ACG15:ACG23" si="105">BO15+DW15+GI15+IS15+LE15+NO15+QA15+SM15+UW15+XI15+ZS15+ACE15</f>
        <v>0</v>
      </c>
      <c r="ACH15" s="25"/>
      <c r="ACI15" s="71" t="s">
        <v>214</v>
      </c>
      <c r="ACJ15" s="71" t="s">
        <v>87</v>
      </c>
    </row>
    <row r="16" spans="1:764" x14ac:dyDescent="0.25">
      <c r="A16" s="162"/>
      <c r="B16" s="152"/>
      <c r="C16" s="155"/>
      <c r="D16" s="50" t="s">
        <v>4</v>
      </c>
      <c r="E16" s="74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24" cm="1">
        <f t="array" ref="BO16">SUMPRODUCT(E16:BM16,--(E$2:BM$2=BO$2))</f>
        <v>0</v>
      </c>
      <c r="BP16" s="24" cm="1">
        <f t="array" ref="BP16">SUMPRODUCT(F16:BN16,--(F$2:BN$2=BP$2))</f>
        <v>0</v>
      </c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 cm="1">
        <f t="array" ref="DW16">SUMPRODUCT(BQ16:DU16,--(BQ$2:DU$2=DW$2))</f>
        <v>0</v>
      </c>
      <c r="DX16" s="24" cm="1">
        <f t="array" ref="DX16">SUMPRODUCT(BR16:DV16,--(BR$2:DV$2=DX$2))</f>
        <v>0</v>
      </c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24"/>
      <c r="GG16" s="24"/>
      <c r="GH16" s="24"/>
      <c r="GI16" s="24" cm="1">
        <f t="array" ref="GI16">SUMPRODUCT(DY16:GG16,--(DY$2:GG$2=GI$2))</f>
        <v>0</v>
      </c>
      <c r="GJ16" s="24" cm="1">
        <f t="array" ref="GJ16">SUMPRODUCT(DZ16:GH16,--(DZ$2:GH$2=GJ$2))</f>
        <v>0</v>
      </c>
      <c r="GK16" s="24"/>
      <c r="GL16" s="24"/>
      <c r="GM16" s="24"/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>
        <f t="shared" si="88"/>
        <v>0</v>
      </c>
      <c r="IT16" s="24">
        <f t="shared" si="89"/>
        <v>0</v>
      </c>
      <c r="IU16" s="24"/>
      <c r="IV16" s="24"/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24"/>
      <c r="JR16" s="24"/>
      <c r="JS16" s="24"/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24"/>
      <c r="KO16" s="24"/>
      <c r="KP16" s="24"/>
      <c r="KQ16" s="24"/>
      <c r="KR16" s="24"/>
      <c r="KS16" s="24"/>
      <c r="KT16" s="24"/>
      <c r="KU16" s="24"/>
      <c r="KV16" s="24"/>
      <c r="KW16" s="24"/>
      <c r="KX16" s="24"/>
      <c r="KY16" s="24"/>
      <c r="KZ16" s="24"/>
      <c r="LA16" s="24"/>
      <c r="LB16" s="24"/>
      <c r="LC16" s="24"/>
      <c r="LD16" s="24"/>
      <c r="LE16" s="24">
        <f t="shared" si="90"/>
        <v>0</v>
      </c>
      <c r="LF16" s="24">
        <f t="shared" si="91"/>
        <v>0</v>
      </c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24"/>
      <c r="MS16" s="24"/>
      <c r="MT16" s="24"/>
      <c r="MU16" s="24"/>
      <c r="MV16" s="24"/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>
        <f t="shared" si="92"/>
        <v>0</v>
      </c>
      <c r="NP16" s="24">
        <f t="shared" si="93"/>
        <v>0</v>
      </c>
      <c r="NQ16" s="24"/>
      <c r="NR16" s="24"/>
      <c r="NS16" s="24"/>
      <c r="NT16" s="24"/>
      <c r="NU16" s="24"/>
      <c r="NV16" s="24"/>
      <c r="NW16" s="24"/>
      <c r="NX16" s="24"/>
      <c r="NY16" s="24"/>
      <c r="NZ16" s="24"/>
      <c r="OA16" s="24"/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24"/>
      <c r="OW16" s="24"/>
      <c r="OX16" s="24"/>
      <c r="OY16" s="24"/>
      <c r="OZ16" s="24"/>
      <c r="PA16" s="24"/>
      <c r="PB16" s="24"/>
      <c r="PC16" s="24"/>
      <c r="PD16" s="24"/>
      <c r="PE16" s="24"/>
      <c r="PF16" s="24"/>
      <c r="PG16" s="24"/>
      <c r="PH16" s="24"/>
      <c r="PI16" s="24"/>
      <c r="PJ16" s="24"/>
      <c r="PK16" s="24"/>
      <c r="PL16" s="24"/>
      <c r="PM16" s="24"/>
      <c r="PN16" s="24"/>
      <c r="PO16" s="24"/>
      <c r="PP16" s="24"/>
      <c r="PQ16" s="24"/>
      <c r="PR16" s="24"/>
      <c r="PS16" s="24"/>
      <c r="PT16" s="24"/>
      <c r="PU16" s="24"/>
      <c r="PV16" s="24"/>
      <c r="PW16" s="24"/>
      <c r="PX16" s="24"/>
      <c r="PY16" s="24"/>
      <c r="PZ16" s="24"/>
      <c r="QA16" s="24">
        <f t="shared" si="94"/>
        <v>0</v>
      </c>
      <c r="QB16" s="24">
        <f t="shared" si="95"/>
        <v>0</v>
      </c>
      <c r="QC16" s="24"/>
      <c r="QD16" s="24"/>
      <c r="QE16" s="24"/>
      <c r="QF16" s="24"/>
      <c r="QG16" s="24"/>
      <c r="QH16" s="24"/>
      <c r="QI16" s="24"/>
      <c r="QJ16" s="24"/>
      <c r="QK16" s="24"/>
      <c r="QL16" s="24"/>
      <c r="QM16" s="24"/>
      <c r="QN16" s="24"/>
      <c r="QO16" s="24"/>
      <c r="QP16" s="24"/>
      <c r="QQ16" s="24"/>
      <c r="QR16" s="24"/>
      <c r="QS16" s="24"/>
      <c r="QT16" s="24"/>
      <c r="QU16" s="24"/>
      <c r="QV16" s="24"/>
      <c r="QW16" s="24"/>
      <c r="QX16" s="24"/>
      <c r="QY16" s="24"/>
      <c r="QZ16" s="24"/>
      <c r="RA16" s="24"/>
      <c r="RB16" s="24"/>
      <c r="RC16" s="24"/>
      <c r="RD16" s="24"/>
      <c r="RE16" s="24"/>
      <c r="RF16" s="24"/>
      <c r="RG16" s="24"/>
      <c r="RH16" s="24"/>
      <c r="RI16" s="24"/>
      <c r="RJ16" s="24"/>
      <c r="RK16" s="24"/>
      <c r="RL16" s="24"/>
      <c r="RM16" s="24"/>
      <c r="RN16" s="24"/>
      <c r="RO16" s="24"/>
      <c r="RP16" s="24"/>
      <c r="RQ16" s="24"/>
      <c r="RR16" s="24"/>
      <c r="RS16" s="24"/>
      <c r="RT16" s="24"/>
      <c r="RU16" s="24"/>
      <c r="RV16" s="24"/>
      <c r="RW16" s="24"/>
      <c r="RX16" s="24"/>
      <c r="RY16" s="24"/>
      <c r="RZ16" s="24"/>
      <c r="SA16" s="24"/>
      <c r="SB16" s="24"/>
      <c r="SC16" s="24"/>
      <c r="SD16" s="24"/>
      <c r="SE16" s="24"/>
      <c r="SF16" s="24"/>
      <c r="SG16" s="24"/>
      <c r="SH16" s="24"/>
      <c r="SI16" s="24"/>
      <c r="SJ16" s="24"/>
      <c r="SK16" s="24"/>
      <c r="SL16" s="24"/>
      <c r="SM16" s="24">
        <f t="shared" si="96"/>
        <v>0</v>
      </c>
      <c r="SN16" s="24">
        <f t="shared" si="97"/>
        <v>0</v>
      </c>
      <c r="SO16" s="24"/>
      <c r="SP16" s="24"/>
      <c r="SQ16" s="24"/>
      <c r="SR16" s="24"/>
      <c r="SS16" s="24"/>
      <c r="ST16" s="24"/>
      <c r="SU16" s="24"/>
      <c r="SV16" s="24"/>
      <c r="SW16" s="24"/>
      <c r="SX16" s="24"/>
      <c r="SY16" s="24"/>
      <c r="SZ16" s="24"/>
      <c r="TA16" s="24"/>
      <c r="TB16" s="24"/>
      <c r="TC16" s="24"/>
      <c r="TD16" s="24"/>
      <c r="TE16" s="24"/>
      <c r="TF16" s="24"/>
      <c r="TG16" s="24"/>
      <c r="TH16" s="24"/>
      <c r="TI16" s="24"/>
      <c r="TJ16" s="24"/>
      <c r="TK16" s="24"/>
      <c r="TL16" s="24"/>
      <c r="TM16" s="24"/>
      <c r="TN16" s="24"/>
      <c r="TO16" s="24"/>
      <c r="TP16" s="24"/>
      <c r="TQ16" s="24"/>
      <c r="TR16" s="24"/>
      <c r="TS16" s="24"/>
      <c r="TT16" s="24"/>
      <c r="TU16" s="24"/>
      <c r="TV16" s="24"/>
      <c r="TW16" s="24"/>
      <c r="TX16" s="24"/>
      <c r="TY16" s="24"/>
      <c r="TZ16" s="24"/>
      <c r="UA16" s="24"/>
      <c r="UB16" s="24"/>
      <c r="UC16" s="24"/>
      <c r="UD16" s="24"/>
      <c r="UE16" s="24"/>
      <c r="UF16" s="24"/>
      <c r="UG16" s="24"/>
      <c r="UH16" s="24"/>
      <c r="UI16" s="24"/>
      <c r="UJ16" s="24"/>
      <c r="UK16" s="24"/>
      <c r="UL16" s="24"/>
      <c r="UM16" s="24"/>
      <c r="UN16" s="24"/>
      <c r="UO16" s="24"/>
      <c r="UP16" s="24"/>
      <c r="UQ16" s="24"/>
      <c r="UR16" s="24"/>
      <c r="US16" s="24"/>
      <c r="UT16" s="24"/>
      <c r="UU16" s="24"/>
      <c r="UV16" s="24"/>
      <c r="UW16" s="24">
        <f t="shared" si="98"/>
        <v>0</v>
      </c>
      <c r="UX16" s="24">
        <f t="shared" si="99"/>
        <v>0</v>
      </c>
      <c r="UY16" s="24"/>
      <c r="UZ16" s="24"/>
      <c r="VA16" s="24"/>
      <c r="VB16" s="24"/>
      <c r="VC16" s="24"/>
      <c r="VD16" s="24"/>
      <c r="VE16" s="24"/>
      <c r="VF16" s="24"/>
      <c r="VG16" s="24"/>
      <c r="VH16" s="24"/>
      <c r="VI16" s="24"/>
      <c r="VJ16" s="24"/>
      <c r="VK16" s="24"/>
      <c r="VL16" s="24"/>
      <c r="VM16" s="24"/>
      <c r="VN16" s="24"/>
      <c r="VO16" s="24"/>
      <c r="VP16" s="24"/>
      <c r="VQ16" s="24"/>
      <c r="VR16" s="24"/>
      <c r="VS16" s="24"/>
      <c r="VT16" s="24"/>
      <c r="VU16" s="24"/>
      <c r="VV16" s="24"/>
      <c r="VW16" s="24"/>
      <c r="VX16" s="24"/>
      <c r="VY16" s="24"/>
      <c r="VZ16" s="24"/>
      <c r="WA16" s="24"/>
      <c r="WB16" s="24"/>
      <c r="WC16" s="24"/>
      <c r="WD16" s="24"/>
      <c r="WE16" s="24"/>
      <c r="WF16" s="24"/>
      <c r="WG16" s="24"/>
      <c r="WH16" s="24"/>
      <c r="WI16" s="24"/>
      <c r="WJ16" s="24"/>
      <c r="WK16" s="24"/>
      <c r="WL16" s="24"/>
      <c r="WM16" s="24"/>
      <c r="WN16" s="24"/>
      <c r="WO16" s="24"/>
      <c r="WP16" s="24"/>
      <c r="WQ16" s="24"/>
      <c r="WR16" s="24"/>
      <c r="WS16" s="24"/>
      <c r="WT16" s="24"/>
      <c r="WU16" s="24"/>
      <c r="WV16" s="24"/>
      <c r="WW16" s="24"/>
      <c r="WX16" s="24"/>
      <c r="WY16" s="24"/>
      <c r="WZ16" s="24"/>
      <c r="XA16" s="24"/>
      <c r="XB16" s="24"/>
      <c r="XC16" s="24"/>
      <c r="XD16" s="24"/>
      <c r="XE16" s="24"/>
      <c r="XF16" s="24"/>
      <c r="XG16" s="24"/>
      <c r="XH16" s="24"/>
      <c r="XI16" s="24">
        <f t="shared" si="100"/>
        <v>0</v>
      </c>
      <c r="XJ16" s="24">
        <f t="shared" si="101"/>
        <v>0</v>
      </c>
      <c r="XK16" s="24"/>
      <c r="XL16" s="24"/>
      <c r="XM16" s="24"/>
      <c r="XN16" s="24"/>
      <c r="XO16" s="24"/>
      <c r="XP16" s="24"/>
      <c r="XQ16" s="24"/>
      <c r="XR16" s="24"/>
      <c r="XS16" s="24"/>
      <c r="XT16" s="24"/>
      <c r="XU16" s="24"/>
      <c r="XV16" s="24"/>
      <c r="XW16" s="24"/>
      <c r="XX16" s="24"/>
      <c r="XY16" s="24"/>
      <c r="XZ16" s="24"/>
      <c r="YA16" s="24"/>
      <c r="YB16" s="24"/>
      <c r="YC16" s="24"/>
      <c r="YD16" s="24"/>
      <c r="YE16" s="24"/>
      <c r="YF16" s="24"/>
      <c r="YG16" s="24"/>
      <c r="YH16" s="24"/>
      <c r="YI16" s="24"/>
      <c r="YJ16" s="24"/>
      <c r="YK16" s="24"/>
      <c r="YL16" s="24"/>
      <c r="YM16" s="24"/>
      <c r="YN16" s="24"/>
      <c r="YO16" s="24"/>
      <c r="YP16" s="24"/>
      <c r="YQ16" s="24"/>
      <c r="YR16" s="24"/>
      <c r="YS16" s="24"/>
      <c r="YT16" s="24"/>
      <c r="YU16" s="24"/>
      <c r="YV16" s="24"/>
      <c r="YW16" s="24"/>
      <c r="YX16" s="24"/>
      <c r="YY16" s="24"/>
      <c r="YZ16" s="24"/>
      <c r="ZA16" s="24"/>
      <c r="ZB16" s="24"/>
      <c r="ZC16" s="24"/>
      <c r="ZD16" s="24"/>
      <c r="ZE16" s="24"/>
      <c r="ZF16" s="24"/>
      <c r="ZG16" s="24"/>
      <c r="ZH16" s="24"/>
      <c r="ZI16" s="24"/>
      <c r="ZJ16" s="24"/>
      <c r="ZK16" s="24"/>
      <c r="ZL16" s="24"/>
      <c r="ZM16" s="24"/>
      <c r="ZN16" s="24"/>
      <c r="ZO16" s="24"/>
      <c r="ZP16" s="24"/>
      <c r="ZQ16" s="24"/>
      <c r="ZR16" s="24"/>
      <c r="ZS16" s="24">
        <f t="shared" si="102"/>
        <v>0</v>
      </c>
      <c r="ZT16" s="24">
        <f t="shared" si="103"/>
        <v>0</v>
      </c>
      <c r="ZU16" s="24"/>
      <c r="ZV16" s="24"/>
      <c r="ZW16" s="24"/>
      <c r="ZX16" s="24"/>
      <c r="ZY16" s="24"/>
      <c r="ZZ16" s="24"/>
      <c r="AAA16" s="24"/>
      <c r="AAB16" s="24"/>
      <c r="AAC16" s="24"/>
      <c r="AAD16" s="24"/>
      <c r="AAE16" s="24"/>
      <c r="AAF16" s="24"/>
      <c r="AAG16" s="24"/>
      <c r="AAH16" s="24"/>
      <c r="AAI16" s="24"/>
      <c r="AAJ16" s="24"/>
      <c r="AAK16" s="24"/>
      <c r="AAL16" s="24"/>
      <c r="AAM16" s="24"/>
      <c r="AAN16" s="24"/>
      <c r="AAO16" s="24"/>
      <c r="AAP16" s="24"/>
      <c r="AAQ16" s="24"/>
      <c r="AAR16" s="24"/>
      <c r="AAS16" s="24"/>
      <c r="AAT16" s="24"/>
      <c r="AAU16" s="24"/>
      <c r="AAV16" s="24"/>
      <c r="AAW16" s="24"/>
      <c r="AAX16" s="24"/>
      <c r="AAY16" s="24"/>
      <c r="AAZ16" s="24"/>
      <c r="ABA16" s="24"/>
      <c r="ABB16" s="24"/>
      <c r="ABC16" s="24"/>
      <c r="ABD16" s="24"/>
      <c r="ABE16" s="24"/>
      <c r="ABF16" s="24"/>
      <c r="ABG16" s="24"/>
      <c r="ABH16" s="24"/>
      <c r="ABI16" s="24"/>
      <c r="ABJ16" s="24"/>
      <c r="ABK16" s="24"/>
      <c r="ABL16" s="24"/>
      <c r="ABM16" s="24"/>
      <c r="ABN16" s="24"/>
      <c r="ABO16" s="24"/>
      <c r="ABP16" s="24"/>
      <c r="ABQ16" s="24"/>
      <c r="ABR16" s="24"/>
      <c r="ABS16" s="24"/>
      <c r="ABT16" s="24"/>
      <c r="ABU16" s="24"/>
      <c r="ABV16" s="24"/>
      <c r="ABW16" s="24"/>
      <c r="ABX16" s="24"/>
      <c r="ABY16" s="24"/>
      <c r="ABZ16" s="24"/>
      <c r="ACA16" s="24"/>
      <c r="ACB16" s="24"/>
      <c r="ACC16" s="24"/>
      <c r="ACD16" s="24"/>
      <c r="ACE16" s="24">
        <f t="shared" si="104"/>
        <v>0</v>
      </c>
      <c r="ACF16" s="24"/>
      <c r="ACG16" s="24">
        <f t="shared" si="105"/>
        <v>0</v>
      </c>
      <c r="ACH16" s="25"/>
      <c r="ACI16" s="71" t="s">
        <v>215</v>
      </c>
      <c r="ACJ16" s="71" t="s">
        <v>87</v>
      </c>
    </row>
    <row r="17" spans="1:764" x14ac:dyDescent="0.25">
      <c r="A17" s="162"/>
      <c r="B17" s="152"/>
      <c r="C17" s="155"/>
      <c r="D17" s="50" t="s">
        <v>8</v>
      </c>
      <c r="E17" s="74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24" cm="1">
        <f t="array" ref="BO17">SUMPRODUCT(E17:BM17,--(E$2:BM$2=BO$2))</f>
        <v>0</v>
      </c>
      <c r="BP17" s="24" cm="1">
        <f t="array" ref="BP17">SUMPRODUCT(F17:BN17,--(F$2:BN$2=BP$2))</f>
        <v>0</v>
      </c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 cm="1">
        <f t="array" ref="DW17">SUMPRODUCT(BQ17:DU17,--(BQ$2:DU$2=DW$2))</f>
        <v>0</v>
      </c>
      <c r="DX17" s="24" cm="1">
        <f t="array" ref="DX17">SUMPRODUCT(BR17:DV17,--(BR$2:DV$2=DX$2))</f>
        <v>0</v>
      </c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 cm="1">
        <f t="array" ref="GI17">SUMPRODUCT(DY17:GG17,--(DY$2:GG$2=GI$2))</f>
        <v>0</v>
      </c>
      <c r="GJ17" s="24" cm="1">
        <f t="array" ref="GJ17">SUMPRODUCT(DZ17:GH17,--(DZ$2:GH$2=GJ$2))</f>
        <v>0</v>
      </c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>
        <f t="shared" si="88"/>
        <v>0</v>
      </c>
      <c r="IT17" s="24">
        <f t="shared" si="89"/>
        <v>0</v>
      </c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>
        <f t="shared" si="90"/>
        <v>0</v>
      </c>
      <c r="LF17" s="24">
        <f t="shared" si="91"/>
        <v>0</v>
      </c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>
        <f t="shared" si="92"/>
        <v>0</v>
      </c>
      <c r="NP17" s="24">
        <f t="shared" si="93"/>
        <v>0</v>
      </c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24"/>
      <c r="OW17" s="24"/>
      <c r="OX17" s="24"/>
      <c r="OY17" s="24"/>
      <c r="OZ17" s="24"/>
      <c r="PA17" s="24"/>
      <c r="PB17" s="24"/>
      <c r="PC17" s="24"/>
      <c r="PD17" s="24"/>
      <c r="PE17" s="24"/>
      <c r="PF17" s="24"/>
      <c r="PG17" s="24"/>
      <c r="PH17" s="24"/>
      <c r="PI17" s="24"/>
      <c r="PJ17" s="24"/>
      <c r="PK17" s="24"/>
      <c r="PL17" s="24"/>
      <c r="PM17" s="24"/>
      <c r="PN17" s="24"/>
      <c r="PO17" s="24"/>
      <c r="PP17" s="24"/>
      <c r="PQ17" s="24"/>
      <c r="PR17" s="24"/>
      <c r="PS17" s="24"/>
      <c r="PT17" s="24"/>
      <c r="PU17" s="24"/>
      <c r="PV17" s="24"/>
      <c r="PW17" s="24"/>
      <c r="PX17" s="24"/>
      <c r="PY17" s="24"/>
      <c r="PZ17" s="24"/>
      <c r="QA17" s="24">
        <f t="shared" si="94"/>
        <v>0</v>
      </c>
      <c r="QB17" s="24">
        <f t="shared" si="95"/>
        <v>0</v>
      </c>
      <c r="QC17" s="24"/>
      <c r="QD17" s="24"/>
      <c r="QE17" s="24"/>
      <c r="QF17" s="24"/>
      <c r="QG17" s="24"/>
      <c r="QH17" s="24"/>
      <c r="QI17" s="24"/>
      <c r="QJ17" s="24"/>
      <c r="QK17" s="24"/>
      <c r="QL17" s="24"/>
      <c r="QM17" s="24"/>
      <c r="QN17" s="24"/>
      <c r="QO17" s="24"/>
      <c r="QP17" s="24"/>
      <c r="QQ17" s="24"/>
      <c r="QR17" s="24"/>
      <c r="QS17" s="24"/>
      <c r="QT17" s="24"/>
      <c r="QU17" s="24"/>
      <c r="QV17" s="24"/>
      <c r="QW17" s="24"/>
      <c r="QX17" s="24"/>
      <c r="QY17" s="24"/>
      <c r="QZ17" s="24"/>
      <c r="RA17" s="24"/>
      <c r="RB17" s="24"/>
      <c r="RC17" s="24"/>
      <c r="RD17" s="24"/>
      <c r="RE17" s="24"/>
      <c r="RF17" s="24"/>
      <c r="RG17" s="24"/>
      <c r="RH17" s="24"/>
      <c r="RI17" s="24"/>
      <c r="RJ17" s="24"/>
      <c r="RK17" s="24"/>
      <c r="RL17" s="24"/>
      <c r="RM17" s="24"/>
      <c r="RN17" s="24"/>
      <c r="RO17" s="24"/>
      <c r="RP17" s="24"/>
      <c r="RQ17" s="24"/>
      <c r="RR17" s="24"/>
      <c r="RS17" s="24"/>
      <c r="RT17" s="24"/>
      <c r="RU17" s="24"/>
      <c r="RV17" s="24"/>
      <c r="RW17" s="24"/>
      <c r="RX17" s="24"/>
      <c r="RY17" s="24"/>
      <c r="RZ17" s="24"/>
      <c r="SA17" s="24"/>
      <c r="SB17" s="24"/>
      <c r="SC17" s="24"/>
      <c r="SD17" s="24"/>
      <c r="SE17" s="24"/>
      <c r="SF17" s="24"/>
      <c r="SG17" s="24"/>
      <c r="SH17" s="24"/>
      <c r="SI17" s="24"/>
      <c r="SJ17" s="24"/>
      <c r="SK17" s="24"/>
      <c r="SL17" s="24"/>
      <c r="SM17" s="24">
        <f t="shared" si="96"/>
        <v>0</v>
      </c>
      <c r="SN17" s="24">
        <f t="shared" si="97"/>
        <v>0</v>
      </c>
      <c r="SO17" s="24"/>
      <c r="SP17" s="24"/>
      <c r="SQ17" s="24"/>
      <c r="SR17" s="24"/>
      <c r="SS17" s="24"/>
      <c r="ST17" s="24"/>
      <c r="SU17" s="24"/>
      <c r="SV17" s="24"/>
      <c r="SW17" s="24"/>
      <c r="SX17" s="24"/>
      <c r="SY17" s="24"/>
      <c r="SZ17" s="24"/>
      <c r="TA17" s="24"/>
      <c r="TB17" s="24"/>
      <c r="TC17" s="24"/>
      <c r="TD17" s="24"/>
      <c r="TE17" s="24"/>
      <c r="TF17" s="24"/>
      <c r="TG17" s="24"/>
      <c r="TH17" s="24"/>
      <c r="TI17" s="24"/>
      <c r="TJ17" s="24"/>
      <c r="TK17" s="24"/>
      <c r="TL17" s="24"/>
      <c r="TM17" s="24"/>
      <c r="TN17" s="24"/>
      <c r="TO17" s="24"/>
      <c r="TP17" s="24"/>
      <c r="TQ17" s="24"/>
      <c r="TR17" s="24"/>
      <c r="TS17" s="24"/>
      <c r="TT17" s="24"/>
      <c r="TU17" s="24"/>
      <c r="TV17" s="24"/>
      <c r="TW17" s="24"/>
      <c r="TX17" s="24"/>
      <c r="TY17" s="24"/>
      <c r="TZ17" s="24"/>
      <c r="UA17" s="24"/>
      <c r="UB17" s="24"/>
      <c r="UC17" s="24"/>
      <c r="UD17" s="24"/>
      <c r="UE17" s="24"/>
      <c r="UF17" s="24"/>
      <c r="UG17" s="24"/>
      <c r="UH17" s="24"/>
      <c r="UI17" s="24"/>
      <c r="UJ17" s="24"/>
      <c r="UK17" s="24"/>
      <c r="UL17" s="24"/>
      <c r="UM17" s="24"/>
      <c r="UN17" s="24"/>
      <c r="UO17" s="24"/>
      <c r="UP17" s="24"/>
      <c r="UQ17" s="24"/>
      <c r="UR17" s="24"/>
      <c r="US17" s="24"/>
      <c r="UT17" s="24"/>
      <c r="UU17" s="24"/>
      <c r="UV17" s="24"/>
      <c r="UW17" s="24">
        <f t="shared" si="98"/>
        <v>0</v>
      </c>
      <c r="UX17" s="24">
        <f t="shared" si="99"/>
        <v>0</v>
      </c>
      <c r="UY17" s="24"/>
      <c r="UZ17" s="24"/>
      <c r="VA17" s="24"/>
      <c r="VB17" s="24"/>
      <c r="VC17" s="24"/>
      <c r="VD17" s="24"/>
      <c r="VE17" s="24"/>
      <c r="VF17" s="24"/>
      <c r="VG17" s="24"/>
      <c r="VH17" s="24"/>
      <c r="VI17" s="24"/>
      <c r="VJ17" s="24"/>
      <c r="VK17" s="24"/>
      <c r="VL17" s="24"/>
      <c r="VM17" s="24"/>
      <c r="VN17" s="24"/>
      <c r="VO17" s="24"/>
      <c r="VP17" s="24"/>
      <c r="VQ17" s="24"/>
      <c r="VR17" s="24"/>
      <c r="VS17" s="24"/>
      <c r="VT17" s="24"/>
      <c r="VU17" s="24"/>
      <c r="VV17" s="24"/>
      <c r="VW17" s="24"/>
      <c r="VX17" s="24"/>
      <c r="VY17" s="24"/>
      <c r="VZ17" s="24"/>
      <c r="WA17" s="24"/>
      <c r="WB17" s="24"/>
      <c r="WC17" s="24"/>
      <c r="WD17" s="24"/>
      <c r="WE17" s="24"/>
      <c r="WF17" s="24"/>
      <c r="WG17" s="24"/>
      <c r="WH17" s="24"/>
      <c r="WI17" s="24"/>
      <c r="WJ17" s="24"/>
      <c r="WK17" s="24"/>
      <c r="WL17" s="24"/>
      <c r="WM17" s="24"/>
      <c r="WN17" s="24"/>
      <c r="WO17" s="24"/>
      <c r="WP17" s="24"/>
      <c r="WQ17" s="24"/>
      <c r="WR17" s="24"/>
      <c r="WS17" s="24"/>
      <c r="WT17" s="24"/>
      <c r="WU17" s="24"/>
      <c r="WV17" s="24"/>
      <c r="WW17" s="24"/>
      <c r="WX17" s="24"/>
      <c r="WY17" s="24"/>
      <c r="WZ17" s="24"/>
      <c r="XA17" s="24"/>
      <c r="XB17" s="24"/>
      <c r="XC17" s="24"/>
      <c r="XD17" s="24"/>
      <c r="XE17" s="24"/>
      <c r="XF17" s="24"/>
      <c r="XG17" s="24"/>
      <c r="XH17" s="24"/>
      <c r="XI17" s="24">
        <f t="shared" si="100"/>
        <v>0</v>
      </c>
      <c r="XJ17" s="24">
        <f t="shared" si="101"/>
        <v>0</v>
      </c>
      <c r="XK17" s="24"/>
      <c r="XL17" s="24"/>
      <c r="XM17" s="24"/>
      <c r="XN17" s="24"/>
      <c r="XO17" s="24"/>
      <c r="XP17" s="24"/>
      <c r="XQ17" s="24"/>
      <c r="XR17" s="24"/>
      <c r="XS17" s="24"/>
      <c r="XT17" s="24"/>
      <c r="XU17" s="24"/>
      <c r="XV17" s="24"/>
      <c r="XW17" s="24"/>
      <c r="XX17" s="24"/>
      <c r="XY17" s="24"/>
      <c r="XZ17" s="24"/>
      <c r="YA17" s="24"/>
      <c r="YB17" s="24"/>
      <c r="YC17" s="24"/>
      <c r="YD17" s="24"/>
      <c r="YE17" s="24"/>
      <c r="YF17" s="24"/>
      <c r="YG17" s="24"/>
      <c r="YH17" s="24"/>
      <c r="YI17" s="24"/>
      <c r="YJ17" s="24"/>
      <c r="YK17" s="24"/>
      <c r="YL17" s="24"/>
      <c r="YM17" s="24"/>
      <c r="YN17" s="24"/>
      <c r="YO17" s="24"/>
      <c r="YP17" s="24"/>
      <c r="YQ17" s="24"/>
      <c r="YR17" s="24"/>
      <c r="YS17" s="24"/>
      <c r="YT17" s="24"/>
      <c r="YU17" s="24"/>
      <c r="YV17" s="24"/>
      <c r="YW17" s="24"/>
      <c r="YX17" s="24"/>
      <c r="YY17" s="24"/>
      <c r="YZ17" s="24"/>
      <c r="ZA17" s="24"/>
      <c r="ZB17" s="24"/>
      <c r="ZC17" s="24"/>
      <c r="ZD17" s="24"/>
      <c r="ZE17" s="24"/>
      <c r="ZF17" s="24"/>
      <c r="ZG17" s="24"/>
      <c r="ZH17" s="24"/>
      <c r="ZI17" s="24"/>
      <c r="ZJ17" s="24"/>
      <c r="ZK17" s="24"/>
      <c r="ZL17" s="24"/>
      <c r="ZM17" s="24"/>
      <c r="ZN17" s="24"/>
      <c r="ZO17" s="24"/>
      <c r="ZP17" s="24"/>
      <c r="ZQ17" s="24"/>
      <c r="ZR17" s="24"/>
      <c r="ZS17" s="24">
        <f t="shared" si="102"/>
        <v>0</v>
      </c>
      <c r="ZT17" s="24">
        <f t="shared" si="103"/>
        <v>0</v>
      </c>
      <c r="ZU17" s="24"/>
      <c r="ZV17" s="24"/>
      <c r="ZW17" s="24"/>
      <c r="ZX17" s="24"/>
      <c r="ZY17" s="24"/>
      <c r="ZZ17" s="24"/>
      <c r="AAA17" s="24"/>
      <c r="AAB17" s="24"/>
      <c r="AAC17" s="24"/>
      <c r="AAD17" s="24"/>
      <c r="AAE17" s="24"/>
      <c r="AAF17" s="24"/>
      <c r="AAG17" s="24"/>
      <c r="AAH17" s="24"/>
      <c r="AAI17" s="24"/>
      <c r="AAJ17" s="24"/>
      <c r="AAK17" s="24"/>
      <c r="AAL17" s="24"/>
      <c r="AAM17" s="24"/>
      <c r="AAN17" s="24"/>
      <c r="AAO17" s="24"/>
      <c r="AAP17" s="24"/>
      <c r="AAQ17" s="24"/>
      <c r="AAR17" s="24"/>
      <c r="AAS17" s="24"/>
      <c r="AAT17" s="24"/>
      <c r="AAU17" s="24"/>
      <c r="AAV17" s="24"/>
      <c r="AAW17" s="24"/>
      <c r="AAX17" s="24"/>
      <c r="AAY17" s="24"/>
      <c r="AAZ17" s="24"/>
      <c r="ABA17" s="24"/>
      <c r="ABB17" s="24"/>
      <c r="ABC17" s="24"/>
      <c r="ABD17" s="24"/>
      <c r="ABE17" s="24"/>
      <c r="ABF17" s="24"/>
      <c r="ABG17" s="24"/>
      <c r="ABH17" s="24"/>
      <c r="ABI17" s="24"/>
      <c r="ABJ17" s="24"/>
      <c r="ABK17" s="24"/>
      <c r="ABL17" s="24"/>
      <c r="ABM17" s="24"/>
      <c r="ABN17" s="24"/>
      <c r="ABO17" s="24"/>
      <c r="ABP17" s="24"/>
      <c r="ABQ17" s="24"/>
      <c r="ABR17" s="24"/>
      <c r="ABS17" s="24"/>
      <c r="ABT17" s="24"/>
      <c r="ABU17" s="24"/>
      <c r="ABV17" s="24"/>
      <c r="ABW17" s="24"/>
      <c r="ABX17" s="24"/>
      <c r="ABY17" s="24"/>
      <c r="ABZ17" s="24"/>
      <c r="ACA17" s="24"/>
      <c r="ACB17" s="24"/>
      <c r="ACC17" s="24"/>
      <c r="ACD17" s="24"/>
      <c r="ACE17" s="24">
        <f t="shared" si="104"/>
        <v>0</v>
      </c>
      <c r="ACF17" s="24"/>
      <c r="ACG17" s="24">
        <f t="shared" si="105"/>
        <v>0</v>
      </c>
      <c r="ACH17" s="25"/>
      <c r="ACI17" s="71" t="s">
        <v>216</v>
      </c>
      <c r="ACJ17" s="71" t="s">
        <v>87</v>
      </c>
    </row>
    <row r="18" spans="1:764" x14ac:dyDescent="0.25">
      <c r="A18" s="162"/>
      <c r="B18" s="152"/>
      <c r="C18" s="156"/>
      <c r="D18" s="51" t="s">
        <v>9</v>
      </c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24" cm="1">
        <f t="array" ref="BO18">SUMPRODUCT(E18:BM18,--(E$2:BM$2=BO$2))</f>
        <v>0</v>
      </c>
      <c r="BP18" s="24" cm="1">
        <f t="array" ref="BP18">SUMPRODUCT(F18:BN18,--(F$2:BN$2=BP$2))</f>
        <v>0</v>
      </c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 cm="1">
        <f t="array" ref="DW18">SUMPRODUCT(BQ18:DU18,--(BQ$2:DU$2=DW$2))</f>
        <v>0</v>
      </c>
      <c r="DX18" s="24" cm="1">
        <f t="array" ref="DX18">SUMPRODUCT(BR18:DV18,--(BR$2:DV$2=DX$2))</f>
        <v>0</v>
      </c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24"/>
      <c r="GG18" s="24"/>
      <c r="GH18" s="24"/>
      <c r="GI18" s="24" cm="1">
        <f t="array" ref="GI18">SUMPRODUCT(DY18:GG18,--(DY$2:GG$2=GI$2))</f>
        <v>0</v>
      </c>
      <c r="GJ18" s="24" cm="1">
        <f t="array" ref="GJ18">SUMPRODUCT(DZ18:GH18,--(DZ$2:GH$2=GJ$2))</f>
        <v>0</v>
      </c>
      <c r="GK18" s="24"/>
      <c r="GL18" s="24"/>
      <c r="GM18" s="24"/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>
        <f t="shared" si="88"/>
        <v>0</v>
      </c>
      <c r="IT18" s="24">
        <f t="shared" si="89"/>
        <v>0</v>
      </c>
      <c r="IU18" s="24"/>
      <c r="IV18" s="24"/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24"/>
      <c r="JR18" s="24"/>
      <c r="JS18" s="24"/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24"/>
      <c r="KO18" s="24"/>
      <c r="KP18" s="24"/>
      <c r="KQ18" s="24"/>
      <c r="KR18" s="24"/>
      <c r="KS18" s="24"/>
      <c r="KT18" s="24"/>
      <c r="KU18" s="24"/>
      <c r="KV18" s="24"/>
      <c r="KW18" s="24"/>
      <c r="KX18" s="24"/>
      <c r="KY18" s="24"/>
      <c r="KZ18" s="24"/>
      <c r="LA18" s="24"/>
      <c r="LB18" s="24"/>
      <c r="LC18" s="24"/>
      <c r="LD18" s="24"/>
      <c r="LE18" s="24">
        <f t="shared" si="90"/>
        <v>0</v>
      </c>
      <c r="LF18" s="24">
        <f t="shared" si="91"/>
        <v>0</v>
      </c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24"/>
      <c r="MS18" s="24"/>
      <c r="MT18" s="24"/>
      <c r="MU18" s="24"/>
      <c r="MV18" s="24"/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>
        <f t="shared" si="92"/>
        <v>0</v>
      </c>
      <c r="NP18" s="24">
        <f t="shared" si="93"/>
        <v>0</v>
      </c>
      <c r="NQ18" s="24"/>
      <c r="NR18" s="24"/>
      <c r="NS18" s="24"/>
      <c r="NT18" s="24"/>
      <c r="NU18" s="24"/>
      <c r="NV18" s="24"/>
      <c r="NW18" s="24"/>
      <c r="NX18" s="24"/>
      <c r="NY18" s="24"/>
      <c r="NZ18" s="24"/>
      <c r="OA18" s="24"/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24"/>
      <c r="OW18" s="24"/>
      <c r="OX18" s="24"/>
      <c r="OY18" s="24"/>
      <c r="OZ18" s="24"/>
      <c r="PA18" s="24"/>
      <c r="PB18" s="24"/>
      <c r="PC18" s="24"/>
      <c r="PD18" s="24"/>
      <c r="PE18" s="24"/>
      <c r="PF18" s="24"/>
      <c r="PG18" s="24"/>
      <c r="PH18" s="24"/>
      <c r="PI18" s="24"/>
      <c r="PJ18" s="24"/>
      <c r="PK18" s="24"/>
      <c r="PL18" s="24"/>
      <c r="PM18" s="24"/>
      <c r="PN18" s="24"/>
      <c r="PO18" s="24"/>
      <c r="PP18" s="24"/>
      <c r="PQ18" s="24"/>
      <c r="PR18" s="24"/>
      <c r="PS18" s="24"/>
      <c r="PT18" s="24"/>
      <c r="PU18" s="24"/>
      <c r="PV18" s="24"/>
      <c r="PW18" s="24"/>
      <c r="PX18" s="24"/>
      <c r="PY18" s="24"/>
      <c r="PZ18" s="24"/>
      <c r="QA18" s="24">
        <f t="shared" si="94"/>
        <v>0</v>
      </c>
      <c r="QB18" s="24">
        <f t="shared" si="95"/>
        <v>0</v>
      </c>
      <c r="QC18" s="24"/>
      <c r="QD18" s="24"/>
      <c r="QE18" s="24"/>
      <c r="QF18" s="24"/>
      <c r="QG18" s="24"/>
      <c r="QH18" s="24"/>
      <c r="QI18" s="24"/>
      <c r="QJ18" s="24"/>
      <c r="QK18" s="24"/>
      <c r="QL18" s="24"/>
      <c r="QM18" s="24"/>
      <c r="QN18" s="24"/>
      <c r="QO18" s="24"/>
      <c r="QP18" s="24"/>
      <c r="QQ18" s="24"/>
      <c r="QR18" s="24"/>
      <c r="QS18" s="24"/>
      <c r="QT18" s="24"/>
      <c r="QU18" s="24"/>
      <c r="QV18" s="24"/>
      <c r="QW18" s="24"/>
      <c r="QX18" s="24"/>
      <c r="QY18" s="24"/>
      <c r="QZ18" s="24"/>
      <c r="RA18" s="24"/>
      <c r="RB18" s="24"/>
      <c r="RC18" s="24"/>
      <c r="RD18" s="24"/>
      <c r="RE18" s="24"/>
      <c r="RF18" s="24"/>
      <c r="RG18" s="24"/>
      <c r="RH18" s="24"/>
      <c r="RI18" s="24"/>
      <c r="RJ18" s="24"/>
      <c r="RK18" s="24"/>
      <c r="RL18" s="24"/>
      <c r="RM18" s="24"/>
      <c r="RN18" s="24"/>
      <c r="RO18" s="24"/>
      <c r="RP18" s="24"/>
      <c r="RQ18" s="24"/>
      <c r="RR18" s="24"/>
      <c r="RS18" s="24"/>
      <c r="RT18" s="24"/>
      <c r="RU18" s="24"/>
      <c r="RV18" s="24"/>
      <c r="RW18" s="24"/>
      <c r="RX18" s="24"/>
      <c r="RY18" s="24"/>
      <c r="RZ18" s="24"/>
      <c r="SA18" s="24"/>
      <c r="SB18" s="24"/>
      <c r="SC18" s="24"/>
      <c r="SD18" s="24"/>
      <c r="SE18" s="24"/>
      <c r="SF18" s="24"/>
      <c r="SG18" s="24"/>
      <c r="SH18" s="24"/>
      <c r="SI18" s="24"/>
      <c r="SJ18" s="24"/>
      <c r="SK18" s="24"/>
      <c r="SL18" s="24"/>
      <c r="SM18" s="24">
        <f t="shared" si="96"/>
        <v>0</v>
      </c>
      <c r="SN18" s="24">
        <f t="shared" si="97"/>
        <v>0</v>
      </c>
      <c r="SO18" s="24"/>
      <c r="SP18" s="24"/>
      <c r="SQ18" s="24"/>
      <c r="SR18" s="24"/>
      <c r="SS18" s="24"/>
      <c r="ST18" s="24"/>
      <c r="SU18" s="24"/>
      <c r="SV18" s="24"/>
      <c r="SW18" s="24"/>
      <c r="SX18" s="24"/>
      <c r="SY18" s="24"/>
      <c r="SZ18" s="24"/>
      <c r="TA18" s="24"/>
      <c r="TB18" s="24"/>
      <c r="TC18" s="24"/>
      <c r="TD18" s="24"/>
      <c r="TE18" s="24"/>
      <c r="TF18" s="24"/>
      <c r="TG18" s="24"/>
      <c r="TH18" s="24"/>
      <c r="TI18" s="24"/>
      <c r="TJ18" s="24"/>
      <c r="TK18" s="24"/>
      <c r="TL18" s="24"/>
      <c r="TM18" s="24"/>
      <c r="TN18" s="24"/>
      <c r="TO18" s="24"/>
      <c r="TP18" s="24"/>
      <c r="TQ18" s="24"/>
      <c r="TR18" s="24"/>
      <c r="TS18" s="24"/>
      <c r="TT18" s="24"/>
      <c r="TU18" s="24"/>
      <c r="TV18" s="24"/>
      <c r="TW18" s="24"/>
      <c r="TX18" s="24"/>
      <c r="TY18" s="24"/>
      <c r="TZ18" s="24"/>
      <c r="UA18" s="24"/>
      <c r="UB18" s="24"/>
      <c r="UC18" s="24"/>
      <c r="UD18" s="24"/>
      <c r="UE18" s="24"/>
      <c r="UF18" s="24"/>
      <c r="UG18" s="24"/>
      <c r="UH18" s="24"/>
      <c r="UI18" s="24"/>
      <c r="UJ18" s="24"/>
      <c r="UK18" s="24"/>
      <c r="UL18" s="24"/>
      <c r="UM18" s="24"/>
      <c r="UN18" s="24"/>
      <c r="UO18" s="24"/>
      <c r="UP18" s="24"/>
      <c r="UQ18" s="24"/>
      <c r="UR18" s="24"/>
      <c r="US18" s="24"/>
      <c r="UT18" s="24"/>
      <c r="UU18" s="24"/>
      <c r="UV18" s="24"/>
      <c r="UW18" s="24">
        <f t="shared" si="98"/>
        <v>0</v>
      </c>
      <c r="UX18" s="24">
        <f t="shared" si="99"/>
        <v>0</v>
      </c>
      <c r="UY18" s="24"/>
      <c r="UZ18" s="24"/>
      <c r="VA18" s="24"/>
      <c r="VB18" s="24"/>
      <c r="VC18" s="24"/>
      <c r="VD18" s="24"/>
      <c r="VE18" s="24"/>
      <c r="VF18" s="24"/>
      <c r="VG18" s="24"/>
      <c r="VH18" s="24"/>
      <c r="VI18" s="24"/>
      <c r="VJ18" s="24"/>
      <c r="VK18" s="24"/>
      <c r="VL18" s="24"/>
      <c r="VM18" s="24"/>
      <c r="VN18" s="24"/>
      <c r="VO18" s="24"/>
      <c r="VP18" s="24"/>
      <c r="VQ18" s="24"/>
      <c r="VR18" s="24"/>
      <c r="VS18" s="24"/>
      <c r="VT18" s="24"/>
      <c r="VU18" s="24"/>
      <c r="VV18" s="24"/>
      <c r="VW18" s="24"/>
      <c r="VX18" s="24"/>
      <c r="VY18" s="24"/>
      <c r="VZ18" s="24"/>
      <c r="WA18" s="24"/>
      <c r="WB18" s="24"/>
      <c r="WC18" s="24"/>
      <c r="WD18" s="24"/>
      <c r="WE18" s="24"/>
      <c r="WF18" s="24"/>
      <c r="WG18" s="24"/>
      <c r="WH18" s="24"/>
      <c r="WI18" s="24"/>
      <c r="WJ18" s="24"/>
      <c r="WK18" s="24"/>
      <c r="WL18" s="24"/>
      <c r="WM18" s="24"/>
      <c r="WN18" s="24"/>
      <c r="WO18" s="24"/>
      <c r="WP18" s="24"/>
      <c r="WQ18" s="24"/>
      <c r="WR18" s="24"/>
      <c r="WS18" s="24"/>
      <c r="WT18" s="24"/>
      <c r="WU18" s="24"/>
      <c r="WV18" s="24"/>
      <c r="WW18" s="24"/>
      <c r="WX18" s="24"/>
      <c r="WY18" s="24"/>
      <c r="WZ18" s="24"/>
      <c r="XA18" s="24"/>
      <c r="XB18" s="24"/>
      <c r="XC18" s="24"/>
      <c r="XD18" s="24"/>
      <c r="XE18" s="24"/>
      <c r="XF18" s="24"/>
      <c r="XG18" s="24"/>
      <c r="XH18" s="24"/>
      <c r="XI18" s="24">
        <f t="shared" si="100"/>
        <v>0</v>
      </c>
      <c r="XJ18" s="24">
        <f t="shared" si="101"/>
        <v>0</v>
      </c>
      <c r="XK18" s="24"/>
      <c r="XL18" s="24"/>
      <c r="XM18" s="24"/>
      <c r="XN18" s="24"/>
      <c r="XO18" s="24"/>
      <c r="XP18" s="24"/>
      <c r="XQ18" s="24"/>
      <c r="XR18" s="24"/>
      <c r="XS18" s="24"/>
      <c r="XT18" s="24"/>
      <c r="XU18" s="24"/>
      <c r="XV18" s="24"/>
      <c r="XW18" s="24"/>
      <c r="XX18" s="24"/>
      <c r="XY18" s="24"/>
      <c r="XZ18" s="24"/>
      <c r="YA18" s="24"/>
      <c r="YB18" s="24"/>
      <c r="YC18" s="24"/>
      <c r="YD18" s="24"/>
      <c r="YE18" s="24"/>
      <c r="YF18" s="24"/>
      <c r="YG18" s="24"/>
      <c r="YH18" s="24"/>
      <c r="YI18" s="24"/>
      <c r="YJ18" s="24"/>
      <c r="YK18" s="24"/>
      <c r="YL18" s="24"/>
      <c r="YM18" s="24"/>
      <c r="YN18" s="24"/>
      <c r="YO18" s="24"/>
      <c r="YP18" s="24"/>
      <c r="YQ18" s="24"/>
      <c r="YR18" s="24"/>
      <c r="YS18" s="24"/>
      <c r="YT18" s="24"/>
      <c r="YU18" s="24"/>
      <c r="YV18" s="24"/>
      <c r="YW18" s="24"/>
      <c r="YX18" s="24"/>
      <c r="YY18" s="24"/>
      <c r="YZ18" s="24"/>
      <c r="ZA18" s="24"/>
      <c r="ZB18" s="24"/>
      <c r="ZC18" s="24"/>
      <c r="ZD18" s="24"/>
      <c r="ZE18" s="24"/>
      <c r="ZF18" s="24"/>
      <c r="ZG18" s="24"/>
      <c r="ZH18" s="24"/>
      <c r="ZI18" s="24"/>
      <c r="ZJ18" s="24"/>
      <c r="ZK18" s="24"/>
      <c r="ZL18" s="24"/>
      <c r="ZM18" s="24"/>
      <c r="ZN18" s="24"/>
      <c r="ZO18" s="24"/>
      <c r="ZP18" s="24"/>
      <c r="ZQ18" s="24"/>
      <c r="ZR18" s="24"/>
      <c r="ZS18" s="24">
        <f t="shared" si="102"/>
        <v>0</v>
      </c>
      <c r="ZT18" s="24">
        <f t="shared" si="103"/>
        <v>0</v>
      </c>
      <c r="ZU18" s="24"/>
      <c r="ZV18" s="24"/>
      <c r="ZW18" s="24"/>
      <c r="ZX18" s="24"/>
      <c r="ZY18" s="24"/>
      <c r="ZZ18" s="24"/>
      <c r="AAA18" s="24"/>
      <c r="AAB18" s="24"/>
      <c r="AAC18" s="24"/>
      <c r="AAD18" s="24"/>
      <c r="AAE18" s="24"/>
      <c r="AAF18" s="24"/>
      <c r="AAG18" s="24"/>
      <c r="AAH18" s="24"/>
      <c r="AAI18" s="24"/>
      <c r="AAJ18" s="24"/>
      <c r="AAK18" s="24"/>
      <c r="AAL18" s="24"/>
      <c r="AAM18" s="24"/>
      <c r="AAN18" s="24"/>
      <c r="AAO18" s="24"/>
      <c r="AAP18" s="24"/>
      <c r="AAQ18" s="24"/>
      <c r="AAR18" s="24"/>
      <c r="AAS18" s="24"/>
      <c r="AAT18" s="24"/>
      <c r="AAU18" s="24"/>
      <c r="AAV18" s="24"/>
      <c r="AAW18" s="24"/>
      <c r="AAX18" s="24"/>
      <c r="AAY18" s="24"/>
      <c r="AAZ18" s="24"/>
      <c r="ABA18" s="24"/>
      <c r="ABB18" s="24"/>
      <c r="ABC18" s="24"/>
      <c r="ABD18" s="24"/>
      <c r="ABE18" s="24"/>
      <c r="ABF18" s="24"/>
      <c r="ABG18" s="24"/>
      <c r="ABH18" s="24"/>
      <c r="ABI18" s="24"/>
      <c r="ABJ18" s="24"/>
      <c r="ABK18" s="24"/>
      <c r="ABL18" s="24"/>
      <c r="ABM18" s="24"/>
      <c r="ABN18" s="24"/>
      <c r="ABO18" s="24"/>
      <c r="ABP18" s="24"/>
      <c r="ABQ18" s="24"/>
      <c r="ABR18" s="24"/>
      <c r="ABS18" s="24"/>
      <c r="ABT18" s="24"/>
      <c r="ABU18" s="24"/>
      <c r="ABV18" s="24"/>
      <c r="ABW18" s="24"/>
      <c r="ABX18" s="24"/>
      <c r="ABY18" s="24"/>
      <c r="ABZ18" s="24"/>
      <c r="ACA18" s="24"/>
      <c r="ACB18" s="24"/>
      <c r="ACC18" s="24"/>
      <c r="ACD18" s="24"/>
      <c r="ACE18" s="24">
        <f t="shared" si="104"/>
        <v>0</v>
      </c>
      <c r="ACF18" s="24"/>
      <c r="ACG18" s="24">
        <f t="shared" si="105"/>
        <v>0</v>
      </c>
      <c r="ACH18" s="25"/>
      <c r="ACI18" s="71" t="s">
        <v>217</v>
      </c>
      <c r="ACJ18" s="71" t="s">
        <v>87</v>
      </c>
    </row>
    <row r="19" spans="1:764" x14ac:dyDescent="0.25">
      <c r="A19" s="162"/>
      <c r="B19" s="152"/>
      <c r="C19" s="157" t="s">
        <v>2</v>
      </c>
      <c r="D19" s="50" t="s">
        <v>6</v>
      </c>
      <c r="E19" s="74">
        <v>723.28767123287696</v>
      </c>
      <c r="F19" s="75">
        <v>723.28767123287696</v>
      </c>
      <c r="G19" s="75">
        <v>723.28767123287696</v>
      </c>
      <c r="H19" s="75">
        <v>723.28767123287696</v>
      </c>
      <c r="I19" s="75">
        <v>723.28767123287696</v>
      </c>
      <c r="J19" s="75">
        <v>723.28767123287696</v>
      </c>
      <c r="K19" s="75">
        <v>723.28767123287696</v>
      </c>
      <c r="L19" s="75">
        <v>723.28767123287696</v>
      </c>
      <c r="M19" s="75">
        <v>723.28767123287696</v>
      </c>
      <c r="N19" s="75">
        <v>723.28767123287696</v>
      </c>
      <c r="O19" s="75">
        <v>723.28767123287696</v>
      </c>
      <c r="P19" s="75">
        <v>723.28767123287696</v>
      </c>
      <c r="Q19" s="75">
        <v>723.28767123287696</v>
      </c>
      <c r="R19" s="75">
        <v>723.28767123287696</v>
      </c>
      <c r="S19" s="75">
        <v>723.28767123287696</v>
      </c>
      <c r="T19" s="75">
        <v>723.28767123287696</v>
      </c>
      <c r="U19" s="75">
        <v>723.28767123287696</v>
      </c>
      <c r="V19" s="75">
        <v>723.28767123287696</v>
      </c>
      <c r="W19" s="75">
        <v>723.28767123287696</v>
      </c>
      <c r="X19" s="75">
        <v>723.28767123287696</v>
      </c>
      <c r="Y19" s="75">
        <v>723.28767123287696</v>
      </c>
      <c r="Z19" s="75">
        <v>723.28767123287696</v>
      </c>
      <c r="AA19" s="75">
        <v>723.28767123287696</v>
      </c>
      <c r="AB19" s="75">
        <v>723.28767123287696</v>
      </c>
      <c r="AC19" s="75">
        <v>723.28767123287696</v>
      </c>
      <c r="AD19" s="75">
        <v>723.28767123287696</v>
      </c>
      <c r="AE19" s="75">
        <v>723.28767123287696</v>
      </c>
      <c r="AF19" s="75">
        <v>723.28767123287696</v>
      </c>
      <c r="AG19" s="75">
        <v>723.28767123287696</v>
      </c>
      <c r="AH19" s="75">
        <v>723.28767123287696</v>
      </c>
      <c r="AI19" s="75">
        <v>723.28767123287696</v>
      </c>
      <c r="AJ19" s="75">
        <v>723.28767123287696</v>
      </c>
      <c r="AK19" s="75">
        <v>723.28767123287696</v>
      </c>
      <c r="AL19" s="75">
        <v>723.28767123287696</v>
      </c>
      <c r="AM19" s="75">
        <v>723.28767123287696</v>
      </c>
      <c r="AN19" s="75">
        <v>723.28767123287696</v>
      </c>
      <c r="AO19" s="75">
        <v>723.28767123287696</v>
      </c>
      <c r="AP19" s="75">
        <v>723.28767123287696</v>
      </c>
      <c r="AQ19" s="75">
        <v>723.28767123287696</v>
      </c>
      <c r="AR19" s="75">
        <v>723.28767123287696</v>
      </c>
      <c r="AS19" s="75">
        <v>723.28767123287696</v>
      </c>
      <c r="AT19" s="75">
        <v>723.28767123287696</v>
      </c>
      <c r="AU19" s="75">
        <v>723.28767123287696</v>
      </c>
      <c r="AV19" s="75">
        <v>723.28767123287696</v>
      </c>
      <c r="AW19" s="75">
        <v>723.28767123287696</v>
      </c>
      <c r="AX19" s="75">
        <v>723.28767123287696</v>
      </c>
      <c r="AY19" s="75">
        <v>723.28767123287696</v>
      </c>
      <c r="AZ19" s="75">
        <v>723.28767123287696</v>
      </c>
      <c r="BA19" s="75">
        <v>723.28767123287696</v>
      </c>
      <c r="BB19" s="75">
        <v>723.28767123287696</v>
      </c>
      <c r="BC19" s="75">
        <v>723.28767123287696</v>
      </c>
      <c r="BD19" s="75">
        <v>723.28767123287696</v>
      </c>
      <c r="BE19" s="75">
        <v>723.28767123287696</v>
      </c>
      <c r="BF19" s="75">
        <v>723.28767123287696</v>
      </c>
      <c r="BG19" s="75">
        <v>723.28767123287696</v>
      </c>
      <c r="BH19" s="75">
        <v>723.28767123287696</v>
      </c>
      <c r="BI19" s="75">
        <v>723.28767123287696</v>
      </c>
      <c r="BJ19" s="75">
        <v>723.28767123287696</v>
      </c>
      <c r="BK19" s="75">
        <v>723.28767123287696</v>
      </c>
      <c r="BL19" s="75">
        <v>723.28767123287696</v>
      </c>
      <c r="BM19" s="75">
        <v>723.28767123287696</v>
      </c>
      <c r="BN19" s="75">
        <v>723.28767123287696</v>
      </c>
      <c r="BO19" s="24" cm="1">
        <f t="array" ref="BO19">SUMPRODUCT(E19:BM19,--(E$2:BM$2=BO$2))</f>
        <v>22421.917808219172</v>
      </c>
      <c r="BP19" s="24" cm="1">
        <f t="array" ref="BP19">SUMPRODUCT(F19:BN19,--(F$2:BN$2=BP$2))</f>
        <v>22421.917808219172</v>
      </c>
      <c r="BQ19" s="24">
        <v>723.28767123287696</v>
      </c>
      <c r="BR19" s="75">
        <v>723.28767123287696</v>
      </c>
      <c r="BS19" s="75">
        <v>723.28767123287696</v>
      </c>
      <c r="BT19" s="75">
        <v>723.28767123287696</v>
      </c>
      <c r="BU19" s="75">
        <v>723.28767123287696</v>
      </c>
      <c r="BV19" s="75">
        <v>723.28767123287696</v>
      </c>
      <c r="BW19" s="75">
        <v>723.28767123287696</v>
      </c>
      <c r="BX19" s="75">
        <v>723.28767123287696</v>
      </c>
      <c r="BY19" s="75">
        <v>723.28767123287696</v>
      </c>
      <c r="BZ19" s="75">
        <v>723.28767123287696</v>
      </c>
      <c r="CA19" s="75">
        <v>723.28767123287696</v>
      </c>
      <c r="CB19" s="75">
        <v>723.28767123287696</v>
      </c>
      <c r="CC19" s="75">
        <v>723.28767123287696</v>
      </c>
      <c r="CD19" s="75">
        <v>723.28767123287696</v>
      </c>
      <c r="CE19" s="75">
        <v>723.28767123287696</v>
      </c>
      <c r="CF19" s="75">
        <v>723.28767123287696</v>
      </c>
      <c r="CG19" s="75">
        <v>723.28767123287696</v>
      </c>
      <c r="CH19" s="75">
        <v>723.28767123287696</v>
      </c>
      <c r="CI19" s="75">
        <v>723.28767123287696</v>
      </c>
      <c r="CJ19" s="75">
        <v>723.28767123287696</v>
      </c>
      <c r="CK19" s="75">
        <v>723.28767123287696</v>
      </c>
      <c r="CL19" s="75">
        <v>723.28767123287696</v>
      </c>
      <c r="CM19" s="75">
        <v>723.28767123287696</v>
      </c>
      <c r="CN19" s="75">
        <v>723.28767123287696</v>
      </c>
      <c r="CO19" s="75">
        <v>723.28767123287696</v>
      </c>
      <c r="CP19" s="75">
        <v>723.28767123287696</v>
      </c>
      <c r="CQ19" s="75">
        <v>723.28767123287696</v>
      </c>
      <c r="CR19" s="75">
        <v>723.28767123287696</v>
      </c>
      <c r="CS19" s="75">
        <v>723.28767123287696</v>
      </c>
      <c r="CT19" s="75">
        <v>723.28767123287696</v>
      </c>
      <c r="CU19" s="75">
        <v>723.28767123287696</v>
      </c>
      <c r="CV19" s="75">
        <v>723.28767123287696</v>
      </c>
      <c r="CW19" s="75">
        <v>723.28767123287696</v>
      </c>
      <c r="CX19" s="75">
        <v>723.28767123287696</v>
      </c>
      <c r="CY19" s="75">
        <v>723.28767123287696</v>
      </c>
      <c r="CZ19" s="75">
        <v>723.28767123287696</v>
      </c>
      <c r="DA19" s="75">
        <v>723.28767123287696</v>
      </c>
      <c r="DB19" s="75">
        <v>723.28767123287696</v>
      </c>
      <c r="DC19" s="75">
        <v>723.28767123287696</v>
      </c>
      <c r="DD19" s="75">
        <v>723.28767123287696</v>
      </c>
      <c r="DE19" s="75">
        <v>723.28767123287696</v>
      </c>
      <c r="DF19" s="75">
        <v>723.28767123287696</v>
      </c>
      <c r="DG19" s="75">
        <v>723.28767123287696</v>
      </c>
      <c r="DH19" s="75">
        <v>723.28767123287696</v>
      </c>
      <c r="DI19" s="75">
        <v>723.28767123287696</v>
      </c>
      <c r="DJ19" s="75">
        <v>723.28767123287696</v>
      </c>
      <c r="DK19" s="75">
        <v>723.28767123287696</v>
      </c>
      <c r="DL19" s="75">
        <v>723.28767123287696</v>
      </c>
      <c r="DM19" s="75">
        <v>723.28767123287696</v>
      </c>
      <c r="DN19" s="75">
        <v>723.28767123287696</v>
      </c>
      <c r="DO19" s="75">
        <v>723.28767123287696</v>
      </c>
      <c r="DP19" s="75">
        <v>723.28767123287696</v>
      </c>
      <c r="DQ19" s="75">
        <v>723.28767123287696</v>
      </c>
      <c r="DR19" s="75">
        <v>723.28767123287696</v>
      </c>
      <c r="DS19" s="75">
        <v>723.28767123287696</v>
      </c>
      <c r="DT19" s="75">
        <v>723.28767123287696</v>
      </c>
      <c r="DU19" s="75">
        <v>723.28767123287696</v>
      </c>
      <c r="DV19" s="75">
        <v>723.28767123287696</v>
      </c>
      <c r="DW19" s="24" cm="1">
        <f t="array" ref="DW19">SUMPRODUCT(BQ19:DU19,--(BQ$2:DU$2=DW$2))</f>
        <v>20975.34246575342</v>
      </c>
      <c r="DX19" s="24" cm="1">
        <f t="array" ref="DX19">SUMPRODUCT(BR19:DV19,--(BR$2:DV$2=DX$2))</f>
        <v>20975.34246575342</v>
      </c>
      <c r="DY19" s="24">
        <v>723.28767123287696</v>
      </c>
      <c r="DZ19" s="24">
        <v>723.28767123287696</v>
      </c>
      <c r="EA19" s="24">
        <v>723.28767123287696</v>
      </c>
      <c r="EB19" s="24">
        <v>723.28767123287696</v>
      </c>
      <c r="EC19" s="24">
        <v>723.28767123287696</v>
      </c>
      <c r="ED19" s="24">
        <v>723.28767123287696</v>
      </c>
      <c r="EE19" s="24">
        <v>723.28767123287696</v>
      </c>
      <c r="EF19" s="24">
        <v>723.28767123287696</v>
      </c>
      <c r="EG19" s="24">
        <v>723.28767123287696</v>
      </c>
      <c r="EH19" s="24">
        <v>723.28767123287696</v>
      </c>
      <c r="EI19" s="24">
        <v>723.28767123287696</v>
      </c>
      <c r="EJ19" s="24">
        <v>723.28767123287696</v>
      </c>
      <c r="EK19" s="24">
        <v>723.28767123287696</v>
      </c>
      <c r="EL19" s="24">
        <v>723.28767123287696</v>
      </c>
      <c r="EM19" s="24">
        <v>723.28767123287696</v>
      </c>
      <c r="EN19" s="24">
        <v>723.28767123287696</v>
      </c>
      <c r="EO19" s="24">
        <v>723.28767123287696</v>
      </c>
      <c r="EP19" s="24">
        <v>723.28767123287696</v>
      </c>
      <c r="EQ19" s="24">
        <v>723.28767123287696</v>
      </c>
      <c r="ER19" s="24">
        <v>723.28767123287696</v>
      </c>
      <c r="ES19" s="24">
        <v>723.28767123287696</v>
      </c>
      <c r="ET19" s="24">
        <v>723.28767123287696</v>
      </c>
      <c r="EU19" s="24">
        <v>723.28767123287696</v>
      </c>
      <c r="EV19" s="24">
        <v>723.28767123287696</v>
      </c>
      <c r="EW19" s="24">
        <v>723.28767123287696</v>
      </c>
      <c r="EX19" s="24">
        <v>723.28767123287696</v>
      </c>
      <c r="EY19" s="24">
        <v>723.28767123287696</v>
      </c>
      <c r="EZ19" s="24">
        <v>723.28767123287696</v>
      </c>
      <c r="FA19" s="24">
        <v>723.28767123287696</v>
      </c>
      <c r="FB19" s="24">
        <v>723.28767123287696</v>
      </c>
      <c r="FC19" s="24">
        <v>723.28767123287696</v>
      </c>
      <c r="FD19" s="24">
        <v>723.28767123287696</v>
      </c>
      <c r="FE19" s="24">
        <v>723.28767123287696</v>
      </c>
      <c r="FF19" s="24">
        <v>723.28767123287696</v>
      </c>
      <c r="FG19" s="24">
        <v>723.28767123287696</v>
      </c>
      <c r="FH19" s="24">
        <v>723.28767123287696</v>
      </c>
      <c r="FI19" s="24">
        <v>723.28767123287696</v>
      </c>
      <c r="FJ19" s="24">
        <v>723.28767123287696</v>
      </c>
      <c r="FK19" s="24">
        <v>723.28767123287696</v>
      </c>
      <c r="FL19" s="24">
        <v>723.28767123287696</v>
      </c>
      <c r="FM19" s="24">
        <v>723.28767123287696</v>
      </c>
      <c r="FN19" s="24">
        <v>723.28767123287696</v>
      </c>
      <c r="FO19" s="24">
        <v>723.28767123287696</v>
      </c>
      <c r="FP19" s="24">
        <v>723.28767123287696</v>
      </c>
      <c r="FQ19" s="24">
        <v>723.28767123287696</v>
      </c>
      <c r="FR19" s="24">
        <v>723.28767123287696</v>
      </c>
      <c r="FS19" s="24">
        <v>723.28767123287696</v>
      </c>
      <c r="FT19" s="24">
        <v>723.28767123287696</v>
      </c>
      <c r="FU19" s="24">
        <v>723.28767123287696</v>
      </c>
      <c r="FV19" s="24">
        <v>723.28767123287696</v>
      </c>
      <c r="FW19" s="24">
        <v>723.28767123287696</v>
      </c>
      <c r="FX19" s="24">
        <v>723.28767123287696</v>
      </c>
      <c r="FY19" s="24">
        <v>723.28767123287696</v>
      </c>
      <c r="FZ19" s="24">
        <v>723.28767123287696</v>
      </c>
      <c r="GA19" s="24">
        <v>723.28767123287696</v>
      </c>
      <c r="GB19" s="24">
        <v>723.28767123287696</v>
      </c>
      <c r="GC19" s="24">
        <v>723.28767123287696</v>
      </c>
      <c r="GD19" s="24">
        <v>723.28767123287696</v>
      </c>
      <c r="GE19" s="24">
        <v>723.28767123287696</v>
      </c>
      <c r="GF19" s="24">
        <v>723.28767123287696</v>
      </c>
      <c r="GG19" s="24">
        <v>723.28767123287696</v>
      </c>
      <c r="GH19" s="24">
        <v>723.28767123287696</v>
      </c>
      <c r="GI19" s="24" cm="1">
        <f t="array" ref="GI19">SUMPRODUCT(DY19:GG19,--(DY$2:GG$2=GI$2))</f>
        <v>22421.917808219172</v>
      </c>
      <c r="GJ19" s="24" cm="1">
        <f t="array" ref="GJ19">SUMPRODUCT(DZ19:GH19,--(DZ$2:GH$2=GJ$2))</f>
        <v>22421.917808219172</v>
      </c>
      <c r="GK19" s="24">
        <v>723.28767123287696</v>
      </c>
      <c r="GL19" s="24">
        <v>723.28767123287696</v>
      </c>
      <c r="GM19" s="24">
        <v>723.28767123287696</v>
      </c>
      <c r="GN19" s="24">
        <v>723.28767123287696</v>
      </c>
      <c r="GO19" s="24">
        <v>723.28767123287696</v>
      </c>
      <c r="GP19" s="24">
        <v>723.28767123287696</v>
      </c>
      <c r="GQ19" s="24">
        <v>723.28767123287696</v>
      </c>
      <c r="GR19" s="24">
        <v>723.28767123287696</v>
      </c>
      <c r="GS19" s="24">
        <v>723.28767123287696</v>
      </c>
      <c r="GT19" s="24">
        <v>723.28767123287696</v>
      </c>
      <c r="GU19" s="24">
        <v>723.28767123287696</v>
      </c>
      <c r="GV19" s="24">
        <v>723.28767123287696</v>
      </c>
      <c r="GW19" s="24">
        <v>723.28767123287696</v>
      </c>
      <c r="GX19" s="24">
        <v>723.28767123287696</v>
      </c>
      <c r="GY19" s="24">
        <v>723.28767123287696</v>
      </c>
      <c r="GZ19" s="24">
        <v>723.28767123287696</v>
      </c>
      <c r="HA19" s="24">
        <v>723.28767123287696</v>
      </c>
      <c r="HB19" s="24">
        <v>723.28767123287696</v>
      </c>
      <c r="HC19" s="24">
        <v>723.28767123287696</v>
      </c>
      <c r="HD19" s="24">
        <v>723.28767123287696</v>
      </c>
      <c r="HE19" s="24">
        <v>723.28767123287696</v>
      </c>
      <c r="HF19" s="24">
        <v>723.28767123287696</v>
      </c>
      <c r="HG19" s="24">
        <v>723.28767123287696</v>
      </c>
      <c r="HH19" s="24">
        <v>723.28767123287696</v>
      </c>
      <c r="HI19" s="24">
        <v>723.28767123287696</v>
      </c>
      <c r="HJ19" s="24">
        <v>723.28767123287696</v>
      </c>
      <c r="HK19" s="24">
        <v>723.28767123287696</v>
      </c>
      <c r="HL19" s="24">
        <v>723.28767123287696</v>
      </c>
      <c r="HM19" s="24">
        <v>723.28767123287696</v>
      </c>
      <c r="HN19" s="24">
        <v>723.28767123287696</v>
      </c>
      <c r="HO19" s="24">
        <v>723.28767123287696</v>
      </c>
      <c r="HP19" s="24">
        <v>723.28767123287696</v>
      </c>
      <c r="HQ19" s="24">
        <v>723.28767123287696</v>
      </c>
      <c r="HR19" s="24">
        <v>723.28767123287696</v>
      </c>
      <c r="HS19" s="24">
        <v>609.1</v>
      </c>
      <c r="HT19" s="24">
        <v>609.1</v>
      </c>
      <c r="HU19" s="24">
        <v>653.05999999999995</v>
      </c>
      <c r="HV19" s="24">
        <v>653.05999999999995</v>
      </c>
      <c r="HW19" s="24">
        <v>526.38</v>
      </c>
      <c r="HX19" s="24">
        <v>526.38</v>
      </c>
      <c r="HY19" s="24">
        <v>339.94</v>
      </c>
      <c r="HZ19" s="24">
        <v>339.94</v>
      </c>
      <c r="IA19" s="24">
        <v>510.72</v>
      </c>
      <c r="IB19" s="24">
        <v>510.72</v>
      </c>
      <c r="IC19" s="24">
        <v>791.7</v>
      </c>
      <c r="ID19" s="24">
        <v>791.7</v>
      </c>
      <c r="IE19" s="24">
        <v>484.03</v>
      </c>
      <c r="IF19" s="24">
        <v>484.03</v>
      </c>
      <c r="IG19" s="24">
        <v>502.78</v>
      </c>
      <c r="IH19" s="24">
        <v>502.78</v>
      </c>
      <c r="II19" s="24">
        <v>619.5</v>
      </c>
      <c r="IJ19" s="24">
        <v>619.5</v>
      </c>
      <c r="IK19" s="24"/>
      <c r="IL19" s="24"/>
      <c r="IM19" s="24"/>
      <c r="IN19" s="24"/>
      <c r="IO19" s="24"/>
      <c r="IP19" s="24"/>
      <c r="IQ19" s="24"/>
      <c r="IR19" s="24"/>
      <c r="IS19" s="24">
        <f t="shared" si="88"/>
        <v>17333.100410958905</v>
      </c>
      <c r="IT19" s="24">
        <f t="shared" si="89"/>
        <v>17333.100410958905</v>
      </c>
      <c r="IU19" s="24">
        <v>635.78</v>
      </c>
      <c r="IV19" s="24">
        <v>635.78</v>
      </c>
      <c r="IW19" s="24">
        <v>728.6</v>
      </c>
      <c r="IX19" s="24">
        <v>728.6</v>
      </c>
      <c r="IY19" s="24">
        <v>732.91</v>
      </c>
      <c r="IZ19" s="24">
        <v>732.91</v>
      </c>
      <c r="JA19" s="24">
        <v>734.93</v>
      </c>
      <c r="JB19" s="24">
        <v>734.93</v>
      </c>
      <c r="JC19" s="24">
        <v>402.08</v>
      </c>
      <c r="JD19" s="24">
        <v>402.08</v>
      </c>
      <c r="JE19" s="24">
        <v>430.24</v>
      </c>
      <c r="JF19" s="24">
        <v>430.24</v>
      </c>
      <c r="JG19" s="24">
        <v>443.18</v>
      </c>
      <c r="JH19" s="24">
        <v>443.18</v>
      </c>
      <c r="JI19" s="24">
        <v>490.46</v>
      </c>
      <c r="JJ19" s="24">
        <v>490.46</v>
      </c>
      <c r="JK19" s="24">
        <v>620.88</v>
      </c>
      <c r="JL19" s="24">
        <v>620.88</v>
      </c>
      <c r="JM19" s="24">
        <v>614.16</v>
      </c>
      <c r="JN19" s="24">
        <v>614.16</v>
      </c>
      <c r="JO19" s="24">
        <v>477.72</v>
      </c>
      <c r="JP19" s="24">
        <v>477.72</v>
      </c>
      <c r="JQ19" s="24">
        <v>321.83999999999997</v>
      </c>
      <c r="JR19" s="24">
        <v>321.83999999999997</v>
      </c>
      <c r="JS19" s="24">
        <v>356.64</v>
      </c>
      <c r="JT19" s="24">
        <v>356.64</v>
      </c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24"/>
      <c r="KO19" s="24"/>
      <c r="KP19" s="24"/>
      <c r="KQ19" s="24"/>
      <c r="KR19" s="24"/>
      <c r="KS19" s="24"/>
      <c r="KT19" s="24"/>
      <c r="KU19" s="24"/>
      <c r="KV19" s="24"/>
      <c r="KW19" s="24"/>
      <c r="KX19" s="24"/>
      <c r="KY19" s="24"/>
      <c r="KZ19" s="24"/>
      <c r="LA19" s="24"/>
      <c r="LB19" s="24"/>
      <c r="LC19" s="24"/>
      <c r="LD19" s="24"/>
      <c r="LE19" s="24">
        <f t="shared" si="90"/>
        <v>6989.420000000001</v>
      </c>
      <c r="LF19" s="24">
        <f t="shared" si="91"/>
        <v>6989.420000000001</v>
      </c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24"/>
      <c r="MS19" s="24"/>
      <c r="MT19" s="24"/>
      <c r="MU19" s="24"/>
      <c r="MV19" s="24"/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>
        <f t="shared" si="92"/>
        <v>0</v>
      </c>
      <c r="NP19" s="24">
        <f t="shared" si="93"/>
        <v>0</v>
      </c>
      <c r="NQ19" s="24"/>
      <c r="NR19" s="24"/>
      <c r="NS19" s="24"/>
      <c r="NT19" s="24"/>
      <c r="NU19" s="24"/>
      <c r="NV19" s="24"/>
      <c r="NW19" s="24"/>
      <c r="NX19" s="24"/>
      <c r="NY19" s="24"/>
      <c r="NZ19" s="24"/>
      <c r="OA19" s="24"/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24"/>
      <c r="OW19" s="24"/>
      <c r="OX19" s="24"/>
      <c r="OY19" s="24"/>
      <c r="OZ19" s="24"/>
      <c r="PA19" s="24"/>
      <c r="PB19" s="24"/>
      <c r="PC19" s="24"/>
      <c r="PD19" s="24"/>
      <c r="PE19" s="24"/>
      <c r="PF19" s="24"/>
      <c r="PG19" s="24"/>
      <c r="PH19" s="24"/>
      <c r="PI19" s="24"/>
      <c r="PJ19" s="24"/>
      <c r="PK19" s="24"/>
      <c r="PL19" s="24"/>
      <c r="PM19" s="24"/>
      <c r="PN19" s="24"/>
      <c r="PO19" s="24"/>
      <c r="PP19" s="24"/>
      <c r="PQ19" s="24"/>
      <c r="PR19" s="24"/>
      <c r="PS19" s="24"/>
      <c r="PT19" s="24"/>
      <c r="PU19" s="24"/>
      <c r="PV19" s="24"/>
      <c r="PW19" s="24"/>
      <c r="PX19" s="24"/>
      <c r="PY19" s="24"/>
      <c r="PZ19" s="24"/>
      <c r="QA19" s="24">
        <f t="shared" si="94"/>
        <v>0</v>
      </c>
      <c r="QB19" s="24">
        <f t="shared" si="95"/>
        <v>0</v>
      </c>
      <c r="QC19" s="24"/>
      <c r="QD19" s="24"/>
      <c r="QE19" s="24"/>
      <c r="QF19" s="24"/>
      <c r="QG19" s="24"/>
      <c r="QH19" s="24"/>
      <c r="QI19" s="24"/>
      <c r="QJ19" s="24"/>
      <c r="QK19" s="24"/>
      <c r="QL19" s="24"/>
      <c r="QM19" s="24"/>
      <c r="QN19" s="24"/>
      <c r="QO19" s="24"/>
      <c r="QP19" s="24"/>
      <c r="QQ19" s="24"/>
      <c r="QR19" s="24"/>
      <c r="QS19" s="24"/>
      <c r="QT19" s="24"/>
      <c r="QU19" s="24"/>
      <c r="QV19" s="24"/>
      <c r="QW19" s="24"/>
      <c r="QX19" s="24"/>
      <c r="QY19" s="24"/>
      <c r="QZ19" s="24"/>
      <c r="RA19" s="24"/>
      <c r="RB19" s="24"/>
      <c r="RC19" s="24"/>
      <c r="RD19" s="24"/>
      <c r="RE19" s="24"/>
      <c r="RF19" s="24"/>
      <c r="RG19" s="24"/>
      <c r="RH19" s="24"/>
      <c r="RI19" s="24"/>
      <c r="RJ19" s="24"/>
      <c r="RK19" s="24"/>
      <c r="RL19" s="24"/>
      <c r="RM19" s="24"/>
      <c r="RN19" s="24"/>
      <c r="RO19" s="24"/>
      <c r="RP19" s="24"/>
      <c r="RQ19" s="24"/>
      <c r="RR19" s="24"/>
      <c r="RS19" s="24"/>
      <c r="RT19" s="24"/>
      <c r="RU19" s="24"/>
      <c r="RV19" s="24"/>
      <c r="RW19" s="24"/>
      <c r="RX19" s="24"/>
      <c r="RY19" s="24"/>
      <c r="RZ19" s="24"/>
      <c r="SA19" s="24"/>
      <c r="SB19" s="24"/>
      <c r="SC19" s="24"/>
      <c r="SD19" s="24"/>
      <c r="SE19" s="24"/>
      <c r="SF19" s="24"/>
      <c r="SG19" s="24"/>
      <c r="SH19" s="24"/>
      <c r="SI19" s="24"/>
      <c r="SJ19" s="24"/>
      <c r="SK19" s="24"/>
      <c r="SL19" s="24"/>
      <c r="SM19" s="24">
        <f t="shared" si="96"/>
        <v>0</v>
      </c>
      <c r="SN19" s="24">
        <f t="shared" si="97"/>
        <v>0</v>
      </c>
      <c r="SO19" s="24"/>
      <c r="SP19" s="24"/>
      <c r="SQ19" s="24"/>
      <c r="SR19" s="24"/>
      <c r="SS19" s="24"/>
      <c r="ST19" s="24"/>
      <c r="SU19" s="24"/>
      <c r="SV19" s="24"/>
      <c r="SW19" s="24"/>
      <c r="SX19" s="24"/>
      <c r="SY19" s="24"/>
      <c r="SZ19" s="24"/>
      <c r="TA19" s="24"/>
      <c r="TB19" s="24"/>
      <c r="TC19" s="24"/>
      <c r="TD19" s="24"/>
      <c r="TE19" s="24"/>
      <c r="TF19" s="24"/>
      <c r="TG19" s="24"/>
      <c r="TH19" s="24"/>
      <c r="TI19" s="24"/>
      <c r="TJ19" s="24"/>
      <c r="TK19" s="24"/>
      <c r="TL19" s="24"/>
      <c r="TM19" s="24"/>
      <c r="TN19" s="24"/>
      <c r="TO19" s="24"/>
      <c r="TP19" s="24"/>
      <c r="TQ19" s="24"/>
      <c r="TR19" s="24"/>
      <c r="TS19" s="24"/>
      <c r="TT19" s="24"/>
      <c r="TU19" s="24"/>
      <c r="TV19" s="24"/>
      <c r="TW19" s="24"/>
      <c r="TX19" s="24"/>
      <c r="TY19" s="24"/>
      <c r="TZ19" s="24"/>
      <c r="UA19" s="24"/>
      <c r="UB19" s="24"/>
      <c r="UC19" s="24"/>
      <c r="UD19" s="24"/>
      <c r="UE19" s="24"/>
      <c r="UF19" s="24"/>
      <c r="UG19" s="24"/>
      <c r="UH19" s="24"/>
      <c r="UI19" s="24"/>
      <c r="UJ19" s="24"/>
      <c r="UK19" s="24"/>
      <c r="UL19" s="24"/>
      <c r="UM19" s="24"/>
      <c r="UN19" s="24"/>
      <c r="UO19" s="24"/>
      <c r="UP19" s="24"/>
      <c r="UQ19" s="24"/>
      <c r="UR19" s="24"/>
      <c r="US19" s="24"/>
      <c r="UT19" s="24"/>
      <c r="UU19" s="24"/>
      <c r="UV19" s="24"/>
      <c r="UW19" s="24">
        <f t="shared" si="98"/>
        <v>0</v>
      </c>
      <c r="UX19" s="24">
        <f t="shared" si="99"/>
        <v>0</v>
      </c>
      <c r="UY19" s="24"/>
      <c r="UZ19" s="24"/>
      <c r="VA19" s="24"/>
      <c r="VB19" s="24"/>
      <c r="VC19" s="24"/>
      <c r="VD19" s="24"/>
      <c r="VE19" s="24"/>
      <c r="VF19" s="24"/>
      <c r="VG19" s="24"/>
      <c r="VH19" s="24"/>
      <c r="VI19" s="24"/>
      <c r="VJ19" s="24"/>
      <c r="VK19" s="24"/>
      <c r="VL19" s="24"/>
      <c r="VM19" s="24"/>
      <c r="VN19" s="24"/>
      <c r="VO19" s="24"/>
      <c r="VP19" s="24"/>
      <c r="VQ19" s="24"/>
      <c r="VR19" s="24"/>
      <c r="VS19" s="24"/>
      <c r="VT19" s="24"/>
      <c r="VU19" s="24"/>
      <c r="VV19" s="24"/>
      <c r="VW19" s="24"/>
      <c r="VX19" s="24"/>
      <c r="VY19" s="24"/>
      <c r="VZ19" s="24"/>
      <c r="WA19" s="24"/>
      <c r="WB19" s="24"/>
      <c r="WC19" s="24"/>
      <c r="WD19" s="24"/>
      <c r="WE19" s="24"/>
      <c r="WF19" s="24"/>
      <c r="WG19" s="24"/>
      <c r="WH19" s="24"/>
      <c r="WI19" s="24"/>
      <c r="WJ19" s="24"/>
      <c r="WK19" s="24"/>
      <c r="WL19" s="24"/>
      <c r="WM19" s="24"/>
      <c r="WN19" s="24"/>
      <c r="WO19" s="24"/>
      <c r="WP19" s="24"/>
      <c r="WQ19" s="24"/>
      <c r="WR19" s="24"/>
      <c r="WS19" s="24"/>
      <c r="WT19" s="24"/>
      <c r="WU19" s="24"/>
      <c r="WV19" s="24"/>
      <c r="WW19" s="24"/>
      <c r="WX19" s="24"/>
      <c r="WY19" s="24"/>
      <c r="WZ19" s="24"/>
      <c r="XA19" s="24"/>
      <c r="XB19" s="24"/>
      <c r="XC19" s="24"/>
      <c r="XD19" s="24"/>
      <c r="XE19" s="24"/>
      <c r="XF19" s="24"/>
      <c r="XG19" s="24"/>
      <c r="XH19" s="24"/>
      <c r="XI19" s="24">
        <f t="shared" si="100"/>
        <v>0</v>
      </c>
      <c r="XJ19" s="24">
        <f t="shared" si="101"/>
        <v>0</v>
      </c>
      <c r="XK19" s="24"/>
      <c r="XL19" s="24"/>
      <c r="XM19" s="24"/>
      <c r="XN19" s="24"/>
      <c r="XO19" s="24"/>
      <c r="XP19" s="24"/>
      <c r="XQ19" s="24"/>
      <c r="XR19" s="24"/>
      <c r="XS19" s="24"/>
      <c r="XT19" s="24"/>
      <c r="XU19" s="24"/>
      <c r="XV19" s="24"/>
      <c r="XW19" s="24"/>
      <c r="XX19" s="24"/>
      <c r="XY19" s="24"/>
      <c r="XZ19" s="24"/>
      <c r="YA19" s="24"/>
      <c r="YB19" s="24"/>
      <c r="YC19" s="24"/>
      <c r="YD19" s="24"/>
      <c r="YE19" s="24"/>
      <c r="YF19" s="24"/>
      <c r="YG19" s="24"/>
      <c r="YH19" s="24"/>
      <c r="YI19" s="24"/>
      <c r="YJ19" s="24"/>
      <c r="YK19" s="24"/>
      <c r="YL19" s="24"/>
      <c r="YM19" s="24"/>
      <c r="YN19" s="24"/>
      <c r="YO19" s="24"/>
      <c r="YP19" s="24"/>
      <c r="YQ19" s="24"/>
      <c r="YR19" s="24"/>
      <c r="YS19" s="24"/>
      <c r="YT19" s="24"/>
      <c r="YU19" s="24"/>
      <c r="YV19" s="24"/>
      <c r="YW19" s="24"/>
      <c r="YX19" s="24"/>
      <c r="YY19" s="24"/>
      <c r="YZ19" s="24"/>
      <c r="ZA19" s="24"/>
      <c r="ZB19" s="24"/>
      <c r="ZC19" s="24"/>
      <c r="ZD19" s="24"/>
      <c r="ZE19" s="24"/>
      <c r="ZF19" s="24"/>
      <c r="ZG19" s="24"/>
      <c r="ZH19" s="24"/>
      <c r="ZI19" s="24"/>
      <c r="ZJ19" s="24"/>
      <c r="ZK19" s="24"/>
      <c r="ZL19" s="24"/>
      <c r="ZM19" s="24"/>
      <c r="ZN19" s="24"/>
      <c r="ZO19" s="24"/>
      <c r="ZP19" s="24"/>
      <c r="ZQ19" s="24"/>
      <c r="ZR19" s="24"/>
      <c r="ZS19" s="24">
        <f t="shared" si="102"/>
        <v>0</v>
      </c>
      <c r="ZT19" s="24">
        <f t="shared" si="103"/>
        <v>0</v>
      </c>
      <c r="ZU19" s="24"/>
      <c r="ZV19" s="24"/>
      <c r="ZW19" s="24"/>
      <c r="ZX19" s="24"/>
      <c r="ZY19" s="24"/>
      <c r="ZZ19" s="24"/>
      <c r="AAA19" s="24"/>
      <c r="AAB19" s="24"/>
      <c r="AAC19" s="24"/>
      <c r="AAD19" s="24"/>
      <c r="AAE19" s="24"/>
      <c r="AAF19" s="24"/>
      <c r="AAG19" s="24"/>
      <c r="AAH19" s="24"/>
      <c r="AAI19" s="24"/>
      <c r="AAJ19" s="24"/>
      <c r="AAK19" s="24"/>
      <c r="AAL19" s="24"/>
      <c r="AAM19" s="24"/>
      <c r="AAN19" s="24"/>
      <c r="AAO19" s="24"/>
      <c r="AAP19" s="24"/>
      <c r="AAQ19" s="24"/>
      <c r="AAR19" s="24"/>
      <c r="AAS19" s="24"/>
      <c r="AAT19" s="24"/>
      <c r="AAU19" s="24"/>
      <c r="AAV19" s="24"/>
      <c r="AAW19" s="24"/>
      <c r="AAX19" s="24"/>
      <c r="AAY19" s="24"/>
      <c r="AAZ19" s="24"/>
      <c r="ABA19" s="24"/>
      <c r="ABB19" s="24"/>
      <c r="ABC19" s="24"/>
      <c r="ABD19" s="24"/>
      <c r="ABE19" s="24"/>
      <c r="ABF19" s="24"/>
      <c r="ABG19" s="24"/>
      <c r="ABH19" s="24"/>
      <c r="ABI19" s="24"/>
      <c r="ABJ19" s="24"/>
      <c r="ABK19" s="24"/>
      <c r="ABL19" s="24"/>
      <c r="ABM19" s="24"/>
      <c r="ABN19" s="24"/>
      <c r="ABO19" s="24"/>
      <c r="ABP19" s="24"/>
      <c r="ABQ19" s="24"/>
      <c r="ABR19" s="24"/>
      <c r="ABS19" s="24"/>
      <c r="ABT19" s="24"/>
      <c r="ABU19" s="24"/>
      <c r="ABV19" s="24"/>
      <c r="ABW19" s="24"/>
      <c r="ABX19" s="24"/>
      <c r="ABY19" s="24"/>
      <c r="ABZ19" s="24"/>
      <c r="ACA19" s="24"/>
      <c r="ACB19" s="24"/>
      <c r="ACC19" s="24"/>
      <c r="ACD19" s="24"/>
      <c r="ACE19" s="24">
        <f t="shared" si="104"/>
        <v>0</v>
      </c>
      <c r="ACF19" s="24"/>
      <c r="ACG19" s="24">
        <f t="shared" si="105"/>
        <v>90141.698493150659</v>
      </c>
      <c r="ACH19" s="25"/>
      <c r="ACI19" s="71" t="s">
        <v>137</v>
      </c>
      <c r="ACJ19" s="71" t="s">
        <v>87</v>
      </c>
    </row>
    <row r="20" spans="1:764" x14ac:dyDescent="0.25">
      <c r="A20" s="162"/>
      <c r="B20" s="152"/>
      <c r="C20" s="155"/>
      <c r="D20" s="50" t="s">
        <v>7</v>
      </c>
      <c r="E20" s="74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24" cm="1">
        <f t="array" ref="BO20">SUMPRODUCT(E20:BM20,--(E$2:BM$2=BO$2))</f>
        <v>0</v>
      </c>
      <c r="BP20" s="24" cm="1">
        <f t="array" ref="BP20">SUMPRODUCT(F20:BN20,--(F$2:BN$2=BP$2))</f>
        <v>0</v>
      </c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 cm="1">
        <f t="array" ref="DW20">SUMPRODUCT(BQ20:DU20,--(BQ$2:DU$2=DW$2))</f>
        <v>0</v>
      </c>
      <c r="DX20" s="24" cm="1">
        <f t="array" ref="DX20">SUMPRODUCT(BR20:DV20,--(BR$2:DV$2=DX$2))</f>
        <v>0</v>
      </c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24"/>
      <c r="GG20" s="24"/>
      <c r="GH20" s="24"/>
      <c r="GI20" s="24" cm="1">
        <f t="array" ref="GI20">SUMPRODUCT(DY20:GG20,--(DY$2:GG$2=GI$2))</f>
        <v>0</v>
      </c>
      <c r="GJ20" s="24" cm="1">
        <f t="array" ref="GJ20">SUMPRODUCT(DZ20:GH20,--(DZ$2:GH$2=GJ$2))</f>
        <v>0</v>
      </c>
      <c r="GK20" s="24"/>
      <c r="GL20" s="24"/>
      <c r="GM20" s="24"/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>
        <f t="shared" si="88"/>
        <v>0</v>
      </c>
      <c r="IT20" s="24">
        <f t="shared" si="89"/>
        <v>0</v>
      </c>
      <c r="IU20" s="24"/>
      <c r="IV20" s="24"/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24"/>
      <c r="JR20" s="24"/>
      <c r="JS20" s="24"/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24"/>
      <c r="KO20" s="24"/>
      <c r="KP20" s="24"/>
      <c r="KQ20" s="24"/>
      <c r="KR20" s="24"/>
      <c r="KS20" s="24"/>
      <c r="KT20" s="24"/>
      <c r="KU20" s="24"/>
      <c r="KV20" s="24"/>
      <c r="KW20" s="24"/>
      <c r="KX20" s="24"/>
      <c r="KY20" s="24"/>
      <c r="KZ20" s="24"/>
      <c r="LA20" s="24"/>
      <c r="LB20" s="24"/>
      <c r="LC20" s="24"/>
      <c r="LD20" s="24"/>
      <c r="LE20" s="24">
        <f t="shared" si="90"/>
        <v>0</v>
      </c>
      <c r="LF20" s="24">
        <f t="shared" si="91"/>
        <v>0</v>
      </c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24"/>
      <c r="MS20" s="24"/>
      <c r="MT20" s="24"/>
      <c r="MU20" s="24"/>
      <c r="MV20" s="24"/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>
        <f t="shared" si="92"/>
        <v>0</v>
      </c>
      <c r="NP20" s="24">
        <f t="shared" si="93"/>
        <v>0</v>
      </c>
      <c r="NQ20" s="24"/>
      <c r="NR20" s="24"/>
      <c r="NS20" s="24"/>
      <c r="NT20" s="24"/>
      <c r="NU20" s="24"/>
      <c r="NV20" s="24"/>
      <c r="NW20" s="24"/>
      <c r="NX20" s="24"/>
      <c r="NY20" s="24"/>
      <c r="NZ20" s="24"/>
      <c r="OA20" s="24"/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24"/>
      <c r="OW20" s="24"/>
      <c r="OX20" s="24"/>
      <c r="OY20" s="24"/>
      <c r="OZ20" s="24"/>
      <c r="PA20" s="24"/>
      <c r="PB20" s="24"/>
      <c r="PC20" s="24"/>
      <c r="PD20" s="24"/>
      <c r="PE20" s="24"/>
      <c r="PF20" s="24"/>
      <c r="PG20" s="24"/>
      <c r="PH20" s="24"/>
      <c r="PI20" s="24"/>
      <c r="PJ20" s="24"/>
      <c r="PK20" s="24"/>
      <c r="PL20" s="24"/>
      <c r="PM20" s="24"/>
      <c r="PN20" s="24"/>
      <c r="PO20" s="24"/>
      <c r="PP20" s="24"/>
      <c r="PQ20" s="24"/>
      <c r="PR20" s="24"/>
      <c r="PS20" s="24"/>
      <c r="PT20" s="24"/>
      <c r="PU20" s="24"/>
      <c r="PV20" s="24"/>
      <c r="PW20" s="24"/>
      <c r="PX20" s="24"/>
      <c r="PY20" s="24"/>
      <c r="PZ20" s="24"/>
      <c r="QA20" s="24">
        <f t="shared" si="94"/>
        <v>0</v>
      </c>
      <c r="QB20" s="24">
        <f t="shared" si="95"/>
        <v>0</v>
      </c>
      <c r="QC20" s="24"/>
      <c r="QD20" s="24"/>
      <c r="QE20" s="24"/>
      <c r="QF20" s="24"/>
      <c r="QG20" s="24"/>
      <c r="QH20" s="24"/>
      <c r="QI20" s="24"/>
      <c r="QJ20" s="24"/>
      <c r="QK20" s="24"/>
      <c r="QL20" s="24"/>
      <c r="QM20" s="24"/>
      <c r="QN20" s="24"/>
      <c r="QO20" s="24"/>
      <c r="QP20" s="24"/>
      <c r="QQ20" s="24"/>
      <c r="QR20" s="24"/>
      <c r="QS20" s="24"/>
      <c r="QT20" s="24"/>
      <c r="QU20" s="24"/>
      <c r="QV20" s="24"/>
      <c r="QW20" s="24"/>
      <c r="QX20" s="24"/>
      <c r="QY20" s="24"/>
      <c r="QZ20" s="24"/>
      <c r="RA20" s="24"/>
      <c r="RB20" s="24"/>
      <c r="RC20" s="24"/>
      <c r="RD20" s="24"/>
      <c r="RE20" s="24"/>
      <c r="RF20" s="24"/>
      <c r="RG20" s="24"/>
      <c r="RH20" s="24"/>
      <c r="RI20" s="24"/>
      <c r="RJ20" s="24"/>
      <c r="RK20" s="24"/>
      <c r="RL20" s="24"/>
      <c r="RM20" s="24"/>
      <c r="RN20" s="24"/>
      <c r="RO20" s="24"/>
      <c r="RP20" s="24"/>
      <c r="RQ20" s="24"/>
      <c r="RR20" s="24"/>
      <c r="RS20" s="24"/>
      <c r="RT20" s="24"/>
      <c r="RU20" s="24"/>
      <c r="RV20" s="24"/>
      <c r="RW20" s="24"/>
      <c r="RX20" s="24"/>
      <c r="RY20" s="24"/>
      <c r="RZ20" s="24"/>
      <c r="SA20" s="24"/>
      <c r="SB20" s="24"/>
      <c r="SC20" s="24"/>
      <c r="SD20" s="24"/>
      <c r="SE20" s="24"/>
      <c r="SF20" s="24"/>
      <c r="SG20" s="24"/>
      <c r="SH20" s="24"/>
      <c r="SI20" s="24"/>
      <c r="SJ20" s="24"/>
      <c r="SK20" s="24"/>
      <c r="SL20" s="24"/>
      <c r="SM20" s="24">
        <f t="shared" si="96"/>
        <v>0</v>
      </c>
      <c r="SN20" s="24">
        <f t="shared" si="97"/>
        <v>0</v>
      </c>
      <c r="SO20" s="24"/>
      <c r="SP20" s="24"/>
      <c r="SQ20" s="24"/>
      <c r="SR20" s="24"/>
      <c r="SS20" s="24"/>
      <c r="ST20" s="24"/>
      <c r="SU20" s="24"/>
      <c r="SV20" s="24"/>
      <c r="SW20" s="24"/>
      <c r="SX20" s="24"/>
      <c r="SY20" s="24"/>
      <c r="SZ20" s="24"/>
      <c r="TA20" s="24"/>
      <c r="TB20" s="24"/>
      <c r="TC20" s="24"/>
      <c r="TD20" s="24"/>
      <c r="TE20" s="24"/>
      <c r="TF20" s="24"/>
      <c r="TG20" s="24"/>
      <c r="TH20" s="24"/>
      <c r="TI20" s="24"/>
      <c r="TJ20" s="24"/>
      <c r="TK20" s="24"/>
      <c r="TL20" s="24"/>
      <c r="TM20" s="24"/>
      <c r="TN20" s="24"/>
      <c r="TO20" s="24"/>
      <c r="TP20" s="24"/>
      <c r="TQ20" s="24"/>
      <c r="TR20" s="24"/>
      <c r="TS20" s="24"/>
      <c r="TT20" s="24"/>
      <c r="TU20" s="24"/>
      <c r="TV20" s="24"/>
      <c r="TW20" s="24"/>
      <c r="TX20" s="24"/>
      <c r="TY20" s="24"/>
      <c r="TZ20" s="24"/>
      <c r="UA20" s="24"/>
      <c r="UB20" s="24"/>
      <c r="UC20" s="24"/>
      <c r="UD20" s="24"/>
      <c r="UE20" s="24"/>
      <c r="UF20" s="24"/>
      <c r="UG20" s="24"/>
      <c r="UH20" s="24"/>
      <c r="UI20" s="24"/>
      <c r="UJ20" s="24"/>
      <c r="UK20" s="24"/>
      <c r="UL20" s="24"/>
      <c r="UM20" s="24"/>
      <c r="UN20" s="24"/>
      <c r="UO20" s="24"/>
      <c r="UP20" s="24"/>
      <c r="UQ20" s="24"/>
      <c r="UR20" s="24"/>
      <c r="US20" s="24"/>
      <c r="UT20" s="24"/>
      <c r="UU20" s="24"/>
      <c r="UV20" s="24"/>
      <c r="UW20" s="24">
        <f t="shared" si="98"/>
        <v>0</v>
      </c>
      <c r="UX20" s="24">
        <f t="shared" si="99"/>
        <v>0</v>
      </c>
      <c r="UY20" s="24"/>
      <c r="UZ20" s="24"/>
      <c r="VA20" s="24"/>
      <c r="VB20" s="24"/>
      <c r="VC20" s="24"/>
      <c r="VD20" s="24"/>
      <c r="VE20" s="24"/>
      <c r="VF20" s="24"/>
      <c r="VG20" s="24"/>
      <c r="VH20" s="24"/>
      <c r="VI20" s="24"/>
      <c r="VJ20" s="24"/>
      <c r="VK20" s="24"/>
      <c r="VL20" s="24"/>
      <c r="VM20" s="24"/>
      <c r="VN20" s="24"/>
      <c r="VO20" s="24"/>
      <c r="VP20" s="24"/>
      <c r="VQ20" s="24"/>
      <c r="VR20" s="24"/>
      <c r="VS20" s="24"/>
      <c r="VT20" s="24"/>
      <c r="VU20" s="24"/>
      <c r="VV20" s="24"/>
      <c r="VW20" s="24"/>
      <c r="VX20" s="24"/>
      <c r="VY20" s="24"/>
      <c r="VZ20" s="24"/>
      <c r="WA20" s="24"/>
      <c r="WB20" s="24"/>
      <c r="WC20" s="24"/>
      <c r="WD20" s="24"/>
      <c r="WE20" s="24"/>
      <c r="WF20" s="24"/>
      <c r="WG20" s="24"/>
      <c r="WH20" s="24"/>
      <c r="WI20" s="24"/>
      <c r="WJ20" s="24"/>
      <c r="WK20" s="24"/>
      <c r="WL20" s="24"/>
      <c r="WM20" s="24"/>
      <c r="WN20" s="24"/>
      <c r="WO20" s="24"/>
      <c r="WP20" s="24"/>
      <c r="WQ20" s="24"/>
      <c r="WR20" s="24"/>
      <c r="WS20" s="24"/>
      <c r="WT20" s="24"/>
      <c r="WU20" s="24"/>
      <c r="WV20" s="24"/>
      <c r="WW20" s="24"/>
      <c r="WX20" s="24"/>
      <c r="WY20" s="24"/>
      <c r="WZ20" s="24"/>
      <c r="XA20" s="24"/>
      <c r="XB20" s="24"/>
      <c r="XC20" s="24"/>
      <c r="XD20" s="24"/>
      <c r="XE20" s="24"/>
      <c r="XF20" s="24"/>
      <c r="XG20" s="24"/>
      <c r="XH20" s="24"/>
      <c r="XI20" s="24">
        <f t="shared" si="100"/>
        <v>0</v>
      </c>
      <c r="XJ20" s="24">
        <f t="shared" si="101"/>
        <v>0</v>
      </c>
      <c r="XK20" s="24"/>
      <c r="XL20" s="24"/>
      <c r="XM20" s="24"/>
      <c r="XN20" s="24"/>
      <c r="XO20" s="24"/>
      <c r="XP20" s="24"/>
      <c r="XQ20" s="24"/>
      <c r="XR20" s="24"/>
      <c r="XS20" s="24"/>
      <c r="XT20" s="24"/>
      <c r="XU20" s="24"/>
      <c r="XV20" s="24"/>
      <c r="XW20" s="24"/>
      <c r="XX20" s="24"/>
      <c r="XY20" s="24"/>
      <c r="XZ20" s="24"/>
      <c r="YA20" s="24"/>
      <c r="YB20" s="24"/>
      <c r="YC20" s="24"/>
      <c r="YD20" s="24"/>
      <c r="YE20" s="24"/>
      <c r="YF20" s="24"/>
      <c r="YG20" s="24"/>
      <c r="YH20" s="24"/>
      <c r="YI20" s="24"/>
      <c r="YJ20" s="24"/>
      <c r="YK20" s="24"/>
      <c r="YL20" s="24"/>
      <c r="YM20" s="24"/>
      <c r="YN20" s="24"/>
      <c r="YO20" s="24"/>
      <c r="YP20" s="24"/>
      <c r="YQ20" s="24"/>
      <c r="YR20" s="24"/>
      <c r="YS20" s="24"/>
      <c r="YT20" s="24"/>
      <c r="YU20" s="24"/>
      <c r="YV20" s="24"/>
      <c r="YW20" s="24"/>
      <c r="YX20" s="24"/>
      <c r="YY20" s="24"/>
      <c r="YZ20" s="24"/>
      <c r="ZA20" s="24"/>
      <c r="ZB20" s="24"/>
      <c r="ZC20" s="24"/>
      <c r="ZD20" s="24"/>
      <c r="ZE20" s="24"/>
      <c r="ZF20" s="24"/>
      <c r="ZG20" s="24"/>
      <c r="ZH20" s="24"/>
      <c r="ZI20" s="24"/>
      <c r="ZJ20" s="24"/>
      <c r="ZK20" s="24"/>
      <c r="ZL20" s="24"/>
      <c r="ZM20" s="24"/>
      <c r="ZN20" s="24"/>
      <c r="ZO20" s="24"/>
      <c r="ZP20" s="24"/>
      <c r="ZQ20" s="24"/>
      <c r="ZR20" s="24"/>
      <c r="ZS20" s="24">
        <f t="shared" si="102"/>
        <v>0</v>
      </c>
      <c r="ZT20" s="24">
        <f t="shared" si="103"/>
        <v>0</v>
      </c>
      <c r="ZU20" s="24"/>
      <c r="ZV20" s="24"/>
      <c r="ZW20" s="24"/>
      <c r="ZX20" s="24"/>
      <c r="ZY20" s="24"/>
      <c r="ZZ20" s="24"/>
      <c r="AAA20" s="24"/>
      <c r="AAB20" s="24"/>
      <c r="AAC20" s="24"/>
      <c r="AAD20" s="24"/>
      <c r="AAE20" s="24"/>
      <c r="AAF20" s="24"/>
      <c r="AAG20" s="24"/>
      <c r="AAH20" s="24"/>
      <c r="AAI20" s="24"/>
      <c r="AAJ20" s="24"/>
      <c r="AAK20" s="24"/>
      <c r="AAL20" s="24"/>
      <c r="AAM20" s="24"/>
      <c r="AAN20" s="24"/>
      <c r="AAO20" s="24"/>
      <c r="AAP20" s="24"/>
      <c r="AAQ20" s="24"/>
      <c r="AAR20" s="24"/>
      <c r="AAS20" s="24"/>
      <c r="AAT20" s="24"/>
      <c r="AAU20" s="24"/>
      <c r="AAV20" s="24"/>
      <c r="AAW20" s="24"/>
      <c r="AAX20" s="24"/>
      <c r="AAY20" s="24"/>
      <c r="AAZ20" s="24"/>
      <c r="ABA20" s="24"/>
      <c r="ABB20" s="24"/>
      <c r="ABC20" s="24"/>
      <c r="ABD20" s="24"/>
      <c r="ABE20" s="24"/>
      <c r="ABF20" s="24"/>
      <c r="ABG20" s="24"/>
      <c r="ABH20" s="24"/>
      <c r="ABI20" s="24"/>
      <c r="ABJ20" s="24"/>
      <c r="ABK20" s="24"/>
      <c r="ABL20" s="24"/>
      <c r="ABM20" s="24"/>
      <c r="ABN20" s="24"/>
      <c r="ABO20" s="24"/>
      <c r="ABP20" s="24"/>
      <c r="ABQ20" s="24"/>
      <c r="ABR20" s="24"/>
      <c r="ABS20" s="24"/>
      <c r="ABT20" s="24"/>
      <c r="ABU20" s="24"/>
      <c r="ABV20" s="24"/>
      <c r="ABW20" s="24"/>
      <c r="ABX20" s="24"/>
      <c r="ABY20" s="24"/>
      <c r="ABZ20" s="24"/>
      <c r="ACA20" s="24"/>
      <c r="ACB20" s="24"/>
      <c r="ACC20" s="24"/>
      <c r="ACD20" s="24"/>
      <c r="ACE20" s="24">
        <f t="shared" si="104"/>
        <v>0</v>
      </c>
      <c r="ACF20" s="24"/>
      <c r="ACG20" s="24">
        <f t="shared" si="105"/>
        <v>0</v>
      </c>
      <c r="ACH20" s="25"/>
      <c r="ACI20" s="71" t="s">
        <v>138</v>
      </c>
      <c r="ACJ20" s="71" t="s">
        <v>87</v>
      </c>
    </row>
    <row r="21" spans="1:764" x14ac:dyDescent="0.25">
      <c r="A21" s="162"/>
      <c r="B21" s="152"/>
      <c r="C21" s="155"/>
      <c r="D21" s="50" t="s">
        <v>4</v>
      </c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24" cm="1">
        <f t="array" ref="BO21">SUMPRODUCT(E21:BM21,--(E$2:BM$2=BO$2))</f>
        <v>0</v>
      </c>
      <c r="BP21" s="24" cm="1">
        <f t="array" ref="BP21">SUMPRODUCT(F21:BN21,--(F$2:BN$2=BP$2))</f>
        <v>0</v>
      </c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 cm="1">
        <f t="array" ref="DW21">SUMPRODUCT(BQ21:DU21,--(BQ$2:DU$2=DW$2))</f>
        <v>0</v>
      </c>
      <c r="DX21" s="24" cm="1">
        <f t="array" ref="DX21">SUMPRODUCT(BR21:DV21,--(BR$2:DV$2=DX$2))</f>
        <v>0</v>
      </c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24"/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24"/>
      <c r="GG21" s="24"/>
      <c r="GH21" s="24"/>
      <c r="GI21" s="24" cm="1">
        <f t="array" ref="GI21">SUMPRODUCT(DY21:GG21,--(DY$2:GG$2=GI$2))</f>
        <v>0</v>
      </c>
      <c r="GJ21" s="24" cm="1">
        <f t="array" ref="GJ21">SUMPRODUCT(DZ21:GH21,--(DZ$2:GH$2=GJ$2))</f>
        <v>0</v>
      </c>
      <c r="GK21" s="24"/>
      <c r="GL21" s="24"/>
      <c r="GM21" s="24"/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>
        <f t="shared" si="88"/>
        <v>0</v>
      </c>
      <c r="IT21" s="24">
        <f t="shared" si="89"/>
        <v>0</v>
      </c>
      <c r="IU21" s="24"/>
      <c r="IV21" s="24"/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24"/>
      <c r="JR21" s="24"/>
      <c r="JS21" s="24"/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24"/>
      <c r="KO21" s="24"/>
      <c r="KP21" s="24"/>
      <c r="KQ21" s="24"/>
      <c r="KR21" s="24"/>
      <c r="KS21" s="24"/>
      <c r="KT21" s="24"/>
      <c r="KU21" s="24"/>
      <c r="KV21" s="24"/>
      <c r="KW21" s="24"/>
      <c r="KX21" s="24"/>
      <c r="KY21" s="24"/>
      <c r="KZ21" s="24"/>
      <c r="LA21" s="24"/>
      <c r="LB21" s="24"/>
      <c r="LC21" s="24"/>
      <c r="LD21" s="24"/>
      <c r="LE21" s="24">
        <f t="shared" si="90"/>
        <v>0</v>
      </c>
      <c r="LF21" s="24">
        <f t="shared" si="91"/>
        <v>0</v>
      </c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24"/>
      <c r="MS21" s="24"/>
      <c r="MT21" s="24"/>
      <c r="MU21" s="24"/>
      <c r="MV21" s="24"/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>
        <f t="shared" si="92"/>
        <v>0</v>
      </c>
      <c r="NP21" s="24">
        <f t="shared" si="93"/>
        <v>0</v>
      </c>
      <c r="NQ21" s="24"/>
      <c r="NR21" s="24"/>
      <c r="NS21" s="24"/>
      <c r="NT21" s="24"/>
      <c r="NU21" s="24"/>
      <c r="NV21" s="24"/>
      <c r="NW21" s="24"/>
      <c r="NX21" s="24"/>
      <c r="NY21" s="24"/>
      <c r="NZ21" s="24"/>
      <c r="OA21" s="24"/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24"/>
      <c r="OW21" s="24"/>
      <c r="OX21" s="24"/>
      <c r="OY21" s="24"/>
      <c r="OZ21" s="24"/>
      <c r="PA21" s="24"/>
      <c r="PB21" s="24"/>
      <c r="PC21" s="24"/>
      <c r="PD21" s="24"/>
      <c r="PE21" s="24"/>
      <c r="PF21" s="24"/>
      <c r="PG21" s="24"/>
      <c r="PH21" s="24"/>
      <c r="PI21" s="24"/>
      <c r="PJ21" s="24"/>
      <c r="PK21" s="24"/>
      <c r="PL21" s="24"/>
      <c r="PM21" s="24"/>
      <c r="PN21" s="24"/>
      <c r="PO21" s="24"/>
      <c r="PP21" s="24"/>
      <c r="PQ21" s="24"/>
      <c r="PR21" s="24"/>
      <c r="PS21" s="24"/>
      <c r="PT21" s="24"/>
      <c r="PU21" s="24"/>
      <c r="PV21" s="24"/>
      <c r="PW21" s="24"/>
      <c r="PX21" s="24"/>
      <c r="PY21" s="24"/>
      <c r="PZ21" s="24"/>
      <c r="QA21" s="24">
        <f t="shared" si="94"/>
        <v>0</v>
      </c>
      <c r="QB21" s="24">
        <f t="shared" si="95"/>
        <v>0</v>
      </c>
      <c r="QC21" s="24"/>
      <c r="QD21" s="24"/>
      <c r="QE21" s="24"/>
      <c r="QF21" s="24"/>
      <c r="QG21" s="24"/>
      <c r="QH21" s="24"/>
      <c r="QI21" s="24"/>
      <c r="QJ21" s="24"/>
      <c r="QK21" s="24"/>
      <c r="QL21" s="24"/>
      <c r="QM21" s="24"/>
      <c r="QN21" s="24"/>
      <c r="QO21" s="24"/>
      <c r="QP21" s="24"/>
      <c r="QQ21" s="24"/>
      <c r="QR21" s="24"/>
      <c r="QS21" s="24"/>
      <c r="QT21" s="24"/>
      <c r="QU21" s="24"/>
      <c r="QV21" s="24"/>
      <c r="QW21" s="24"/>
      <c r="QX21" s="24"/>
      <c r="QY21" s="24"/>
      <c r="QZ21" s="24"/>
      <c r="RA21" s="24"/>
      <c r="RB21" s="24"/>
      <c r="RC21" s="24"/>
      <c r="RD21" s="24"/>
      <c r="RE21" s="24"/>
      <c r="RF21" s="24"/>
      <c r="RG21" s="24"/>
      <c r="RH21" s="24"/>
      <c r="RI21" s="24"/>
      <c r="RJ21" s="24"/>
      <c r="RK21" s="24"/>
      <c r="RL21" s="24"/>
      <c r="RM21" s="24"/>
      <c r="RN21" s="24"/>
      <c r="RO21" s="24"/>
      <c r="RP21" s="24"/>
      <c r="RQ21" s="24"/>
      <c r="RR21" s="24"/>
      <c r="RS21" s="24"/>
      <c r="RT21" s="24"/>
      <c r="RU21" s="24"/>
      <c r="RV21" s="24"/>
      <c r="RW21" s="24"/>
      <c r="RX21" s="24"/>
      <c r="RY21" s="24"/>
      <c r="RZ21" s="24"/>
      <c r="SA21" s="24"/>
      <c r="SB21" s="24"/>
      <c r="SC21" s="24"/>
      <c r="SD21" s="24"/>
      <c r="SE21" s="24"/>
      <c r="SF21" s="24"/>
      <c r="SG21" s="24"/>
      <c r="SH21" s="24"/>
      <c r="SI21" s="24"/>
      <c r="SJ21" s="24"/>
      <c r="SK21" s="24"/>
      <c r="SL21" s="24"/>
      <c r="SM21" s="24">
        <f t="shared" si="96"/>
        <v>0</v>
      </c>
      <c r="SN21" s="24">
        <f t="shared" si="97"/>
        <v>0</v>
      </c>
      <c r="SO21" s="24"/>
      <c r="SP21" s="24"/>
      <c r="SQ21" s="24"/>
      <c r="SR21" s="24"/>
      <c r="SS21" s="24"/>
      <c r="ST21" s="24"/>
      <c r="SU21" s="24"/>
      <c r="SV21" s="24"/>
      <c r="SW21" s="24"/>
      <c r="SX21" s="24"/>
      <c r="SY21" s="24"/>
      <c r="SZ21" s="24"/>
      <c r="TA21" s="24"/>
      <c r="TB21" s="24"/>
      <c r="TC21" s="24"/>
      <c r="TD21" s="24"/>
      <c r="TE21" s="24"/>
      <c r="TF21" s="24"/>
      <c r="TG21" s="24"/>
      <c r="TH21" s="24"/>
      <c r="TI21" s="24"/>
      <c r="TJ21" s="24"/>
      <c r="TK21" s="24"/>
      <c r="TL21" s="24"/>
      <c r="TM21" s="24"/>
      <c r="TN21" s="24"/>
      <c r="TO21" s="24"/>
      <c r="TP21" s="24"/>
      <c r="TQ21" s="24"/>
      <c r="TR21" s="24"/>
      <c r="TS21" s="24"/>
      <c r="TT21" s="24"/>
      <c r="TU21" s="24"/>
      <c r="TV21" s="24"/>
      <c r="TW21" s="24"/>
      <c r="TX21" s="24"/>
      <c r="TY21" s="24"/>
      <c r="TZ21" s="24"/>
      <c r="UA21" s="24"/>
      <c r="UB21" s="24"/>
      <c r="UC21" s="24"/>
      <c r="UD21" s="24"/>
      <c r="UE21" s="24"/>
      <c r="UF21" s="24"/>
      <c r="UG21" s="24"/>
      <c r="UH21" s="24"/>
      <c r="UI21" s="24"/>
      <c r="UJ21" s="24"/>
      <c r="UK21" s="24"/>
      <c r="UL21" s="24"/>
      <c r="UM21" s="24"/>
      <c r="UN21" s="24"/>
      <c r="UO21" s="24"/>
      <c r="UP21" s="24"/>
      <c r="UQ21" s="24"/>
      <c r="UR21" s="24"/>
      <c r="US21" s="24"/>
      <c r="UT21" s="24"/>
      <c r="UU21" s="24"/>
      <c r="UV21" s="24"/>
      <c r="UW21" s="24">
        <f t="shared" si="98"/>
        <v>0</v>
      </c>
      <c r="UX21" s="24">
        <f t="shared" si="99"/>
        <v>0</v>
      </c>
      <c r="UY21" s="24"/>
      <c r="UZ21" s="24"/>
      <c r="VA21" s="24"/>
      <c r="VB21" s="24"/>
      <c r="VC21" s="24"/>
      <c r="VD21" s="24"/>
      <c r="VE21" s="24"/>
      <c r="VF21" s="24"/>
      <c r="VG21" s="24"/>
      <c r="VH21" s="24"/>
      <c r="VI21" s="24"/>
      <c r="VJ21" s="24"/>
      <c r="VK21" s="24"/>
      <c r="VL21" s="24"/>
      <c r="VM21" s="24"/>
      <c r="VN21" s="24"/>
      <c r="VO21" s="24"/>
      <c r="VP21" s="24"/>
      <c r="VQ21" s="24"/>
      <c r="VR21" s="24"/>
      <c r="VS21" s="24"/>
      <c r="VT21" s="24"/>
      <c r="VU21" s="24"/>
      <c r="VV21" s="24"/>
      <c r="VW21" s="24"/>
      <c r="VX21" s="24"/>
      <c r="VY21" s="24"/>
      <c r="VZ21" s="24"/>
      <c r="WA21" s="24"/>
      <c r="WB21" s="24"/>
      <c r="WC21" s="24"/>
      <c r="WD21" s="24"/>
      <c r="WE21" s="24"/>
      <c r="WF21" s="24"/>
      <c r="WG21" s="24"/>
      <c r="WH21" s="24"/>
      <c r="WI21" s="24"/>
      <c r="WJ21" s="24"/>
      <c r="WK21" s="24"/>
      <c r="WL21" s="24"/>
      <c r="WM21" s="24"/>
      <c r="WN21" s="24"/>
      <c r="WO21" s="24"/>
      <c r="WP21" s="24"/>
      <c r="WQ21" s="24"/>
      <c r="WR21" s="24"/>
      <c r="WS21" s="24"/>
      <c r="WT21" s="24"/>
      <c r="WU21" s="24"/>
      <c r="WV21" s="24"/>
      <c r="WW21" s="24"/>
      <c r="WX21" s="24"/>
      <c r="WY21" s="24"/>
      <c r="WZ21" s="24"/>
      <c r="XA21" s="24"/>
      <c r="XB21" s="24"/>
      <c r="XC21" s="24"/>
      <c r="XD21" s="24"/>
      <c r="XE21" s="24"/>
      <c r="XF21" s="24"/>
      <c r="XG21" s="24"/>
      <c r="XH21" s="24"/>
      <c r="XI21" s="24">
        <f t="shared" si="100"/>
        <v>0</v>
      </c>
      <c r="XJ21" s="24">
        <f t="shared" si="101"/>
        <v>0</v>
      </c>
      <c r="XK21" s="24"/>
      <c r="XL21" s="24"/>
      <c r="XM21" s="24"/>
      <c r="XN21" s="24"/>
      <c r="XO21" s="24"/>
      <c r="XP21" s="24"/>
      <c r="XQ21" s="24"/>
      <c r="XR21" s="24"/>
      <c r="XS21" s="24"/>
      <c r="XT21" s="24"/>
      <c r="XU21" s="24"/>
      <c r="XV21" s="24"/>
      <c r="XW21" s="24"/>
      <c r="XX21" s="24"/>
      <c r="XY21" s="24"/>
      <c r="XZ21" s="24"/>
      <c r="YA21" s="24"/>
      <c r="YB21" s="24"/>
      <c r="YC21" s="24"/>
      <c r="YD21" s="24"/>
      <c r="YE21" s="24"/>
      <c r="YF21" s="24"/>
      <c r="YG21" s="24"/>
      <c r="YH21" s="24"/>
      <c r="YI21" s="24"/>
      <c r="YJ21" s="24"/>
      <c r="YK21" s="24"/>
      <c r="YL21" s="24"/>
      <c r="YM21" s="24"/>
      <c r="YN21" s="24"/>
      <c r="YO21" s="24"/>
      <c r="YP21" s="24"/>
      <c r="YQ21" s="24"/>
      <c r="YR21" s="24"/>
      <c r="YS21" s="24"/>
      <c r="YT21" s="24"/>
      <c r="YU21" s="24"/>
      <c r="YV21" s="24"/>
      <c r="YW21" s="24"/>
      <c r="YX21" s="24"/>
      <c r="YY21" s="24"/>
      <c r="YZ21" s="24"/>
      <c r="ZA21" s="24"/>
      <c r="ZB21" s="24"/>
      <c r="ZC21" s="24"/>
      <c r="ZD21" s="24"/>
      <c r="ZE21" s="24"/>
      <c r="ZF21" s="24"/>
      <c r="ZG21" s="24"/>
      <c r="ZH21" s="24"/>
      <c r="ZI21" s="24"/>
      <c r="ZJ21" s="24"/>
      <c r="ZK21" s="24"/>
      <c r="ZL21" s="24"/>
      <c r="ZM21" s="24"/>
      <c r="ZN21" s="24"/>
      <c r="ZO21" s="24"/>
      <c r="ZP21" s="24"/>
      <c r="ZQ21" s="24"/>
      <c r="ZR21" s="24"/>
      <c r="ZS21" s="24">
        <f t="shared" si="102"/>
        <v>0</v>
      </c>
      <c r="ZT21" s="24">
        <f t="shared" si="103"/>
        <v>0</v>
      </c>
      <c r="ZU21" s="24"/>
      <c r="ZV21" s="24"/>
      <c r="ZW21" s="24"/>
      <c r="ZX21" s="24"/>
      <c r="ZY21" s="24"/>
      <c r="ZZ21" s="24"/>
      <c r="AAA21" s="24"/>
      <c r="AAB21" s="24"/>
      <c r="AAC21" s="24"/>
      <c r="AAD21" s="24"/>
      <c r="AAE21" s="24"/>
      <c r="AAF21" s="24"/>
      <c r="AAG21" s="24"/>
      <c r="AAH21" s="24"/>
      <c r="AAI21" s="24"/>
      <c r="AAJ21" s="24"/>
      <c r="AAK21" s="24"/>
      <c r="AAL21" s="24"/>
      <c r="AAM21" s="24"/>
      <c r="AAN21" s="24"/>
      <c r="AAO21" s="24"/>
      <c r="AAP21" s="24"/>
      <c r="AAQ21" s="24"/>
      <c r="AAR21" s="24"/>
      <c r="AAS21" s="24"/>
      <c r="AAT21" s="24"/>
      <c r="AAU21" s="24"/>
      <c r="AAV21" s="24"/>
      <c r="AAW21" s="24"/>
      <c r="AAX21" s="24"/>
      <c r="AAY21" s="24"/>
      <c r="AAZ21" s="24"/>
      <c r="ABA21" s="24"/>
      <c r="ABB21" s="24"/>
      <c r="ABC21" s="24"/>
      <c r="ABD21" s="24"/>
      <c r="ABE21" s="24"/>
      <c r="ABF21" s="24"/>
      <c r="ABG21" s="24"/>
      <c r="ABH21" s="24"/>
      <c r="ABI21" s="24"/>
      <c r="ABJ21" s="24"/>
      <c r="ABK21" s="24"/>
      <c r="ABL21" s="24"/>
      <c r="ABM21" s="24"/>
      <c r="ABN21" s="24"/>
      <c r="ABO21" s="24"/>
      <c r="ABP21" s="24"/>
      <c r="ABQ21" s="24"/>
      <c r="ABR21" s="24"/>
      <c r="ABS21" s="24"/>
      <c r="ABT21" s="24"/>
      <c r="ABU21" s="24"/>
      <c r="ABV21" s="24"/>
      <c r="ABW21" s="24"/>
      <c r="ABX21" s="24"/>
      <c r="ABY21" s="24"/>
      <c r="ABZ21" s="24"/>
      <c r="ACA21" s="24"/>
      <c r="ACB21" s="24"/>
      <c r="ACC21" s="24"/>
      <c r="ACD21" s="24"/>
      <c r="ACE21" s="24">
        <f t="shared" si="104"/>
        <v>0</v>
      </c>
      <c r="ACF21" s="24"/>
      <c r="ACG21" s="24">
        <f t="shared" si="105"/>
        <v>0</v>
      </c>
      <c r="ACH21" s="25"/>
      <c r="ACI21" s="71" t="s">
        <v>139</v>
      </c>
      <c r="ACJ21" s="71" t="s">
        <v>87</v>
      </c>
    </row>
    <row r="22" spans="1:764" x14ac:dyDescent="0.25">
      <c r="A22" s="162"/>
      <c r="B22" s="152"/>
      <c r="C22" s="155"/>
      <c r="D22" s="50" t="s">
        <v>8</v>
      </c>
      <c r="E22" s="74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24" cm="1">
        <f t="array" ref="BO22">SUMPRODUCT(E22:BM22,--(E$2:BM$2=BO$2))</f>
        <v>0</v>
      </c>
      <c r="BP22" s="24" cm="1">
        <f t="array" ref="BP22">SUMPRODUCT(F22:BN22,--(F$2:BN$2=BP$2))</f>
        <v>0</v>
      </c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 cm="1">
        <f t="array" ref="DW22">SUMPRODUCT(BQ22:DU22,--(BQ$2:DU$2=DW$2))</f>
        <v>0</v>
      </c>
      <c r="DX22" s="24" cm="1">
        <f t="array" ref="DX22">SUMPRODUCT(BR22:DV22,--(BR$2:DV$2=DX$2))</f>
        <v>0</v>
      </c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 cm="1">
        <f t="array" ref="GI22">SUMPRODUCT(DY22:GG22,--(DY$2:GG$2=GI$2))</f>
        <v>0</v>
      </c>
      <c r="GJ22" s="24" cm="1">
        <f t="array" ref="GJ22">SUMPRODUCT(DZ22:GH22,--(DZ$2:GH$2=GJ$2))</f>
        <v>0</v>
      </c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>
        <v>68.7</v>
      </c>
      <c r="HD22" s="24">
        <v>68.7</v>
      </c>
      <c r="HE22" s="24"/>
      <c r="HF22" s="24"/>
      <c r="HG22" s="24">
        <v>26.95</v>
      </c>
      <c r="HH22" s="24">
        <v>26.95</v>
      </c>
      <c r="HI22" s="24">
        <v>170.7</v>
      </c>
      <c r="HJ22" s="24">
        <v>170.7</v>
      </c>
      <c r="HK22" s="24">
        <v>99.2</v>
      </c>
      <c r="HL22" s="24">
        <v>99.2</v>
      </c>
      <c r="HM22" s="24">
        <v>105.1</v>
      </c>
      <c r="HN22" s="24">
        <v>105.1</v>
      </c>
      <c r="HO22" s="24">
        <v>125.5</v>
      </c>
      <c r="HP22" s="24">
        <v>125.5</v>
      </c>
      <c r="HQ22" s="24">
        <v>165.75</v>
      </c>
      <c r="HR22" s="24">
        <v>165.75</v>
      </c>
      <c r="HS22" s="24">
        <v>91.9</v>
      </c>
      <c r="HT22" s="24">
        <v>91.9</v>
      </c>
      <c r="HU22" s="24">
        <v>183.2</v>
      </c>
      <c r="HV22" s="24">
        <v>183.2</v>
      </c>
      <c r="HW22" s="24">
        <v>194.8</v>
      </c>
      <c r="HX22" s="24">
        <v>194.8</v>
      </c>
      <c r="HY22" s="24">
        <v>206.97</v>
      </c>
      <c r="HZ22" s="24">
        <v>206.97</v>
      </c>
      <c r="IA22" s="24">
        <v>160.57</v>
      </c>
      <c r="IB22" s="24">
        <v>160.57</v>
      </c>
      <c r="IC22" s="24">
        <v>167.5</v>
      </c>
      <c r="ID22" s="24">
        <v>167.5</v>
      </c>
      <c r="IE22" s="24">
        <v>136.5</v>
      </c>
      <c r="IF22" s="24">
        <v>136.5</v>
      </c>
      <c r="IG22" s="24">
        <v>235.4</v>
      </c>
      <c r="IH22" s="24">
        <v>235.4</v>
      </c>
      <c r="II22" s="24">
        <v>119.5</v>
      </c>
      <c r="IJ22" s="24">
        <v>119.5</v>
      </c>
      <c r="IK22" s="24"/>
      <c r="IL22" s="24"/>
      <c r="IM22" s="24"/>
      <c r="IN22" s="24"/>
      <c r="IO22" s="24"/>
      <c r="IP22" s="24"/>
      <c r="IQ22" s="24"/>
      <c r="IR22" s="24"/>
      <c r="IS22" s="24">
        <f t="shared" si="88"/>
        <v>2258.2399999999998</v>
      </c>
      <c r="IT22" s="24">
        <f t="shared" si="89"/>
        <v>2258.2399999999998</v>
      </c>
      <c r="IU22" s="24">
        <v>183.95</v>
      </c>
      <c r="IV22" s="24">
        <v>183.95</v>
      </c>
      <c r="IW22" s="24">
        <v>55.45</v>
      </c>
      <c r="IX22" s="24">
        <v>55.45</v>
      </c>
      <c r="IY22" s="24">
        <v>117.95</v>
      </c>
      <c r="IZ22" s="24">
        <v>117.95</v>
      </c>
      <c r="JA22" s="24">
        <v>254.6</v>
      </c>
      <c r="JB22" s="24">
        <v>254.6</v>
      </c>
      <c r="JC22" s="24">
        <v>212</v>
      </c>
      <c r="JD22" s="24">
        <v>212</v>
      </c>
      <c r="JE22" s="24">
        <v>233.17</v>
      </c>
      <c r="JF22" s="24">
        <v>233.17</v>
      </c>
      <c r="JG22" s="24">
        <v>235.96</v>
      </c>
      <c r="JH22" s="24">
        <v>235.96</v>
      </c>
      <c r="JI22" s="24">
        <v>193.17</v>
      </c>
      <c r="JJ22" s="24">
        <v>193.17</v>
      </c>
      <c r="JK22" s="24">
        <v>141.33000000000001</v>
      </c>
      <c r="JL22" s="24">
        <v>141.33000000000001</v>
      </c>
      <c r="JM22" s="24">
        <v>235.56</v>
      </c>
      <c r="JN22" s="24">
        <v>235.56</v>
      </c>
      <c r="JO22" s="24">
        <v>208.19</v>
      </c>
      <c r="JP22" s="24">
        <v>208.19</v>
      </c>
      <c r="JQ22" s="24">
        <v>118.65</v>
      </c>
      <c r="JR22" s="24">
        <v>118.65</v>
      </c>
      <c r="JS22" s="24">
        <v>165.85</v>
      </c>
      <c r="JT22" s="24">
        <v>165.85</v>
      </c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>
        <f t="shared" si="90"/>
        <v>2355.83</v>
      </c>
      <c r="LF22" s="24">
        <f t="shared" si="91"/>
        <v>2355.83</v>
      </c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24"/>
      <c r="MS22" s="24"/>
      <c r="MT22" s="24"/>
      <c r="MU22" s="24"/>
      <c r="MV22" s="24"/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>
        <f t="shared" si="92"/>
        <v>0</v>
      </c>
      <c r="NP22" s="24">
        <f t="shared" si="93"/>
        <v>0</v>
      </c>
      <c r="NQ22" s="24"/>
      <c r="NR22" s="24"/>
      <c r="NS22" s="24"/>
      <c r="NT22" s="24"/>
      <c r="NU22" s="24"/>
      <c r="NV22" s="24"/>
      <c r="NW22" s="24"/>
      <c r="NX22" s="24"/>
      <c r="NY22" s="24"/>
      <c r="NZ22" s="24"/>
      <c r="OA22" s="24"/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24"/>
      <c r="OW22" s="24"/>
      <c r="OX22" s="24"/>
      <c r="OY22" s="24"/>
      <c r="OZ22" s="24"/>
      <c r="PA22" s="24"/>
      <c r="PB22" s="24"/>
      <c r="PC22" s="24"/>
      <c r="PD22" s="24"/>
      <c r="PE22" s="24"/>
      <c r="PF22" s="24"/>
      <c r="PG22" s="24"/>
      <c r="PH22" s="24"/>
      <c r="PI22" s="24"/>
      <c r="PJ22" s="24"/>
      <c r="PK22" s="24"/>
      <c r="PL22" s="24"/>
      <c r="PM22" s="24"/>
      <c r="PN22" s="24"/>
      <c r="PO22" s="24"/>
      <c r="PP22" s="24"/>
      <c r="PQ22" s="24"/>
      <c r="PR22" s="24"/>
      <c r="PS22" s="24"/>
      <c r="PT22" s="24"/>
      <c r="PU22" s="24"/>
      <c r="PV22" s="24"/>
      <c r="PW22" s="24"/>
      <c r="PX22" s="24"/>
      <c r="PY22" s="24"/>
      <c r="PZ22" s="24"/>
      <c r="QA22" s="24">
        <f t="shared" si="94"/>
        <v>0</v>
      </c>
      <c r="QB22" s="24">
        <f t="shared" si="95"/>
        <v>0</v>
      </c>
      <c r="QC22" s="24"/>
      <c r="QD22" s="24"/>
      <c r="QE22" s="24"/>
      <c r="QF22" s="24"/>
      <c r="QG22" s="24"/>
      <c r="QH22" s="24"/>
      <c r="QI22" s="24"/>
      <c r="QJ22" s="24"/>
      <c r="QK22" s="24"/>
      <c r="QL22" s="24"/>
      <c r="QM22" s="24"/>
      <c r="QN22" s="24"/>
      <c r="QO22" s="24"/>
      <c r="QP22" s="24"/>
      <c r="QQ22" s="24"/>
      <c r="QR22" s="24"/>
      <c r="QS22" s="24"/>
      <c r="QT22" s="24"/>
      <c r="QU22" s="24"/>
      <c r="QV22" s="24"/>
      <c r="QW22" s="24"/>
      <c r="QX22" s="24"/>
      <c r="QY22" s="24"/>
      <c r="QZ22" s="24"/>
      <c r="RA22" s="24"/>
      <c r="RB22" s="24"/>
      <c r="RC22" s="24"/>
      <c r="RD22" s="24"/>
      <c r="RE22" s="24"/>
      <c r="RF22" s="24"/>
      <c r="RG22" s="24"/>
      <c r="RH22" s="24"/>
      <c r="RI22" s="24"/>
      <c r="RJ22" s="24"/>
      <c r="RK22" s="24"/>
      <c r="RL22" s="24"/>
      <c r="RM22" s="24"/>
      <c r="RN22" s="24"/>
      <c r="RO22" s="24"/>
      <c r="RP22" s="24"/>
      <c r="RQ22" s="24"/>
      <c r="RR22" s="24"/>
      <c r="RS22" s="24"/>
      <c r="RT22" s="24"/>
      <c r="RU22" s="24"/>
      <c r="RV22" s="24"/>
      <c r="RW22" s="24"/>
      <c r="RX22" s="24"/>
      <c r="RY22" s="24"/>
      <c r="RZ22" s="24"/>
      <c r="SA22" s="24"/>
      <c r="SB22" s="24"/>
      <c r="SC22" s="24"/>
      <c r="SD22" s="24"/>
      <c r="SE22" s="24"/>
      <c r="SF22" s="24"/>
      <c r="SG22" s="24"/>
      <c r="SH22" s="24"/>
      <c r="SI22" s="24"/>
      <c r="SJ22" s="24"/>
      <c r="SK22" s="24"/>
      <c r="SL22" s="24"/>
      <c r="SM22" s="24">
        <f t="shared" si="96"/>
        <v>0</v>
      </c>
      <c r="SN22" s="24">
        <f t="shared" si="97"/>
        <v>0</v>
      </c>
      <c r="SO22" s="24"/>
      <c r="SP22" s="24"/>
      <c r="SQ22" s="24"/>
      <c r="SR22" s="24"/>
      <c r="SS22" s="24"/>
      <c r="ST22" s="24"/>
      <c r="SU22" s="24"/>
      <c r="SV22" s="24"/>
      <c r="SW22" s="24"/>
      <c r="SX22" s="24"/>
      <c r="SY22" s="24"/>
      <c r="SZ22" s="24"/>
      <c r="TA22" s="24"/>
      <c r="TB22" s="24"/>
      <c r="TC22" s="24"/>
      <c r="TD22" s="24"/>
      <c r="TE22" s="24"/>
      <c r="TF22" s="24"/>
      <c r="TG22" s="24"/>
      <c r="TH22" s="24"/>
      <c r="TI22" s="24"/>
      <c r="TJ22" s="24"/>
      <c r="TK22" s="24"/>
      <c r="TL22" s="24"/>
      <c r="TM22" s="24"/>
      <c r="TN22" s="24"/>
      <c r="TO22" s="24"/>
      <c r="TP22" s="24"/>
      <c r="TQ22" s="24"/>
      <c r="TR22" s="24"/>
      <c r="TS22" s="24"/>
      <c r="TT22" s="24"/>
      <c r="TU22" s="24"/>
      <c r="TV22" s="24"/>
      <c r="TW22" s="24"/>
      <c r="TX22" s="24"/>
      <c r="TY22" s="24"/>
      <c r="TZ22" s="24"/>
      <c r="UA22" s="24"/>
      <c r="UB22" s="24"/>
      <c r="UC22" s="24"/>
      <c r="UD22" s="24"/>
      <c r="UE22" s="24"/>
      <c r="UF22" s="24"/>
      <c r="UG22" s="24"/>
      <c r="UH22" s="24"/>
      <c r="UI22" s="24"/>
      <c r="UJ22" s="24"/>
      <c r="UK22" s="24"/>
      <c r="UL22" s="24"/>
      <c r="UM22" s="24"/>
      <c r="UN22" s="24"/>
      <c r="UO22" s="24"/>
      <c r="UP22" s="24"/>
      <c r="UQ22" s="24"/>
      <c r="UR22" s="24"/>
      <c r="US22" s="24"/>
      <c r="UT22" s="24"/>
      <c r="UU22" s="24"/>
      <c r="UV22" s="24"/>
      <c r="UW22" s="24">
        <f t="shared" si="98"/>
        <v>0</v>
      </c>
      <c r="UX22" s="24">
        <f t="shared" si="99"/>
        <v>0</v>
      </c>
      <c r="UY22" s="24"/>
      <c r="UZ22" s="24"/>
      <c r="VA22" s="24"/>
      <c r="VB22" s="24"/>
      <c r="VC22" s="24"/>
      <c r="VD22" s="24"/>
      <c r="VE22" s="24"/>
      <c r="VF22" s="24"/>
      <c r="VG22" s="24"/>
      <c r="VH22" s="24"/>
      <c r="VI22" s="24"/>
      <c r="VJ22" s="24"/>
      <c r="VK22" s="24"/>
      <c r="VL22" s="24"/>
      <c r="VM22" s="24"/>
      <c r="VN22" s="24"/>
      <c r="VO22" s="24"/>
      <c r="VP22" s="24"/>
      <c r="VQ22" s="24"/>
      <c r="VR22" s="24"/>
      <c r="VS22" s="24"/>
      <c r="VT22" s="24"/>
      <c r="VU22" s="24"/>
      <c r="VV22" s="24"/>
      <c r="VW22" s="24"/>
      <c r="VX22" s="24"/>
      <c r="VY22" s="24"/>
      <c r="VZ22" s="24"/>
      <c r="WA22" s="24"/>
      <c r="WB22" s="24"/>
      <c r="WC22" s="24"/>
      <c r="WD22" s="24"/>
      <c r="WE22" s="24"/>
      <c r="WF22" s="24"/>
      <c r="WG22" s="24"/>
      <c r="WH22" s="24"/>
      <c r="WI22" s="24"/>
      <c r="WJ22" s="24"/>
      <c r="WK22" s="24"/>
      <c r="WL22" s="24"/>
      <c r="WM22" s="24"/>
      <c r="WN22" s="24"/>
      <c r="WO22" s="24"/>
      <c r="WP22" s="24"/>
      <c r="WQ22" s="24"/>
      <c r="WR22" s="24"/>
      <c r="WS22" s="24"/>
      <c r="WT22" s="24"/>
      <c r="WU22" s="24"/>
      <c r="WV22" s="24"/>
      <c r="WW22" s="24"/>
      <c r="WX22" s="24"/>
      <c r="WY22" s="24"/>
      <c r="WZ22" s="24"/>
      <c r="XA22" s="24"/>
      <c r="XB22" s="24"/>
      <c r="XC22" s="24"/>
      <c r="XD22" s="24"/>
      <c r="XE22" s="24"/>
      <c r="XF22" s="24"/>
      <c r="XG22" s="24"/>
      <c r="XH22" s="24"/>
      <c r="XI22" s="24">
        <f t="shared" si="100"/>
        <v>0</v>
      </c>
      <c r="XJ22" s="24">
        <f t="shared" si="101"/>
        <v>0</v>
      </c>
      <c r="XK22" s="24"/>
      <c r="XL22" s="24"/>
      <c r="XM22" s="24"/>
      <c r="XN22" s="24"/>
      <c r="XO22" s="24"/>
      <c r="XP22" s="24"/>
      <c r="XQ22" s="24"/>
      <c r="XR22" s="24"/>
      <c r="XS22" s="24"/>
      <c r="XT22" s="24"/>
      <c r="XU22" s="24"/>
      <c r="XV22" s="24"/>
      <c r="XW22" s="24"/>
      <c r="XX22" s="24"/>
      <c r="XY22" s="24"/>
      <c r="XZ22" s="24"/>
      <c r="YA22" s="24"/>
      <c r="YB22" s="24"/>
      <c r="YC22" s="24"/>
      <c r="YD22" s="24"/>
      <c r="YE22" s="24"/>
      <c r="YF22" s="24"/>
      <c r="YG22" s="24"/>
      <c r="YH22" s="24"/>
      <c r="YI22" s="24"/>
      <c r="YJ22" s="24"/>
      <c r="YK22" s="24"/>
      <c r="YL22" s="24"/>
      <c r="YM22" s="24"/>
      <c r="YN22" s="24"/>
      <c r="YO22" s="24"/>
      <c r="YP22" s="24"/>
      <c r="YQ22" s="24"/>
      <c r="YR22" s="24"/>
      <c r="YS22" s="24"/>
      <c r="YT22" s="24"/>
      <c r="YU22" s="24"/>
      <c r="YV22" s="24"/>
      <c r="YW22" s="24"/>
      <c r="YX22" s="24"/>
      <c r="YY22" s="24"/>
      <c r="YZ22" s="24"/>
      <c r="ZA22" s="24"/>
      <c r="ZB22" s="24"/>
      <c r="ZC22" s="24"/>
      <c r="ZD22" s="24"/>
      <c r="ZE22" s="24"/>
      <c r="ZF22" s="24"/>
      <c r="ZG22" s="24"/>
      <c r="ZH22" s="24"/>
      <c r="ZI22" s="24"/>
      <c r="ZJ22" s="24"/>
      <c r="ZK22" s="24"/>
      <c r="ZL22" s="24"/>
      <c r="ZM22" s="24"/>
      <c r="ZN22" s="24"/>
      <c r="ZO22" s="24"/>
      <c r="ZP22" s="24"/>
      <c r="ZQ22" s="24"/>
      <c r="ZR22" s="24"/>
      <c r="ZS22" s="24">
        <f t="shared" si="102"/>
        <v>0</v>
      </c>
      <c r="ZT22" s="24">
        <f t="shared" si="103"/>
        <v>0</v>
      </c>
      <c r="ZU22" s="24"/>
      <c r="ZV22" s="24"/>
      <c r="ZW22" s="24"/>
      <c r="ZX22" s="24"/>
      <c r="ZY22" s="24"/>
      <c r="ZZ22" s="24"/>
      <c r="AAA22" s="24"/>
      <c r="AAB22" s="24"/>
      <c r="AAC22" s="24"/>
      <c r="AAD22" s="24"/>
      <c r="AAE22" s="24"/>
      <c r="AAF22" s="24"/>
      <c r="AAG22" s="24"/>
      <c r="AAH22" s="24"/>
      <c r="AAI22" s="24"/>
      <c r="AAJ22" s="24"/>
      <c r="AAK22" s="24"/>
      <c r="AAL22" s="24"/>
      <c r="AAM22" s="24"/>
      <c r="AAN22" s="24"/>
      <c r="AAO22" s="24"/>
      <c r="AAP22" s="24"/>
      <c r="AAQ22" s="24"/>
      <c r="AAR22" s="24"/>
      <c r="AAS22" s="24"/>
      <c r="AAT22" s="24"/>
      <c r="AAU22" s="24"/>
      <c r="AAV22" s="24"/>
      <c r="AAW22" s="24"/>
      <c r="AAX22" s="24"/>
      <c r="AAY22" s="24"/>
      <c r="AAZ22" s="24"/>
      <c r="ABA22" s="24"/>
      <c r="ABB22" s="24"/>
      <c r="ABC22" s="24"/>
      <c r="ABD22" s="24"/>
      <c r="ABE22" s="24"/>
      <c r="ABF22" s="24"/>
      <c r="ABG22" s="24"/>
      <c r="ABH22" s="24"/>
      <c r="ABI22" s="24"/>
      <c r="ABJ22" s="24"/>
      <c r="ABK22" s="24"/>
      <c r="ABL22" s="24"/>
      <c r="ABM22" s="24"/>
      <c r="ABN22" s="24"/>
      <c r="ABO22" s="24"/>
      <c r="ABP22" s="24"/>
      <c r="ABQ22" s="24"/>
      <c r="ABR22" s="24"/>
      <c r="ABS22" s="24"/>
      <c r="ABT22" s="24"/>
      <c r="ABU22" s="24"/>
      <c r="ABV22" s="24"/>
      <c r="ABW22" s="24"/>
      <c r="ABX22" s="24"/>
      <c r="ABY22" s="24"/>
      <c r="ABZ22" s="24"/>
      <c r="ACA22" s="24"/>
      <c r="ACB22" s="24"/>
      <c r="ACC22" s="24"/>
      <c r="ACD22" s="24"/>
      <c r="ACE22" s="24">
        <f t="shared" si="104"/>
        <v>0</v>
      </c>
      <c r="ACF22" s="24"/>
      <c r="ACG22" s="24">
        <f t="shared" si="105"/>
        <v>4614.07</v>
      </c>
      <c r="ACH22" s="25"/>
      <c r="ACI22" s="71" t="s">
        <v>140</v>
      </c>
      <c r="ACJ22" s="71" t="s">
        <v>87</v>
      </c>
    </row>
    <row r="23" spans="1:764" ht="15.75" thickBot="1" x14ac:dyDescent="0.3">
      <c r="A23" s="162"/>
      <c r="B23" s="153"/>
      <c r="C23" s="158"/>
      <c r="D23" s="68" t="s">
        <v>9</v>
      </c>
      <c r="E23" s="76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45" cm="1">
        <f t="array" ref="BO23">SUMPRODUCT(E23:BM23,--(E$2:BM$2=BO$2))</f>
        <v>0</v>
      </c>
      <c r="BP23" s="45" cm="1">
        <f t="array" ref="BP23">SUMPRODUCT(F23:BN23,--(F$2:BN$2=BP$2))</f>
        <v>0</v>
      </c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45"/>
      <c r="DG23" s="45"/>
      <c r="DH23" s="45"/>
      <c r="DI23" s="45"/>
      <c r="DJ23" s="45"/>
      <c r="DK23" s="45"/>
      <c r="DL23" s="45"/>
      <c r="DM23" s="45"/>
      <c r="DN23" s="45"/>
      <c r="DO23" s="45"/>
      <c r="DP23" s="45"/>
      <c r="DQ23" s="45"/>
      <c r="DR23" s="45"/>
      <c r="DS23" s="45"/>
      <c r="DT23" s="45"/>
      <c r="DU23" s="45"/>
      <c r="DV23" s="45"/>
      <c r="DW23" s="45" cm="1">
        <f t="array" ref="DW23">SUMPRODUCT(BQ23:DU23,--(BQ$2:DU$2=DW$2))</f>
        <v>0</v>
      </c>
      <c r="DX23" s="45" cm="1">
        <f t="array" ref="DX23">SUMPRODUCT(BR23:DV23,--(BR$2:DV$2=DX$2))</f>
        <v>0</v>
      </c>
      <c r="DY23" s="45"/>
      <c r="DZ23" s="45"/>
      <c r="EA23" s="45"/>
      <c r="EB23" s="45"/>
      <c r="EC23" s="45"/>
      <c r="ED23" s="45"/>
      <c r="EE23" s="45"/>
      <c r="EF23" s="45"/>
      <c r="EG23" s="45"/>
      <c r="EH23" s="45"/>
      <c r="EI23" s="45"/>
      <c r="EJ23" s="45"/>
      <c r="EK23" s="45"/>
      <c r="EL23" s="45"/>
      <c r="EM23" s="45"/>
      <c r="EN23" s="45"/>
      <c r="EO23" s="45"/>
      <c r="EP23" s="45"/>
      <c r="EQ23" s="45"/>
      <c r="ER23" s="45"/>
      <c r="ES23" s="45"/>
      <c r="ET23" s="45"/>
      <c r="EU23" s="45"/>
      <c r="EV23" s="45"/>
      <c r="EW23" s="45"/>
      <c r="EX23" s="45"/>
      <c r="EY23" s="45"/>
      <c r="EZ23" s="45"/>
      <c r="FA23" s="45"/>
      <c r="FB23" s="45"/>
      <c r="FC23" s="45"/>
      <c r="FD23" s="45"/>
      <c r="FE23" s="45"/>
      <c r="FF23" s="45"/>
      <c r="FG23" s="45"/>
      <c r="FH23" s="45"/>
      <c r="FI23" s="45"/>
      <c r="FJ23" s="45"/>
      <c r="FK23" s="45"/>
      <c r="FL23" s="45"/>
      <c r="FM23" s="45"/>
      <c r="FN23" s="45"/>
      <c r="FO23" s="45"/>
      <c r="FP23" s="45"/>
      <c r="FQ23" s="45"/>
      <c r="FR23" s="45"/>
      <c r="FS23" s="45"/>
      <c r="FT23" s="45"/>
      <c r="FU23" s="45"/>
      <c r="FV23" s="45"/>
      <c r="FW23" s="45"/>
      <c r="FX23" s="45"/>
      <c r="FY23" s="45"/>
      <c r="FZ23" s="45"/>
      <c r="GA23" s="45"/>
      <c r="GB23" s="45"/>
      <c r="GC23" s="45"/>
      <c r="GD23" s="45"/>
      <c r="GE23" s="45"/>
      <c r="GF23" s="45"/>
      <c r="GG23" s="45"/>
      <c r="GH23" s="45"/>
      <c r="GI23" s="45" cm="1">
        <f t="array" ref="GI23">SUMPRODUCT(DY23:GG23,--(DY$2:GG$2=GI$2))</f>
        <v>0</v>
      </c>
      <c r="GJ23" s="45" cm="1">
        <f t="array" ref="GJ23">SUMPRODUCT(DZ23:GH23,--(DZ$2:GH$2=GJ$2))</f>
        <v>0</v>
      </c>
      <c r="GK23" s="24"/>
      <c r="GL23" s="24"/>
      <c r="GM23" s="24"/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45">
        <f t="shared" si="88"/>
        <v>0</v>
      </c>
      <c r="IT23" s="45">
        <f t="shared" si="89"/>
        <v>0</v>
      </c>
      <c r="IU23" s="45"/>
      <c r="IV23" s="45"/>
      <c r="IW23" s="45"/>
      <c r="IX23" s="45"/>
      <c r="IY23" s="45"/>
      <c r="IZ23" s="45"/>
      <c r="JA23" s="45"/>
      <c r="JB23" s="45"/>
      <c r="JC23" s="45"/>
      <c r="JD23" s="45"/>
      <c r="JE23" s="45"/>
      <c r="JF23" s="45"/>
      <c r="JG23" s="45"/>
      <c r="JH23" s="45"/>
      <c r="JI23" s="45"/>
      <c r="JJ23" s="45"/>
      <c r="JK23" s="45"/>
      <c r="JL23" s="45"/>
      <c r="JM23" s="45"/>
      <c r="JN23" s="45"/>
      <c r="JO23" s="45"/>
      <c r="JP23" s="45"/>
      <c r="JQ23" s="45"/>
      <c r="JR23" s="45"/>
      <c r="JS23" s="45"/>
      <c r="JT23" s="45"/>
      <c r="JU23" s="45"/>
      <c r="JV23" s="45"/>
      <c r="JW23" s="45"/>
      <c r="JX23" s="45"/>
      <c r="JY23" s="45"/>
      <c r="JZ23" s="45"/>
      <c r="KA23" s="45"/>
      <c r="KB23" s="45"/>
      <c r="KC23" s="45"/>
      <c r="KD23" s="45"/>
      <c r="KE23" s="45"/>
      <c r="KF23" s="45"/>
      <c r="KG23" s="45"/>
      <c r="KH23" s="45"/>
      <c r="KI23" s="45"/>
      <c r="KJ23" s="45"/>
      <c r="KK23" s="45"/>
      <c r="KL23" s="45"/>
      <c r="KM23" s="45"/>
      <c r="KN23" s="45"/>
      <c r="KO23" s="45"/>
      <c r="KP23" s="45"/>
      <c r="KQ23" s="45"/>
      <c r="KR23" s="45"/>
      <c r="KS23" s="45"/>
      <c r="KT23" s="45"/>
      <c r="KU23" s="45"/>
      <c r="KV23" s="45"/>
      <c r="KW23" s="45"/>
      <c r="KX23" s="45"/>
      <c r="KY23" s="45"/>
      <c r="KZ23" s="45"/>
      <c r="LA23" s="45"/>
      <c r="LB23" s="45"/>
      <c r="LC23" s="45"/>
      <c r="LD23" s="45"/>
      <c r="LE23" s="45">
        <f t="shared" si="90"/>
        <v>0</v>
      </c>
      <c r="LF23" s="45">
        <f t="shared" si="91"/>
        <v>0</v>
      </c>
      <c r="LG23" s="45"/>
      <c r="LH23" s="45"/>
      <c r="LI23" s="45"/>
      <c r="LJ23" s="45"/>
      <c r="LK23" s="45"/>
      <c r="LL23" s="45"/>
      <c r="LM23" s="45"/>
      <c r="LN23" s="45"/>
      <c r="LO23" s="45"/>
      <c r="LP23" s="45"/>
      <c r="LQ23" s="45"/>
      <c r="LR23" s="45"/>
      <c r="LS23" s="45"/>
      <c r="LT23" s="45"/>
      <c r="LU23" s="45"/>
      <c r="LV23" s="45"/>
      <c r="LW23" s="45"/>
      <c r="LX23" s="45"/>
      <c r="LY23" s="45"/>
      <c r="LZ23" s="45"/>
      <c r="MA23" s="45"/>
      <c r="MB23" s="45"/>
      <c r="MC23" s="45"/>
      <c r="MD23" s="45"/>
      <c r="ME23" s="45"/>
      <c r="MF23" s="45"/>
      <c r="MG23" s="45"/>
      <c r="MH23" s="45"/>
      <c r="MI23" s="45"/>
      <c r="MJ23" s="45"/>
      <c r="MK23" s="45"/>
      <c r="ML23" s="45"/>
      <c r="MM23" s="45"/>
      <c r="MN23" s="45"/>
      <c r="MO23" s="45"/>
      <c r="MP23" s="45"/>
      <c r="MQ23" s="45"/>
      <c r="MR23" s="45"/>
      <c r="MS23" s="45"/>
      <c r="MT23" s="45"/>
      <c r="MU23" s="45"/>
      <c r="MV23" s="45"/>
      <c r="MW23" s="45"/>
      <c r="MX23" s="45"/>
      <c r="MY23" s="45"/>
      <c r="MZ23" s="45"/>
      <c r="NA23" s="45"/>
      <c r="NB23" s="45"/>
      <c r="NC23" s="45"/>
      <c r="ND23" s="45"/>
      <c r="NE23" s="45"/>
      <c r="NF23" s="45"/>
      <c r="NG23" s="45"/>
      <c r="NH23" s="45"/>
      <c r="NI23" s="45"/>
      <c r="NJ23" s="45"/>
      <c r="NK23" s="45"/>
      <c r="NL23" s="45"/>
      <c r="NM23" s="45"/>
      <c r="NN23" s="45"/>
      <c r="NO23" s="45">
        <f t="shared" si="92"/>
        <v>0</v>
      </c>
      <c r="NP23" s="45">
        <f t="shared" si="93"/>
        <v>0</v>
      </c>
      <c r="NQ23" s="45"/>
      <c r="NR23" s="45"/>
      <c r="NS23" s="45"/>
      <c r="NT23" s="45"/>
      <c r="NU23" s="45"/>
      <c r="NV23" s="45"/>
      <c r="NW23" s="45"/>
      <c r="NX23" s="45"/>
      <c r="NY23" s="45"/>
      <c r="NZ23" s="45"/>
      <c r="OA23" s="45"/>
      <c r="OB23" s="45"/>
      <c r="OC23" s="45"/>
      <c r="OD23" s="45"/>
      <c r="OE23" s="45"/>
      <c r="OF23" s="45"/>
      <c r="OG23" s="45"/>
      <c r="OH23" s="45"/>
      <c r="OI23" s="45"/>
      <c r="OJ23" s="45"/>
      <c r="OK23" s="45"/>
      <c r="OL23" s="45"/>
      <c r="OM23" s="45"/>
      <c r="ON23" s="45"/>
      <c r="OO23" s="45"/>
      <c r="OP23" s="45"/>
      <c r="OQ23" s="45"/>
      <c r="OR23" s="45"/>
      <c r="OS23" s="45"/>
      <c r="OT23" s="45"/>
      <c r="OU23" s="45"/>
      <c r="OV23" s="45"/>
      <c r="OW23" s="45"/>
      <c r="OX23" s="45"/>
      <c r="OY23" s="45"/>
      <c r="OZ23" s="45"/>
      <c r="PA23" s="45"/>
      <c r="PB23" s="45"/>
      <c r="PC23" s="45"/>
      <c r="PD23" s="45"/>
      <c r="PE23" s="45"/>
      <c r="PF23" s="45"/>
      <c r="PG23" s="45"/>
      <c r="PH23" s="45"/>
      <c r="PI23" s="45"/>
      <c r="PJ23" s="45"/>
      <c r="PK23" s="45"/>
      <c r="PL23" s="45"/>
      <c r="PM23" s="45"/>
      <c r="PN23" s="45"/>
      <c r="PO23" s="45"/>
      <c r="PP23" s="45"/>
      <c r="PQ23" s="45"/>
      <c r="PR23" s="45"/>
      <c r="PS23" s="45"/>
      <c r="PT23" s="45"/>
      <c r="PU23" s="45"/>
      <c r="PV23" s="45"/>
      <c r="PW23" s="45"/>
      <c r="PX23" s="45"/>
      <c r="PY23" s="45"/>
      <c r="PZ23" s="45"/>
      <c r="QA23" s="45">
        <f t="shared" si="94"/>
        <v>0</v>
      </c>
      <c r="QB23" s="45">
        <f t="shared" si="95"/>
        <v>0</v>
      </c>
      <c r="QC23" s="45"/>
      <c r="QD23" s="45"/>
      <c r="QE23" s="45"/>
      <c r="QF23" s="45"/>
      <c r="QG23" s="45"/>
      <c r="QH23" s="45"/>
      <c r="QI23" s="45"/>
      <c r="QJ23" s="45"/>
      <c r="QK23" s="45"/>
      <c r="QL23" s="45"/>
      <c r="QM23" s="45"/>
      <c r="QN23" s="45"/>
      <c r="QO23" s="45"/>
      <c r="QP23" s="45"/>
      <c r="QQ23" s="45"/>
      <c r="QR23" s="45"/>
      <c r="QS23" s="45"/>
      <c r="QT23" s="45"/>
      <c r="QU23" s="45"/>
      <c r="QV23" s="45"/>
      <c r="QW23" s="45"/>
      <c r="QX23" s="45"/>
      <c r="QY23" s="45"/>
      <c r="QZ23" s="45"/>
      <c r="RA23" s="45"/>
      <c r="RB23" s="45"/>
      <c r="RC23" s="45"/>
      <c r="RD23" s="45"/>
      <c r="RE23" s="45"/>
      <c r="RF23" s="45"/>
      <c r="RG23" s="45"/>
      <c r="RH23" s="45"/>
      <c r="RI23" s="45"/>
      <c r="RJ23" s="45"/>
      <c r="RK23" s="45"/>
      <c r="RL23" s="45"/>
      <c r="RM23" s="45"/>
      <c r="RN23" s="45"/>
      <c r="RO23" s="45"/>
      <c r="RP23" s="45"/>
      <c r="RQ23" s="45"/>
      <c r="RR23" s="45"/>
      <c r="RS23" s="45"/>
      <c r="RT23" s="45"/>
      <c r="RU23" s="45"/>
      <c r="RV23" s="45"/>
      <c r="RW23" s="45"/>
      <c r="RX23" s="45"/>
      <c r="RY23" s="45"/>
      <c r="RZ23" s="45"/>
      <c r="SA23" s="45"/>
      <c r="SB23" s="45"/>
      <c r="SC23" s="45"/>
      <c r="SD23" s="45"/>
      <c r="SE23" s="45"/>
      <c r="SF23" s="45"/>
      <c r="SG23" s="45"/>
      <c r="SH23" s="45"/>
      <c r="SI23" s="45"/>
      <c r="SJ23" s="45"/>
      <c r="SK23" s="45"/>
      <c r="SL23" s="45"/>
      <c r="SM23" s="45">
        <f t="shared" si="96"/>
        <v>0</v>
      </c>
      <c r="SN23" s="45">
        <f t="shared" si="97"/>
        <v>0</v>
      </c>
      <c r="SO23" s="24"/>
      <c r="SP23" s="24"/>
      <c r="SQ23" s="24"/>
      <c r="SR23" s="24"/>
      <c r="SS23" s="24"/>
      <c r="ST23" s="24"/>
      <c r="SU23" s="24"/>
      <c r="SV23" s="24"/>
      <c r="SW23" s="24"/>
      <c r="SX23" s="24"/>
      <c r="SY23" s="24"/>
      <c r="SZ23" s="24"/>
      <c r="TA23" s="24"/>
      <c r="TB23" s="24"/>
      <c r="TC23" s="24"/>
      <c r="TD23" s="24"/>
      <c r="TE23" s="24"/>
      <c r="TF23" s="24"/>
      <c r="TG23" s="24"/>
      <c r="TH23" s="24"/>
      <c r="TI23" s="24"/>
      <c r="TJ23" s="24"/>
      <c r="TK23" s="24"/>
      <c r="TL23" s="24"/>
      <c r="TM23" s="24"/>
      <c r="TN23" s="24"/>
      <c r="TO23" s="24"/>
      <c r="TP23" s="24"/>
      <c r="TQ23" s="24"/>
      <c r="TR23" s="24"/>
      <c r="TS23" s="24"/>
      <c r="TT23" s="24"/>
      <c r="TU23" s="24"/>
      <c r="TV23" s="24"/>
      <c r="TW23" s="24"/>
      <c r="TX23" s="24"/>
      <c r="TY23" s="24"/>
      <c r="TZ23" s="24"/>
      <c r="UA23" s="24"/>
      <c r="UB23" s="24"/>
      <c r="UC23" s="24"/>
      <c r="UD23" s="24"/>
      <c r="UE23" s="24"/>
      <c r="UF23" s="24"/>
      <c r="UG23" s="24"/>
      <c r="UH23" s="24"/>
      <c r="UI23" s="24"/>
      <c r="UJ23" s="24"/>
      <c r="UK23" s="24"/>
      <c r="UL23" s="24"/>
      <c r="UM23" s="24"/>
      <c r="UN23" s="24"/>
      <c r="UO23" s="24"/>
      <c r="UP23" s="24"/>
      <c r="UQ23" s="24"/>
      <c r="UR23" s="24"/>
      <c r="US23" s="24"/>
      <c r="UT23" s="24"/>
      <c r="UU23" s="24"/>
      <c r="UV23" s="24"/>
      <c r="UW23" s="45">
        <f t="shared" si="98"/>
        <v>0</v>
      </c>
      <c r="UX23" s="45">
        <f t="shared" si="99"/>
        <v>0</v>
      </c>
      <c r="UY23" s="45"/>
      <c r="UZ23" s="45"/>
      <c r="VA23" s="45"/>
      <c r="VB23" s="45"/>
      <c r="VC23" s="45"/>
      <c r="VD23" s="45"/>
      <c r="VE23" s="45"/>
      <c r="VF23" s="45"/>
      <c r="VG23" s="45"/>
      <c r="VH23" s="45"/>
      <c r="VI23" s="45"/>
      <c r="VJ23" s="45"/>
      <c r="VK23" s="45"/>
      <c r="VL23" s="45"/>
      <c r="VM23" s="45"/>
      <c r="VN23" s="45"/>
      <c r="VO23" s="45"/>
      <c r="VP23" s="45"/>
      <c r="VQ23" s="45"/>
      <c r="VR23" s="45"/>
      <c r="VS23" s="45"/>
      <c r="VT23" s="45"/>
      <c r="VU23" s="45"/>
      <c r="VV23" s="45"/>
      <c r="VW23" s="45"/>
      <c r="VX23" s="45"/>
      <c r="VY23" s="45"/>
      <c r="VZ23" s="45"/>
      <c r="WA23" s="45"/>
      <c r="WB23" s="45"/>
      <c r="WC23" s="45"/>
      <c r="WD23" s="45"/>
      <c r="WE23" s="45"/>
      <c r="WF23" s="45"/>
      <c r="WG23" s="45"/>
      <c r="WH23" s="45"/>
      <c r="WI23" s="45"/>
      <c r="WJ23" s="45"/>
      <c r="WK23" s="45"/>
      <c r="WL23" s="45"/>
      <c r="WM23" s="45"/>
      <c r="WN23" s="45"/>
      <c r="WO23" s="45"/>
      <c r="WP23" s="45"/>
      <c r="WQ23" s="45"/>
      <c r="WR23" s="45"/>
      <c r="WS23" s="45"/>
      <c r="WT23" s="45"/>
      <c r="WU23" s="45"/>
      <c r="WV23" s="45"/>
      <c r="WW23" s="45"/>
      <c r="WX23" s="45"/>
      <c r="WY23" s="45"/>
      <c r="WZ23" s="45"/>
      <c r="XA23" s="45"/>
      <c r="XB23" s="45"/>
      <c r="XC23" s="45"/>
      <c r="XD23" s="45"/>
      <c r="XE23" s="45"/>
      <c r="XF23" s="45"/>
      <c r="XG23" s="45"/>
      <c r="XH23" s="45"/>
      <c r="XI23" s="45">
        <f t="shared" si="100"/>
        <v>0</v>
      </c>
      <c r="XJ23" s="45">
        <f t="shared" si="101"/>
        <v>0</v>
      </c>
      <c r="XK23" s="45"/>
      <c r="XL23" s="45"/>
      <c r="XM23" s="45"/>
      <c r="XN23" s="45"/>
      <c r="XO23" s="45"/>
      <c r="XP23" s="45"/>
      <c r="XQ23" s="45"/>
      <c r="XR23" s="45"/>
      <c r="XS23" s="45"/>
      <c r="XT23" s="45"/>
      <c r="XU23" s="45"/>
      <c r="XV23" s="45"/>
      <c r="XW23" s="45"/>
      <c r="XX23" s="45"/>
      <c r="XY23" s="45"/>
      <c r="XZ23" s="45"/>
      <c r="YA23" s="45"/>
      <c r="YB23" s="45"/>
      <c r="YC23" s="45"/>
      <c r="YD23" s="45"/>
      <c r="YE23" s="45"/>
      <c r="YF23" s="45"/>
      <c r="YG23" s="45"/>
      <c r="YH23" s="45"/>
      <c r="YI23" s="45"/>
      <c r="YJ23" s="45"/>
      <c r="YK23" s="45"/>
      <c r="YL23" s="45"/>
      <c r="YM23" s="45"/>
      <c r="YN23" s="45"/>
      <c r="YO23" s="45"/>
      <c r="YP23" s="45"/>
      <c r="YQ23" s="45"/>
      <c r="YR23" s="45"/>
      <c r="YS23" s="45"/>
      <c r="YT23" s="45"/>
      <c r="YU23" s="45"/>
      <c r="YV23" s="45"/>
      <c r="YW23" s="45"/>
      <c r="YX23" s="45"/>
      <c r="YY23" s="45"/>
      <c r="YZ23" s="45"/>
      <c r="ZA23" s="45"/>
      <c r="ZB23" s="45"/>
      <c r="ZC23" s="45"/>
      <c r="ZD23" s="45"/>
      <c r="ZE23" s="45"/>
      <c r="ZF23" s="45"/>
      <c r="ZG23" s="45"/>
      <c r="ZH23" s="45"/>
      <c r="ZI23" s="45"/>
      <c r="ZJ23" s="45"/>
      <c r="ZK23" s="45"/>
      <c r="ZL23" s="45"/>
      <c r="ZM23" s="45"/>
      <c r="ZN23" s="45"/>
      <c r="ZO23" s="45"/>
      <c r="ZP23" s="45"/>
      <c r="ZQ23" s="45"/>
      <c r="ZR23" s="45"/>
      <c r="ZS23" s="45">
        <f t="shared" si="102"/>
        <v>0</v>
      </c>
      <c r="ZT23" s="45">
        <f t="shared" si="103"/>
        <v>0</v>
      </c>
      <c r="ZU23" s="45"/>
      <c r="ZV23" s="45"/>
      <c r="ZW23" s="45"/>
      <c r="ZX23" s="45"/>
      <c r="ZY23" s="45"/>
      <c r="ZZ23" s="45"/>
      <c r="AAA23" s="45"/>
      <c r="AAB23" s="45"/>
      <c r="AAC23" s="45"/>
      <c r="AAD23" s="45"/>
      <c r="AAE23" s="45"/>
      <c r="AAF23" s="45"/>
      <c r="AAG23" s="45"/>
      <c r="AAH23" s="45"/>
      <c r="AAI23" s="45"/>
      <c r="AAJ23" s="45"/>
      <c r="AAK23" s="45"/>
      <c r="AAL23" s="45"/>
      <c r="AAM23" s="45"/>
      <c r="AAN23" s="45"/>
      <c r="AAO23" s="45"/>
      <c r="AAP23" s="45"/>
      <c r="AAQ23" s="45"/>
      <c r="AAR23" s="45"/>
      <c r="AAS23" s="45"/>
      <c r="AAT23" s="45"/>
      <c r="AAU23" s="45"/>
      <c r="AAV23" s="45"/>
      <c r="AAW23" s="45"/>
      <c r="AAX23" s="45"/>
      <c r="AAY23" s="45"/>
      <c r="AAZ23" s="45"/>
      <c r="ABA23" s="45"/>
      <c r="ABB23" s="45"/>
      <c r="ABC23" s="45"/>
      <c r="ABD23" s="45"/>
      <c r="ABE23" s="45"/>
      <c r="ABF23" s="45"/>
      <c r="ABG23" s="45"/>
      <c r="ABH23" s="45"/>
      <c r="ABI23" s="45"/>
      <c r="ABJ23" s="45"/>
      <c r="ABK23" s="45"/>
      <c r="ABL23" s="45"/>
      <c r="ABM23" s="45"/>
      <c r="ABN23" s="45"/>
      <c r="ABO23" s="45"/>
      <c r="ABP23" s="45"/>
      <c r="ABQ23" s="45"/>
      <c r="ABR23" s="45"/>
      <c r="ABS23" s="45"/>
      <c r="ABT23" s="45"/>
      <c r="ABU23" s="45"/>
      <c r="ABV23" s="45"/>
      <c r="ABW23" s="45"/>
      <c r="ABX23" s="45"/>
      <c r="ABY23" s="45"/>
      <c r="ABZ23" s="45"/>
      <c r="ACA23" s="45"/>
      <c r="ACB23" s="45"/>
      <c r="ACC23" s="45"/>
      <c r="ACD23" s="45"/>
      <c r="ACE23" s="45">
        <f t="shared" si="104"/>
        <v>0</v>
      </c>
      <c r="ACF23" s="45"/>
      <c r="ACG23" s="45">
        <f t="shared" si="105"/>
        <v>0</v>
      </c>
      <c r="ACH23" s="55"/>
      <c r="ACI23" s="71" t="s">
        <v>141</v>
      </c>
      <c r="ACJ23" s="71" t="s">
        <v>87</v>
      </c>
    </row>
    <row r="24" spans="1:764" ht="16.5" thickBot="1" x14ac:dyDescent="0.3">
      <c r="A24" s="163"/>
      <c r="B24" s="167" t="s">
        <v>37</v>
      </c>
      <c r="C24" s="168"/>
      <c r="D24" s="169"/>
      <c r="E24" s="48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>
        <f>SUM(BO14:BO23)</f>
        <v>22421.917808219172</v>
      </c>
      <c r="BP24" s="39">
        <f>SUM(BP14:BP23)</f>
        <v>22421.917808219172</v>
      </c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>
        <f>SUM(DW14:DW23)</f>
        <v>20975.34246575342</v>
      </c>
      <c r="DX24" s="39">
        <f>SUM(DX14:DX23)</f>
        <v>20975.34246575342</v>
      </c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>
        <f>SUM(GI14:GI23)</f>
        <v>22421.917808219172</v>
      </c>
      <c r="GJ24" s="39">
        <f>SUM(GJ14:GJ23)</f>
        <v>22421.917808219172</v>
      </c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>
        <f>SUM(IS14:IS23)</f>
        <v>19591.340410958903</v>
      </c>
      <c r="IT24" s="39">
        <f>SUM(IT14:IT23)</f>
        <v>19591.340410958903</v>
      </c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39"/>
      <c r="KE24" s="39"/>
      <c r="KF24" s="39"/>
      <c r="KG24" s="39"/>
      <c r="KH24" s="39"/>
      <c r="KI24" s="39"/>
      <c r="KJ24" s="39"/>
      <c r="KK24" s="39"/>
      <c r="KL24" s="39"/>
      <c r="KM24" s="39"/>
      <c r="KN24" s="39"/>
      <c r="KO24" s="39"/>
      <c r="KP24" s="39"/>
      <c r="KQ24" s="39"/>
      <c r="KR24" s="39"/>
      <c r="KS24" s="39"/>
      <c r="KT24" s="39"/>
      <c r="KU24" s="39"/>
      <c r="KV24" s="39"/>
      <c r="KW24" s="39"/>
      <c r="KX24" s="39"/>
      <c r="KY24" s="39"/>
      <c r="KZ24" s="39"/>
      <c r="LA24" s="39"/>
      <c r="LB24" s="39"/>
      <c r="LC24" s="39"/>
      <c r="LD24" s="39"/>
      <c r="LE24" s="39">
        <f>SUM(LE14:LE23)</f>
        <v>9345.25</v>
      </c>
      <c r="LF24" s="39">
        <f>SUM(LF14:LF23)</f>
        <v>9345.25</v>
      </c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39"/>
      <c r="LU24" s="39"/>
      <c r="LV24" s="39"/>
      <c r="LW24" s="39"/>
      <c r="LX24" s="39"/>
      <c r="LY24" s="39"/>
      <c r="LZ24" s="39"/>
      <c r="MA24" s="39"/>
      <c r="MB24" s="39"/>
      <c r="MC24" s="39"/>
      <c r="MD24" s="39"/>
      <c r="ME24" s="39"/>
      <c r="MF24" s="39"/>
      <c r="MG24" s="39"/>
      <c r="MH24" s="39"/>
      <c r="MI24" s="39"/>
      <c r="MJ24" s="39"/>
      <c r="MK24" s="39"/>
      <c r="ML24" s="39"/>
      <c r="MM24" s="39"/>
      <c r="MN24" s="39"/>
      <c r="MO24" s="39"/>
      <c r="MP24" s="39"/>
      <c r="MQ24" s="39"/>
      <c r="MR24" s="39"/>
      <c r="MS24" s="39"/>
      <c r="MT24" s="39"/>
      <c r="MU24" s="39"/>
      <c r="MV24" s="39"/>
      <c r="MW24" s="39"/>
      <c r="MX24" s="39"/>
      <c r="MY24" s="39"/>
      <c r="MZ24" s="39"/>
      <c r="NA24" s="39"/>
      <c r="NB24" s="39"/>
      <c r="NC24" s="39"/>
      <c r="ND24" s="39"/>
      <c r="NE24" s="39"/>
      <c r="NF24" s="39"/>
      <c r="NG24" s="39"/>
      <c r="NH24" s="39"/>
      <c r="NI24" s="39"/>
      <c r="NJ24" s="39"/>
      <c r="NK24" s="39"/>
      <c r="NL24" s="39"/>
      <c r="NM24" s="39"/>
      <c r="NN24" s="39"/>
      <c r="NO24" s="39">
        <f>SUM(NO14:NO23)</f>
        <v>0</v>
      </c>
      <c r="NP24" s="39">
        <f>SUM(NP14:NP23)</f>
        <v>0</v>
      </c>
      <c r="NQ24" s="39"/>
      <c r="NR24" s="39"/>
      <c r="NS24" s="39"/>
      <c r="NT24" s="39"/>
      <c r="NU24" s="39"/>
      <c r="NV24" s="39"/>
      <c r="NW24" s="39"/>
      <c r="NX24" s="39"/>
      <c r="NY24" s="39"/>
      <c r="NZ24" s="39"/>
      <c r="OA24" s="39"/>
      <c r="OB24" s="39"/>
      <c r="OC24" s="39"/>
      <c r="OD24" s="39"/>
      <c r="OE24" s="39"/>
      <c r="OF24" s="39"/>
      <c r="OG24" s="39"/>
      <c r="OH24" s="39"/>
      <c r="OI24" s="39"/>
      <c r="OJ24" s="39"/>
      <c r="OK24" s="39"/>
      <c r="OL24" s="39"/>
      <c r="OM24" s="39"/>
      <c r="ON24" s="39"/>
      <c r="OO24" s="39"/>
      <c r="OP24" s="39"/>
      <c r="OQ24" s="39"/>
      <c r="OR24" s="39"/>
      <c r="OS24" s="39"/>
      <c r="OT24" s="39"/>
      <c r="OU24" s="39"/>
      <c r="OV24" s="39"/>
      <c r="OW24" s="39"/>
      <c r="OX24" s="39"/>
      <c r="OY24" s="39"/>
      <c r="OZ24" s="39"/>
      <c r="PA24" s="39"/>
      <c r="PB24" s="39"/>
      <c r="PC24" s="39"/>
      <c r="PD24" s="39"/>
      <c r="PE24" s="39"/>
      <c r="PF24" s="39"/>
      <c r="PG24" s="39"/>
      <c r="PH24" s="39"/>
      <c r="PI24" s="39"/>
      <c r="PJ24" s="39"/>
      <c r="PK24" s="39"/>
      <c r="PL24" s="39"/>
      <c r="PM24" s="39"/>
      <c r="PN24" s="39"/>
      <c r="PO24" s="39"/>
      <c r="PP24" s="39"/>
      <c r="PQ24" s="39"/>
      <c r="PR24" s="39"/>
      <c r="PS24" s="39"/>
      <c r="PT24" s="39"/>
      <c r="PU24" s="39"/>
      <c r="PV24" s="39"/>
      <c r="PW24" s="39"/>
      <c r="PX24" s="39"/>
      <c r="PY24" s="39"/>
      <c r="PZ24" s="39"/>
      <c r="QA24" s="39">
        <f>SUM(QA14:QA23)</f>
        <v>0</v>
      </c>
      <c r="QB24" s="39">
        <f>SUM(QB14:QB23)</f>
        <v>0</v>
      </c>
      <c r="QC24" s="39"/>
      <c r="QD24" s="39"/>
      <c r="QE24" s="39"/>
      <c r="QF24" s="39"/>
      <c r="QG24" s="39"/>
      <c r="QH24" s="39"/>
      <c r="QI24" s="39"/>
      <c r="QJ24" s="39"/>
      <c r="QK24" s="39"/>
      <c r="QL24" s="39"/>
      <c r="QM24" s="39"/>
      <c r="QN24" s="39"/>
      <c r="QO24" s="39"/>
      <c r="QP24" s="39"/>
      <c r="QQ24" s="39"/>
      <c r="QR24" s="39"/>
      <c r="QS24" s="39"/>
      <c r="QT24" s="39"/>
      <c r="QU24" s="39"/>
      <c r="QV24" s="39"/>
      <c r="QW24" s="39"/>
      <c r="QX24" s="39"/>
      <c r="QY24" s="39"/>
      <c r="QZ24" s="39"/>
      <c r="RA24" s="39"/>
      <c r="RB24" s="39"/>
      <c r="RC24" s="39"/>
      <c r="RD24" s="39"/>
      <c r="RE24" s="39"/>
      <c r="RF24" s="39"/>
      <c r="RG24" s="39"/>
      <c r="RH24" s="39"/>
      <c r="RI24" s="39"/>
      <c r="RJ24" s="39"/>
      <c r="RK24" s="39"/>
      <c r="RL24" s="39"/>
      <c r="RM24" s="39"/>
      <c r="RN24" s="39"/>
      <c r="RO24" s="39"/>
      <c r="RP24" s="39"/>
      <c r="RQ24" s="39"/>
      <c r="RR24" s="39"/>
      <c r="RS24" s="39"/>
      <c r="RT24" s="39"/>
      <c r="RU24" s="39"/>
      <c r="RV24" s="39"/>
      <c r="RW24" s="39"/>
      <c r="RX24" s="39"/>
      <c r="RY24" s="39"/>
      <c r="RZ24" s="39"/>
      <c r="SA24" s="39"/>
      <c r="SB24" s="39"/>
      <c r="SC24" s="39"/>
      <c r="SD24" s="39"/>
      <c r="SE24" s="39"/>
      <c r="SF24" s="39"/>
      <c r="SG24" s="39"/>
      <c r="SH24" s="39"/>
      <c r="SI24" s="39"/>
      <c r="SJ24" s="39"/>
      <c r="SK24" s="39"/>
      <c r="SL24" s="39"/>
      <c r="SM24" s="39">
        <f>SUM(SM14:SM23)</f>
        <v>0</v>
      </c>
      <c r="SN24" s="39">
        <f>SUM(SN14:SN23)</f>
        <v>0</v>
      </c>
      <c r="SO24" s="39"/>
      <c r="SP24" s="39"/>
      <c r="SQ24" s="39"/>
      <c r="SR24" s="39"/>
      <c r="SS24" s="39"/>
      <c r="ST24" s="39"/>
      <c r="SU24" s="39"/>
      <c r="SV24" s="39"/>
      <c r="SW24" s="39"/>
      <c r="SX24" s="39"/>
      <c r="SY24" s="39"/>
      <c r="SZ24" s="39"/>
      <c r="TA24" s="39"/>
      <c r="TB24" s="39"/>
      <c r="TC24" s="39"/>
      <c r="TD24" s="39"/>
      <c r="TE24" s="39"/>
      <c r="TF24" s="39"/>
      <c r="TG24" s="39"/>
      <c r="TH24" s="39"/>
      <c r="TI24" s="39"/>
      <c r="TJ24" s="39"/>
      <c r="TK24" s="39"/>
      <c r="TL24" s="39"/>
      <c r="TM24" s="39"/>
      <c r="TN24" s="39"/>
      <c r="TO24" s="39"/>
      <c r="TP24" s="39"/>
      <c r="TQ24" s="39"/>
      <c r="TR24" s="39"/>
      <c r="TS24" s="39"/>
      <c r="TT24" s="39"/>
      <c r="TU24" s="39"/>
      <c r="TV24" s="39"/>
      <c r="TW24" s="39"/>
      <c r="TX24" s="39"/>
      <c r="TY24" s="39"/>
      <c r="TZ24" s="39"/>
      <c r="UA24" s="39"/>
      <c r="UB24" s="39"/>
      <c r="UC24" s="39"/>
      <c r="UD24" s="39"/>
      <c r="UE24" s="39"/>
      <c r="UF24" s="39"/>
      <c r="UG24" s="39"/>
      <c r="UH24" s="39"/>
      <c r="UI24" s="39"/>
      <c r="UJ24" s="39"/>
      <c r="UK24" s="39"/>
      <c r="UL24" s="39"/>
      <c r="UM24" s="39"/>
      <c r="UN24" s="39"/>
      <c r="UO24" s="39"/>
      <c r="UP24" s="39"/>
      <c r="UQ24" s="39"/>
      <c r="UR24" s="39"/>
      <c r="US24" s="39"/>
      <c r="UT24" s="39"/>
      <c r="UU24" s="39"/>
      <c r="UV24" s="39"/>
      <c r="UW24" s="39">
        <f>SUM(UW14:UW23)</f>
        <v>0</v>
      </c>
      <c r="UX24" s="39">
        <f>SUM(UX14:UX23)</f>
        <v>0</v>
      </c>
      <c r="UY24" s="39"/>
      <c r="UZ24" s="39"/>
      <c r="VA24" s="39"/>
      <c r="VB24" s="39"/>
      <c r="VC24" s="39"/>
      <c r="VD24" s="39"/>
      <c r="VE24" s="39"/>
      <c r="VF24" s="39"/>
      <c r="VG24" s="39"/>
      <c r="VH24" s="39"/>
      <c r="VI24" s="39"/>
      <c r="VJ24" s="39"/>
      <c r="VK24" s="39"/>
      <c r="VL24" s="39"/>
      <c r="VM24" s="39"/>
      <c r="VN24" s="39"/>
      <c r="VO24" s="39"/>
      <c r="VP24" s="39"/>
      <c r="VQ24" s="39"/>
      <c r="VR24" s="39"/>
      <c r="VS24" s="39"/>
      <c r="VT24" s="39"/>
      <c r="VU24" s="39"/>
      <c r="VV24" s="39"/>
      <c r="VW24" s="39"/>
      <c r="VX24" s="39"/>
      <c r="VY24" s="39"/>
      <c r="VZ24" s="39"/>
      <c r="WA24" s="39"/>
      <c r="WB24" s="39"/>
      <c r="WC24" s="39"/>
      <c r="WD24" s="39"/>
      <c r="WE24" s="39"/>
      <c r="WF24" s="39"/>
      <c r="WG24" s="39"/>
      <c r="WH24" s="39"/>
      <c r="WI24" s="39"/>
      <c r="WJ24" s="39"/>
      <c r="WK24" s="39"/>
      <c r="WL24" s="39"/>
      <c r="WM24" s="39"/>
      <c r="WN24" s="39"/>
      <c r="WO24" s="39"/>
      <c r="WP24" s="39"/>
      <c r="WQ24" s="39"/>
      <c r="WR24" s="39"/>
      <c r="WS24" s="39"/>
      <c r="WT24" s="39"/>
      <c r="WU24" s="39"/>
      <c r="WV24" s="39"/>
      <c r="WW24" s="39"/>
      <c r="WX24" s="39"/>
      <c r="WY24" s="39"/>
      <c r="WZ24" s="39"/>
      <c r="XA24" s="39"/>
      <c r="XB24" s="39"/>
      <c r="XC24" s="39"/>
      <c r="XD24" s="39"/>
      <c r="XE24" s="39"/>
      <c r="XF24" s="39"/>
      <c r="XG24" s="39"/>
      <c r="XH24" s="39"/>
      <c r="XI24" s="39">
        <f>SUM(XI14:XI23)</f>
        <v>0</v>
      </c>
      <c r="XJ24" s="39">
        <f>SUM(XJ14:XJ23)</f>
        <v>0</v>
      </c>
      <c r="XK24" s="39"/>
      <c r="XL24" s="39"/>
      <c r="XM24" s="39"/>
      <c r="XN24" s="39"/>
      <c r="XO24" s="39"/>
      <c r="XP24" s="39"/>
      <c r="XQ24" s="39"/>
      <c r="XR24" s="39"/>
      <c r="XS24" s="39"/>
      <c r="XT24" s="39"/>
      <c r="XU24" s="39"/>
      <c r="XV24" s="39"/>
      <c r="XW24" s="39"/>
      <c r="XX24" s="39"/>
      <c r="XY24" s="39"/>
      <c r="XZ24" s="39"/>
      <c r="YA24" s="39"/>
      <c r="YB24" s="39"/>
      <c r="YC24" s="39"/>
      <c r="YD24" s="39"/>
      <c r="YE24" s="39"/>
      <c r="YF24" s="39"/>
      <c r="YG24" s="39"/>
      <c r="YH24" s="39"/>
      <c r="YI24" s="39"/>
      <c r="YJ24" s="39"/>
      <c r="YK24" s="39"/>
      <c r="YL24" s="39"/>
      <c r="YM24" s="39"/>
      <c r="YN24" s="39"/>
      <c r="YO24" s="39"/>
      <c r="YP24" s="39"/>
      <c r="YQ24" s="39"/>
      <c r="YR24" s="39"/>
      <c r="YS24" s="39"/>
      <c r="YT24" s="39"/>
      <c r="YU24" s="39"/>
      <c r="YV24" s="39"/>
      <c r="YW24" s="39"/>
      <c r="YX24" s="39"/>
      <c r="YY24" s="39"/>
      <c r="YZ24" s="39"/>
      <c r="ZA24" s="39"/>
      <c r="ZB24" s="39"/>
      <c r="ZC24" s="39"/>
      <c r="ZD24" s="39"/>
      <c r="ZE24" s="39"/>
      <c r="ZF24" s="39"/>
      <c r="ZG24" s="39"/>
      <c r="ZH24" s="39"/>
      <c r="ZI24" s="39"/>
      <c r="ZJ24" s="39"/>
      <c r="ZK24" s="39"/>
      <c r="ZL24" s="39"/>
      <c r="ZM24" s="39"/>
      <c r="ZN24" s="39"/>
      <c r="ZO24" s="39"/>
      <c r="ZP24" s="39"/>
      <c r="ZQ24" s="39"/>
      <c r="ZR24" s="39"/>
      <c r="ZS24" s="39">
        <f>SUM(ZS14:ZS23)</f>
        <v>0</v>
      </c>
      <c r="ZT24" s="39">
        <f>SUM(ZT14:ZT23)</f>
        <v>0</v>
      </c>
      <c r="ZU24" s="39"/>
      <c r="ZV24" s="39"/>
      <c r="ZW24" s="39"/>
      <c r="ZX24" s="39"/>
      <c r="ZY24" s="39"/>
      <c r="ZZ24" s="39"/>
      <c r="AAA24" s="39"/>
      <c r="AAB24" s="39"/>
      <c r="AAC24" s="39"/>
      <c r="AAD24" s="39"/>
      <c r="AAE24" s="39"/>
      <c r="AAF24" s="39"/>
      <c r="AAG24" s="39"/>
      <c r="AAH24" s="39"/>
      <c r="AAI24" s="39"/>
      <c r="AAJ24" s="39"/>
      <c r="AAK24" s="39"/>
      <c r="AAL24" s="39"/>
      <c r="AAM24" s="39"/>
      <c r="AAN24" s="39"/>
      <c r="AAO24" s="39"/>
      <c r="AAP24" s="39"/>
      <c r="AAQ24" s="39"/>
      <c r="AAR24" s="39"/>
      <c r="AAS24" s="39"/>
      <c r="AAT24" s="39"/>
      <c r="AAU24" s="39"/>
      <c r="AAV24" s="39"/>
      <c r="AAW24" s="39"/>
      <c r="AAX24" s="39"/>
      <c r="AAY24" s="39"/>
      <c r="AAZ24" s="39"/>
      <c r="ABA24" s="39"/>
      <c r="ABB24" s="39"/>
      <c r="ABC24" s="39"/>
      <c r="ABD24" s="39"/>
      <c r="ABE24" s="39"/>
      <c r="ABF24" s="39"/>
      <c r="ABG24" s="39"/>
      <c r="ABH24" s="39"/>
      <c r="ABI24" s="39"/>
      <c r="ABJ24" s="39"/>
      <c r="ABK24" s="39"/>
      <c r="ABL24" s="39"/>
      <c r="ABM24" s="39"/>
      <c r="ABN24" s="39"/>
      <c r="ABO24" s="39"/>
      <c r="ABP24" s="39"/>
      <c r="ABQ24" s="39"/>
      <c r="ABR24" s="39"/>
      <c r="ABS24" s="39"/>
      <c r="ABT24" s="39"/>
      <c r="ABU24" s="39"/>
      <c r="ABV24" s="39"/>
      <c r="ABW24" s="39"/>
      <c r="ABX24" s="39"/>
      <c r="ABY24" s="39"/>
      <c r="ABZ24" s="39"/>
      <c r="ACA24" s="39"/>
      <c r="ACB24" s="39"/>
      <c r="ACC24" s="39"/>
      <c r="ACD24" s="39"/>
      <c r="ACE24" s="39">
        <f>SUM(ACE14:ACE23)</f>
        <v>0</v>
      </c>
      <c r="ACF24" s="39"/>
      <c r="ACG24" s="39">
        <f>SUM(ACG14:ACG23)</f>
        <v>94755.768493150652</v>
      </c>
      <c r="ACH24" s="40"/>
      <c r="ACI24" s="71" t="s">
        <v>223</v>
      </c>
      <c r="ACJ24" s="71" t="s">
        <v>37</v>
      </c>
    </row>
    <row r="25" spans="1:764" x14ac:dyDescent="0.25">
      <c r="A25" s="173">
        <v>3</v>
      </c>
      <c r="B25" s="151" t="s">
        <v>88</v>
      </c>
      <c r="C25" s="154" t="s">
        <v>3</v>
      </c>
      <c r="D25" s="49" t="s">
        <v>6</v>
      </c>
      <c r="E25" s="72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43" cm="1">
        <f t="array" ref="BO25">SUMPRODUCT(E25:BM25,--(E$2:BM$2=BO$2))</f>
        <v>0</v>
      </c>
      <c r="BP25" s="43" cm="1">
        <f t="array" ref="BP25">SUMPRODUCT(F25:BN25,--(F$2:BN$2=BP$2))</f>
        <v>0</v>
      </c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 cm="1">
        <f t="array" ref="DW25">SUMPRODUCT(BQ25:DU25,--(BQ$2:DU$2=DW$2))</f>
        <v>0</v>
      </c>
      <c r="DX25" s="43" cm="1">
        <f t="array" ref="DX25">SUMPRODUCT(BR25:DV25,--(BR$2:DV$2=DX$2))</f>
        <v>0</v>
      </c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 cm="1">
        <f t="array" ref="GI25">SUMPRODUCT(DY25:GG25,--(DY$2:GG$2=GI$2))</f>
        <v>0</v>
      </c>
      <c r="GJ25" s="43" cm="1">
        <f t="array" ref="GJ25">SUMPRODUCT(DZ25:GH25,--(DZ$2:GH$2=GJ$2))</f>
        <v>0</v>
      </c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>
        <f>GK25+GM25+GO25+GQ25+GS25+GU25+GW25+GY25+HA25+HC25+HE25+HG25+HI25+HK25+HM25+HO25+HQ25+HS25+HU25+HW25+HY25+IA25+IC25+IE25+IG25+II25+IK25+IM25+IO25+IQ25</f>
        <v>0</v>
      </c>
      <c r="IT25" s="43">
        <f>GL25+GN25+GP25+GR25+GT25+GV25+GX25+GZ25+HB25+HD25+HF25+HH25+HJ25+HL25+HN25+HP25+HR25+HT25+HV25+HX25+HZ25+IB25+ID25+IF25+IH25+IJ25+IL25+IN25+IP25+IR25</f>
        <v>0</v>
      </c>
      <c r="IU25" s="43"/>
      <c r="IV25" s="43"/>
      <c r="IW25" s="43"/>
      <c r="IX25" s="43"/>
      <c r="IY25" s="43"/>
      <c r="IZ25" s="43"/>
      <c r="JA25" s="43"/>
      <c r="JB25" s="43"/>
      <c r="JC25" s="43"/>
      <c r="JD25" s="43"/>
      <c r="JE25" s="43"/>
      <c r="JF25" s="43"/>
      <c r="JG25" s="43"/>
      <c r="JH25" s="43"/>
      <c r="JI25" s="43"/>
      <c r="JJ25" s="43"/>
      <c r="JK25" s="43"/>
      <c r="JL25" s="43"/>
      <c r="JM25" s="43"/>
      <c r="JN25" s="43"/>
      <c r="JO25" s="43"/>
      <c r="JP25" s="43"/>
      <c r="JQ25" s="43"/>
      <c r="JR25" s="43"/>
      <c r="JS25" s="43"/>
      <c r="JT25" s="43"/>
      <c r="JU25" s="43"/>
      <c r="JV25" s="43"/>
      <c r="JW25" s="43"/>
      <c r="JX25" s="43"/>
      <c r="JY25" s="43"/>
      <c r="JZ25" s="43"/>
      <c r="KA25" s="43"/>
      <c r="KB25" s="43"/>
      <c r="KC25" s="43"/>
      <c r="KD25" s="43"/>
      <c r="KE25" s="43"/>
      <c r="KF25" s="43"/>
      <c r="KG25" s="43"/>
      <c r="KH25" s="43"/>
      <c r="KI25" s="43"/>
      <c r="KJ25" s="43"/>
      <c r="KK25" s="43"/>
      <c r="KL25" s="43"/>
      <c r="KM25" s="43"/>
      <c r="KN25" s="43"/>
      <c r="KO25" s="43"/>
      <c r="KP25" s="43"/>
      <c r="KQ25" s="43"/>
      <c r="KR25" s="43"/>
      <c r="KS25" s="43"/>
      <c r="KT25" s="43"/>
      <c r="KU25" s="43"/>
      <c r="KV25" s="43"/>
      <c r="KW25" s="43"/>
      <c r="KX25" s="43"/>
      <c r="KY25" s="43"/>
      <c r="KZ25" s="43"/>
      <c r="LA25" s="43"/>
      <c r="LB25" s="43"/>
      <c r="LC25" s="43"/>
      <c r="LD25" s="43"/>
      <c r="LE25" s="43">
        <f>IU25+IW25+IY25+JA25+JC25+JE25+JG25+JI25+JK25+JM25+JO25+JQ25+JS25+JU25+JW25+JY25+KA25+KC25+KE25+KG25+KI25+KK25+KM25+KO25+KQ25+KS25+KU25+KW25+KY25+LA25+LC25</f>
        <v>0</v>
      </c>
      <c r="LF25" s="43">
        <f>IV25+IX25+IZ25+JB25+JD25+JF25+JH25+JJ25+JL25+JN25+JP25+JR25+JT25+JV25+JX25+JZ25+KB25+KD25+KF25+KH25+KJ25+KL25+KN25+KP25+KR25+KT25+KV25+KX25+KZ25+LB25+LD25</f>
        <v>0</v>
      </c>
      <c r="LG25" s="43"/>
      <c r="LH25" s="43"/>
      <c r="LI25" s="43"/>
      <c r="LJ25" s="43"/>
      <c r="LK25" s="43"/>
      <c r="LL25" s="43"/>
      <c r="LM25" s="43"/>
      <c r="LN25" s="43"/>
      <c r="LO25" s="43"/>
      <c r="LP25" s="43"/>
      <c r="LQ25" s="43"/>
      <c r="LR25" s="43"/>
      <c r="LS25" s="43"/>
      <c r="LT25" s="43"/>
      <c r="LU25" s="43"/>
      <c r="LV25" s="43"/>
      <c r="LW25" s="43"/>
      <c r="LX25" s="43"/>
      <c r="LY25" s="43"/>
      <c r="LZ25" s="43"/>
      <c r="MA25" s="43"/>
      <c r="MB25" s="43"/>
      <c r="MC25" s="43"/>
      <c r="MD25" s="43"/>
      <c r="ME25" s="43"/>
      <c r="MF25" s="43"/>
      <c r="MG25" s="43"/>
      <c r="MH25" s="43"/>
      <c r="MI25" s="43"/>
      <c r="MJ25" s="43"/>
      <c r="MK25" s="43"/>
      <c r="ML25" s="43"/>
      <c r="MM25" s="43"/>
      <c r="MN25" s="43"/>
      <c r="MO25" s="43"/>
      <c r="MP25" s="43"/>
      <c r="MQ25" s="43"/>
      <c r="MR25" s="43"/>
      <c r="MS25" s="43"/>
      <c r="MT25" s="43"/>
      <c r="MU25" s="43"/>
      <c r="MV25" s="43"/>
      <c r="MW25" s="43"/>
      <c r="MX25" s="43"/>
      <c r="MY25" s="43"/>
      <c r="MZ25" s="43"/>
      <c r="NA25" s="43"/>
      <c r="NB25" s="43"/>
      <c r="NC25" s="43"/>
      <c r="ND25" s="43"/>
      <c r="NE25" s="43"/>
      <c r="NF25" s="43"/>
      <c r="NG25" s="43"/>
      <c r="NH25" s="43"/>
      <c r="NI25" s="43"/>
      <c r="NJ25" s="43"/>
      <c r="NK25" s="43"/>
      <c r="NL25" s="43"/>
      <c r="NM25" s="43"/>
      <c r="NN25" s="43"/>
      <c r="NO25" s="43">
        <f>LG25+LI25+LK25+LM25+LO25+LQ25+LS25+LU25+LW25+LY25+MA25+MC25+ME25+MG25+MI25+MK25+MM25+MO25+MQ25+MS25+MU25+MW25+MY25+NA25+NC25+NE25+NG25+NI25+NK25+NM25</f>
        <v>0</v>
      </c>
      <c r="NP25" s="43">
        <f>LH25+LJ25+LL25+LN25+LP25+LR25+LT25+LV25+LX25+LZ25+MB25+MD25+MF25+MH25+MJ25+ML25+MN25+MP25+MR25+MT25+MV25+MX25+MZ25+NB25+ND25+NF25+NH25+NJ25+NL25+NN25</f>
        <v>0</v>
      </c>
      <c r="NQ25" s="43"/>
      <c r="NR25" s="43"/>
      <c r="NS25" s="43"/>
      <c r="NT25" s="43"/>
      <c r="NU25" s="43"/>
      <c r="NV25" s="43"/>
      <c r="NW25" s="43"/>
      <c r="NX25" s="43"/>
      <c r="NY25" s="43"/>
      <c r="NZ25" s="43"/>
      <c r="OA25" s="43"/>
      <c r="OB25" s="43"/>
      <c r="OC25" s="43"/>
      <c r="OD25" s="43"/>
      <c r="OE25" s="43"/>
      <c r="OF25" s="43"/>
      <c r="OG25" s="43"/>
      <c r="OH25" s="43"/>
      <c r="OI25" s="43"/>
      <c r="OJ25" s="43"/>
      <c r="OK25" s="43"/>
      <c r="OL25" s="43"/>
      <c r="OM25" s="43"/>
      <c r="ON25" s="43"/>
      <c r="OO25" s="43"/>
      <c r="OP25" s="43"/>
      <c r="OQ25" s="43"/>
      <c r="OR25" s="43"/>
      <c r="OS25" s="43"/>
      <c r="OT25" s="43"/>
      <c r="OU25" s="43"/>
      <c r="OV25" s="43"/>
      <c r="OW25" s="43"/>
      <c r="OX25" s="43"/>
      <c r="OY25" s="43"/>
      <c r="OZ25" s="43"/>
      <c r="PA25" s="43"/>
      <c r="PB25" s="43"/>
      <c r="PC25" s="43"/>
      <c r="PD25" s="43"/>
      <c r="PE25" s="43"/>
      <c r="PF25" s="43"/>
      <c r="PG25" s="43"/>
      <c r="PH25" s="43"/>
      <c r="PI25" s="43"/>
      <c r="PJ25" s="43"/>
      <c r="PK25" s="43"/>
      <c r="PL25" s="43"/>
      <c r="PM25" s="43"/>
      <c r="PN25" s="43"/>
      <c r="PO25" s="43"/>
      <c r="PP25" s="43"/>
      <c r="PQ25" s="43"/>
      <c r="PR25" s="43"/>
      <c r="PS25" s="43"/>
      <c r="PT25" s="43"/>
      <c r="PU25" s="43"/>
      <c r="PV25" s="43"/>
      <c r="PW25" s="43"/>
      <c r="PX25" s="43"/>
      <c r="PY25" s="43"/>
      <c r="PZ25" s="43"/>
      <c r="QA25" s="43">
        <f>NQ25+NS25+NU25+NW25+NY25+OA25+OC25+OE25+OG25+OI25+OK25+OM25+OO25+OQ25+OS25+OU25+OW25+OY25+PA25+PC25+PE25+PG25+PI25+PK25+PM25+PO25+PQ25+PS25+PU25+PW25+PY25</f>
        <v>0</v>
      </c>
      <c r="QB25" s="43">
        <f>NR25+NT25+NV25+NX25+NZ25+OB25+OD25+OF25+OH25+OJ25+OL25+ON25+OP25+OR25+OT25+OV25+OX25+OZ25+PB25+PD25+PF25+PH25+PJ25+PL25+PN25+PP25+PR25+PT25+PV25+PX25+PZ25</f>
        <v>0</v>
      </c>
      <c r="QC25" s="43"/>
      <c r="QD25" s="43"/>
      <c r="QE25" s="43"/>
      <c r="QF25" s="43"/>
      <c r="QG25" s="43"/>
      <c r="QH25" s="43"/>
      <c r="QI25" s="43"/>
      <c r="QJ25" s="43"/>
      <c r="QK25" s="43"/>
      <c r="QL25" s="43"/>
      <c r="QM25" s="43"/>
      <c r="QN25" s="43"/>
      <c r="QO25" s="43"/>
      <c r="QP25" s="43"/>
      <c r="QQ25" s="43"/>
      <c r="QR25" s="43"/>
      <c r="QS25" s="43"/>
      <c r="QT25" s="43"/>
      <c r="QU25" s="43"/>
      <c r="QV25" s="43"/>
      <c r="QW25" s="43"/>
      <c r="QX25" s="43"/>
      <c r="QY25" s="43"/>
      <c r="QZ25" s="43"/>
      <c r="RA25" s="43"/>
      <c r="RB25" s="43"/>
      <c r="RC25" s="43"/>
      <c r="RD25" s="43"/>
      <c r="RE25" s="43"/>
      <c r="RF25" s="43"/>
      <c r="RG25" s="43"/>
      <c r="RH25" s="43"/>
      <c r="RI25" s="43"/>
      <c r="RJ25" s="43"/>
      <c r="RK25" s="43"/>
      <c r="RL25" s="43"/>
      <c r="RM25" s="43"/>
      <c r="RN25" s="43"/>
      <c r="RO25" s="43"/>
      <c r="RP25" s="43"/>
      <c r="RQ25" s="43"/>
      <c r="RR25" s="43"/>
      <c r="RS25" s="43"/>
      <c r="RT25" s="43"/>
      <c r="RU25" s="43"/>
      <c r="RV25" s="43"/>
      <c r="RW25" s="43"/>
      <c r="RX25" s="43"/>
      <c r="RY25" s="43"/>
      <c r="RZ25" s="43"/>
      <c r="SA25" s="43"/>
      <c r="SB25" s="43"/>
      <c r="SC25" s="43"/>
      <c r="SD25" s="43"/>
      <c r="SE25" s="43"/>
      <c r="SF25" s="43"/>
      <c r="SG25" s="43"/>
      <c r="SH25" s="43"/>
      <c r="SI25" s="43"/>
      <c r="SJ25" s="43"/>
      <c r="SK25" s="43"/>
      <c r="SL25" s="43"/>
      <c r="SM25" s="43">
        <f>QC25+QE25+QG25+QI25+QK25+QM25+QO25+QQ25+QS25+QU25+QW25+QY25+RA25+RC25+RE25+RG25+RI25+RK25+RM25+RO25+RQ25+RS25+RU25+RW25+RY25+SA25+SC25+SE25+SG25+SI25+SK25</f>
        <v>0</v>
      </c>
      <c r="SN25" s="43">
        <f>QD25+QF25+QH25+QJ25+QL25+QN25+QP25+QR25+QT25+QV25+QX25+QZ25+RB25+RD25+RF25+RH25+RJ25+RL25+RN25+RP25+RR25+RT25+RV25+RX25+RZ25+SB25+SD25+SF25+SH25+SJ25+SL25</f>
        <v>0</v>
      </c>
      <c r="SO25" s="43"/>
      <c r="SP25" s="43"/>
      <c r="SQ25" s="43"/>
      <c r="SR25" s="43"/>
      <c r="SS25" s="43"/>
      <c r="ST25" s="43"/>
      <c r="SU25" s="43"/>
      <c r="SV25" s="43"/>
      <c r="SW25" s="43"/>
      <c r="SX25" s="43"/>
      <c r="SY25" s="43"/>
      <c r="SZ25" s="43"/>
      <c r="TA25" s="43"/>
      <c r="TB25" s="43"/>
      <c r="TC25" s="43"/>
      <c r="TD25" s="43"/>
      <c r="TE25" s="43"/>
      <c r="TF25" s="43"/>
      <c r="TG25" s="43"/>
      <c r="TH25" s="43"/>
      <c r="TI25" s="43"/>
      <c r="TJ25" s="43"/>
      <c r="TK25" s="43"/>
      <c r="TL25" s="43"/>
      <c r="TM25" s="43"/>
      <c r="TN25" s="43"/>
      <c r="TO25" s="43"/>
      <c r="TP25" s="43"/>
      <c r="TQ25" s="43"/>
      <c r="TR25" s="43"/>
      <c r="TS25" s="43"/>
      <c r="TT25" s="43"/>
      <c r="TU25" s="43"/>
      <c r="TV25" s="43"/>
      <c r="TW25" s="43"/>
      <c r="TX25" s="43"/>
      <c r="TY25" s="43"/>
      <c r="TZ25" s="43"/>
      <c r="UA25" s="43"/>
      <c r="UB25" s="43"/>
      <c r="UC25" s="43"/>
      <c r="UD25" s="43"/>
      <c r="UE25" s="43"/>
      <c r="UF25" s="43"/>
      <c r="UG25" s="43"/>
      <c r="UH25" s="43"/>
      <c r="UI25" s="43"/>
      <c r="UJ25" s="43"/>
      <c r="UK25" s="43"/>
      <c r="UL25" s="43"/>
      <c r="UM25" s="43"/>
      <c r="UN25" s="43"/>
      <c r="UO25" s="43"/>
      <c r="UP25" s="43"/>
      <c r="UQ25" s="43"/>
      <c r="UR25" s="43"/>
      <c r="US25" s="43"/>
      <c r="UT25" s="43"/>
      <c r="UU25" s="43"/>
      <c r="UV25" s="43"/>
      <c r="UW25" s="43">
        <f>SO25+SQ25+SS25+SU25+SW25+SY25+TA25+TC25+TE25+TG25+TI25+TK25+TM25+TO25+TQ25+TS25+TU25+TW25+TY25+UA25+UC25+UE25+UG25+UI25+UK25+UM25+UO25+UQ25+US25+UU25</f>
        <v>0</v>
      </c>
      <c r="UX25" s="43">
        <f>SP25+SR25+ST25+SV25+SX25+SZ25+TB25+TD25+TF25+TH25+TJ25+TL25+TN25+TP25+TR25+TT25+TV25+TX25+TZ25+UB25+UD25+UF25+UH25+UJ25+UL25+UN25+UP25+UR25+UT25+UV25</f>
        <v>0</v>
      </c>
      <c r="UY25" s="43"/>
      <c r="UZ25" s="43"/>
      <c r="VA25" s="43"/>
      <c r="VB25" s="43"/>
      <c r="VC25" s="43"/>
      <c r="VD25" s="43"/>
      <c r="VE25" s="43"/>
      <c r="VF25" s="43"/>
      <c r="VG25" s="43"/>
      <c r="VH25" s="43"/>
      <c r="VI25" s="43"/>
      <c r="VJ25" s="43"/>
      <c r="VK25" s="43"/>
      <c r="VL25" s="43"/>
      <c r="VM25" s="43"/>
      <c r="VN25" s="43"/>
      <c r="VO25" s="43"/>
      <c r="VP25" s="43"/>
      <c r="VQ25" s="43"/>
      <c r="VR25" s="43"/>
      <c r="VS25" s="43"/>
      <c r="VT25" s="43"/>
      <c r="VU25" s="43"/>
      <c r="VV25" s="43"/>
      <c r="VW25" s="43"/>
      <c r="VX25" s="43"/>
      <c r="VY25" s="43"/>
      <c r="VZ25" s="43"/>
      <c r="WA25" s="43"/>
      <c r="WB25" s="43"/>
      <c r="WC25" s="43"/>
      <c r="WD25" s="43"/>
      <c r="WE25" s="43"/>
      <c r="WF25" s="43"/>
      <c r="WG25" s="43"/>
      <c r="WH25" s="43"/>
      <c r="WI25" s="43"/>
      <c r="WJ25" s="43"/>
      <c r="WK25" s="43"/>
      <c r="WL25" s="43"/>
      <c r="WM25" s="43"/>
      <c r="WN25" s="43"/>
      <c r="WO25" s="43"/>
      <c r="WP25" s="43"/>
      <c r="WQ25" s="43"/>
      <c r="WR25" s="43"/>
      <c r="WS25" s="43"/>
      <c r="WT25" s="43"/>
      <c r="WU25" s="43"/>
      <c r="WV25" s="43"/>
      <c r="WW25" s="43"/>
      <c r="WX25" s="43"/>
      <c r="WY25" s="43"/>
      <c r="WZ25" s="43"/>
      <c r="XA25" s="43"/>
      <c r="XB25" s="43"/>
      <c r="XC25" s="43"/>
      <c r="XD25" s="43"/>
      <c r="XE25" s="43"/>
      <c r="XF25" s="43"/>
      <c r="XG25" s="43"/>
      <c r="XH25" s="43"/>
      <c r="XI25" s="43">
        <f>UY25+VA25+VC25+VE25+VG25+VI25+VK25+VM25+VO25+VQ25+VS25+VU25+VW25+VY25+WA25+WC25+WE25+WG25+WI25+WK25+WM25+WO25+WQ25+WS25+WU25+WW25+WY25+XA25+XC25+XE25+XG25</f>
        <v>0</v>
      </c>
      <c r="XJ25" s="43">
        <f>UZ25+VB25+VD25+VF25+VH25+VJ25+VL25+VN25+VP25+VR25+VT25+VV25+VX25+VZ25+WB25+WD25+WF25+WH25+WJ25+WL25+WN25+WP25+WR25+WT25+WV25+WX25+WZ25+XB25+XD25+XF25+XH25</f>
        <v>0</v>
      </c>
      <c r="XK25" s="43"/>
      <c r="XL25" s="43"/>
      <c r="XM25" s="43"/>
      <c r="XN25" s="43"/>
      <c r="XO25" s="43"/>
      <c r="XP25" s="43"/>
      <c r="XQ25" s="43"/>
      <c r="XR25" s="43"/>
      <c r="XS25" s="43"/>
      <c r="XT25" s="43"/>
      <c r="XU25" s="43"/>
      <c r="XV25" s="43"/>
      <c r="XW25" s="43"/>
      <c r="XX25" s="43"/>
      <c r="XY25" s="43"/>
      <c r="XZ25" s="43"/>
      <c r="YA25" s="43"/>
      <c r="YB25" s="43"/>
      <c r="YC25" s="43"/>
      <c r="YD25" s="43"/>
      <c r="YE25" s="43"/>
      <c r="YF25" s="43"/>
      <c r="YG25" s="43"/>
      <c r="YH25" s="43"/>
      <c r="YI25" s="43"/>
      <c r="YJ25" s="43"/>
      <c r="YK25" s="43"/>
      <c r="YL25" s="43"/>
      <c r="YM25" s="43"/>
      <c r="YN25" s="43"/>
      <c r="YO25" s="43"/>
      <c r="YP25" s="43"/>
      <c r="YQ25" s="43"/>
      <c r="YR25" s="43"/>
      <c r="YS25" s="43"/>
      <c r="YT25" s="43"/>
      <c r="YU25" s="43"/>
      <c r="YV25" s="43"/>
      <c r="YW25" s="43"/>
      <c r="YX25" s="43"/>
      <c r="YY25" s="43"/>
      <c r="YZ25" s="43"/>
      <c r="ZA25" s="43"/>
      <c r="ZB25" s="43"/>
      <c r="ZC25" s="43"/>
      <c r="ZD25" s="43"/>
      <c r="ZE25" s="43"/>
      <c r="ZF25" s="43"/>
      <c r="ZG25" s="43"/>
      <c r="ZH25" s="43"/>
      <c r="ZI25" s="43"/>
      <c r="ZJ25" s="43"/>
      <c r="ZK25" s="43"/>
      <c r="ZL25" s="43"/>
      <c r="ZM25" s="43"/>
      <c r="ZN25" s="43"/>
      <c r="ZO25" s="43"/>
      <c r="ZP25" s="43"/>
      <c r="ZQ25" s="43"/>
      <c r="ZR25" s="43"/>
      <c r="ZS25" s="43">
        <f>XK25+XM25+XO25+XQ25+XS25+XU25+XW25+XY25+YA25+YC25+YE25+YG25+YI25+YK25+YM25+YO25+YQ25+YS25+YU25+YW25+YY25+ZA25+ZC25+ZE25+ZG25+ZI25+ZK25+ZM25+ZO25+ZQ25</f>
        <v>0</v>
      </c>
      <c r="ZT25" s="43">
        <f>XL25+XN25+XP25+XR25+XT25+XV25+XX25+XZ25+YB25+YD25+YF25+YH25+YJ25+YL25+YN25+YP25+YR25+YT25+YV25+YX25+YZ25+ZB25+ZD25+ZF25+ZH25+ZJ25+ZL25+ZN25+ZP25+ZR25</f>
        <v>0</v>
      </c>
      <c r="ZU25" s="43"/>
      <c r="ZV25" s="43"/>
      <c r="ZW25" s="43"/>
      <c r="ZX25" s="43"/>
      <c r="ZY25" s="43"/>
      <c r="ZZ25" s="43"/>
      <c r="AAA25" s="43"/>
      <c r="AAB25" s="43"/>
      <c r="AAC25" s="43"/>
      <c r="AAD25" s="43"/>
      <c r="AAE25" s="43"/>
      <c r="AAF25" s="43"/>
      <c r="AAG25" s="43"/>
      <c r="AAH25" s="43"/>
      <c r="AAI25" s="43"/>
      <c r="AAJ25" s="43"/>
      <c r="AAK25" s="43"/>
      <c r="AAL25" s="43"/>
      <c r="AAM25" s="43"/>
      <c r="AAN25" s="43"/>
      <c r="AAO25" s="43"/>
      <c r="AAP25" s="43"/>
      <c r="AAQ25" s="43"/>
      <c r="AAR25" s="43"/>
      <c r="AAS25" s="43"/>
      <c r="AAT25" s="43"/>
      <c r="AAU25" s="43"/>
      <c r="AAV25" s="43"/>
      <c r="AAW25" s="43"/>
      <c r="AAX25" s="43"/>
      <c r="AAY25" s="43"/>
      <c r="AAZ25" s="43"/>
      <c r="ABA25" s="43"/>
      <c r="ABB25" s="43"/>
      <c r="ABC25" s="43"/>
      <c r="ABD25" s="43"/>
      <c r="ABE25" s="43"/>
      <c r="ABF25" s="43"/>
      <c r="ABG25" s="43"/>
      <c r="ABH25" s="43"/>
      <c r="ABI25" s="43"/>
      <c r="ABJ25" s="43"/>
      <c r="ABK25" s="43"/>
      <c r="ABL25" s="43"/>
      <c r="ABM25" s="43"/>
      <c r="ABN25" s="43"/>
      <c r="ABO25" s="43"/>
      <c r="ABP25" s="43"/>
      <c r="ABQ25" s="43"/>
      <c r="ABR25" s="43"/>
      <c r="ABS25" s="43"/>
      <c r="ABT25" s="43"/>
      <c r="ABU25" s="43"/>
      <c r="ABV25" s="43"/>
      <c r="ABW25" s="43"/>
      <c r="ABX25" s="43"/>
      <c r="ABY25" s="43"/>
      <c r="ABZ25" s="43"/>
      <c r="ACA25" s="43"/>
      <c r="ACB25" s="43"/>
      <c r="ACC25" s="43"/>
      <c r="ACD25" s="44"/>
      <c r="ACE25" s="43">
        <f>ZU25+ZW25+ZY25+AAA25+AAC25+AAE25+AAG25+AAI25+AAK25+AAM25+AAO25+AAQ25+AAS25+AAU25+AAW25+AAY25+ABA25+ABC25+ABE25+ABG25+ABI25+ABK25+ABM25+ABO25+ABQ25+ABS25+ABU25+ABW25+ABY25+ACA25+ACC25</f>
        <v>0</v>
      </c>
      <c r="ACF25" s="43"/>
      <c r="ACG25" s="43">
        <f>BO25+DW25+GI25+IS25+LE25+NO25+QA25+SM25+UW25+XI25+ZS25+ACE25</f>
        <v>0</v>
      </c>
      <c r="ACH25" s="54"/>
      <c r="ACI25" s="71" t="s">
        <v>218</v>
      </c>
      <c r="ACJ25" s="71" t="s">
        <v>88</v>
      </c>
    </row>
    <row r="26" spans="1:764" x14ac:dyDescent="0.25">
      <c r="A26" s="174"/>
      <c r="B26" s="152"/>
      <c r="C26" s="155"/>
      <c r="D26" s="50" t="s">
        <v>7</v>
      </c>
      <c r="E26" s="74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24" cm="1">
        <f t="array" ref="BO26">SUMPRODUCT(E26:BM26,--(E$2:BM$2=BO$2))</f>
        <v>0</v>
      </c>
      <c r="BP26" s="24" cm="1">
        <f t="array" ref="BP26">SUMPRODUCT(F26:BN26,--(F$2:BN$2=BP$2))</f>
        <v>0</v>
      </c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 cm="1">
        <f t="array" ref="DW26">SUMPRODUCT(BQ26:DU26,--(BQ$2:DU$2=DW$2))</f>
        <v>0</v>
      </c>
      <c r="DX26" s="24" cm="1">
        <f t="array" ref="DX26">SUMPRODUCT(BR26:DV26,--(BR$2:DV$2=DX$2))</f>
        <v>0</v>
      </c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/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24"/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24"/>
      <c r="GG26" s="24"/>
      <c r="GH26" s="24"/>
      <c r="GI26" s="24" cm="1">
        <f t="array" ref="GI26">SUMPRODUCT(DY26:GG26,--(DY$2:GG$2=GI$2))</f>
        <v>0</v>
      </c>
      <c r="GJ26" s="24" cm="1">
        <f t="array" ref="GJ26">SUMPRODUCT(DZ26:GH26,--(DZ$2:GH$2=GJ$2))</f>
        <v>0</v>
      </c>
      <c r="GK26" s="24"/>
      <c r="GL26" s="24"/>
      <c r="GM26" s="24"/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24"/>
      <c r="HD26" s="24"/>
      <c r="HE26" s="24"/>
      <c r="HF26" s="24"/>
      <c r="HG26" s="24"/>
      <c r="HH26" s="24"/>
      <c r="HI26" s="24"/>
      <c r="HJ26" s="24"/>
      <c r="HK26" s="24"/>
      <c r="HL26" s="24"/>
      <c r="HM26" s="24"/>
      <c r="HN26" s="24"/>
      <c r="HO26" s="24"/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>
        <f t="shared" ref="IS26:IS34" si="106">GK26+GM26+GO26+GQ26+GS26+GU26+GW26+GY26+HA26+HC26+HE26+HG26+HI26+HK26+HM26+HO26+HQ26+HS26+HU26+HW26+HY26+IA26+IC26+IE26+IG26+II26+IK26+IM26+IO26+IQ26</f>
        <v>0</v>
      </c>
      <c r="IT26" s="24">
        <f t="shared" ref="IT26:IT34" si="107">GL26+GN26+GP26+GR26+GT26+GV26+GX26+GZ26+HB26+HD26+HF26+HH26+HJ26+HL26+HN26+HP26+HR26+HT26+HV26+HX26+HZ26+IB26+ID26+IF26+IH26+IJ26+IL26+IN26+IP26+IR26</f>
        <v>0</v>
      </c>
      <c r="IU26" s="24"/>
      <c r="IV26" s="24"/>
      <c r="IW26" s="24"/>
      <c r="IX26" s="24"/>
      <c r="IY26" s="24"/>
      <c r="IZ26" s="24"/>
      <c r="JA26" s="24"/>
      <c r="JB26" s="24"/>
      <c r="JC26" s="24"/>
      <c r="JD26" s="24"/>
      <c r="JE26" s="24"/>
      <c r="JF26" s="24"/>
      <c r="JG26" s="24"/>
      <c r="JH26" s="24"/>
      <c r="JI26" s="24"/>
      <c r="JJ26" s="24"/>
      <c r="JK26" s="24"/>
      <c r="JL26" s="24"/>
      <c r="JM26" s="24"/>
      <c r="JN26" s="24"/>
      <c r="JO26" s="24"/>
      <c r="JP26" s="24"/>
      <c r="JQ26" s="24"/>
      <c r="JR26" s="24"/>
      <c r="JS26" s="24"/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24"/>
      <c r="KO26" s="24"/>
      <c r="KP26" s="24"/>
      <c r="KQ26" s="24"/>
      <c r="KR26" s="24"/>
      <c r="KS26" s="24"/>
      <c r="KT26" s="24"/>
      <c r="KU26" s="24"/>
      <c r="KV26" s="24"/>
      <c r="KW26" s="24"/>
      <c r="KX26" s="24"/>
      <c r="KY26" s="24"/>
      <c r="KZ26" s="24"/>
      <c r="LA26" s="24"/>
      <c r="LB26" s="24"/>
      <c r="LC26" s="24"/>
      <c r="LD26" s="24"/>
      <c r="LE26" s="24">
        <f t="shared" ref="LE26:LE34" si="108">IU26+IW26+IY26+JA26+JC26+JE26+JG26+JI26+JK26+JM26+JO26+JQ26+JS26+JU26+JW26+JY26+KA26+KC26+KE26+KG26+KI26+KK26+KM26+KO26+KQ26+KS26+KU26+KW26+KY26+LA26+LC26</f>
        <v>0</v>
      </c>
      <c r="LF26" s="24">
        <f t="shared" ref="LF26:LF34" si="109">IV26+IX26+IZ26+JB26+JD26+JF26+JH26+JJ26+JL26+JN26+JP26+JR26+JT26+JV26+JX26+JZ26+KB26+KD26+KF26+KH26+KJ26+KL26+KN26+KP26+KR26+KT26+KV26+KX26+KZ26+LB26+LD26</f>
        <v>0</v>
      </c>
      <c r="LG26" s="24"/>
      <c r="LH26" s="24"/>
      <c r="LI26" s="24"/>
      <c r="LJ26" s="24"/>
      <c r="LK26" s="24"/>
      <c r="LL26" s="24"/>
      <c r="LM26" s="24"/>
      <c r="LN26" s="24"/>
      <c r="LO26" s="24"/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24"/>
      <c r="MS26" s="24"/>
      <c r="MT26" s="24"/>
      <c r="MU26" s="24"/>
      <c r="MV26" s="24"/>
      <c r="MW26" s="24"/>
      <c r="MX26" s="24"/>
      <c r="MY26" s="24"/>
      <c r="MZ26" s="24"/>
      <c r="NA26" s="24"/>
      <c r="NB26" s="24"/>
      <c r="NC26" s="24"/>
      <c r="ND26" s="24"/>
      <c r="NE26" s="24"/>
      <c r="NF26" s="24"/>
      <c r="NG26" s="24"/>
      <c r="NH26" s="24"/>
      <c r="NI26" s="24"/>
      <c r="NJ26" s="24"/>
      <c r="NK26" s="24"/>
      <c r="NL26" s="24"/>
      <c r="NM26" s="24"/>
      <c r="NN26" s="24"/>
      <c r="NO26" s="24">
        <f t="shared" ref="NO26:NO34" si="110">LG26+LI26+LK26+LM26+LO26+LQ26+LS26+LU26+LW26+LY26+MA26+MC26+ME26+MG26+MI26+MK26+MM26+MO26+MQ26+MS26+MU26+MW26+MY26+NA26+NC26+NE26+NG26+NI26+NK26+NM26</f>
        <v>0</v>
      </c>
      <c r="NP26" s="24">
        <f t="shared" ref="NP26:NP34" si="111">LH26+LJ26+LL26+LN26+LP26+LR26+LT26+LV26+LX26+LZ26+MB26+MD26+MF26+MH26+MJ26+ML26+MN26+MP26+MR26+MT26+MV26+MX26+MZ26+NB26+ND26+NF26+NH26+NJ26+NL26+NN26</f>
        <v>0</v>
      </c>
      <c r="NQ26" s="24"/>
      <c r="NR26" s="24"/>
      <c r="NS26" s="24"/>
      <c r="NT26" s="24"/>
      <c r="NU26" s="24"/>
      <c r="NV26" s="24"/>
      <c r="NW26" s="24"/>
      <c r="NX26" s="24"/>
      <c r="NY26" s="24"/>
      <c r="NZ26" s="24"/>
      <c r="OA26" s="24"/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24"/>
      <c r="OW26" s="24"/>
      <c r="OX26" s="24"/>
      <c r="OY26" s="24"/>
      <c r="OZ26" s="24"/>
      <c r="PA26" s="24"/>
      <c r="PB26" s="24"/>
      <c r="PC26" s="24"/>
      <c r="PD26" s="24"/>
      <c r="PE26" s="24"/>
      <c r="PF26" s="24"/>
      <c r="PG26" s="24"/>
      <c r="PH26" s="24"/>
      <c r="PI26" s="24"/>
      <c r="PJ26" s="24"/>
      <c r="PK26" s="24"/>
      <c r="PL26" s="24"/>
      <c r="PM26" s="24"/>
      <c r="PN26" s="24"/>
      <c r="PO26" s="24"/>
      <c r="PP26" s="24"/>
      <c r="PQ26" s="24"/>
      <c r="PR26" s="24"/>
      <c r="PS26" s="24"/>
      <c r="PT26" s="24"/>
      <c r="PU26" s="24"/>
      <c r="PV26" s="24"/>
      <c r="PW26" s="24"/>
      <c r="PX26" s="24"/>
      <c r="PY26" s="24"/>
      <c r="PZ26" s="24"/>
      <c r="QA26" s="24">
        <f t="shared" ref="QA26:QA34" si="112">NQ26+NS26+NU26+NW26+NY26+OA26+OC26+OE26+OG26+OI26+OK26+OM26+OO26+OQ26+OS26+OU26+OW26+OY26+PA26+PC26+PE26+PG26+PI26+PK26+PM26+PO26+PQ26+PS26+PU26+PW26+PY26</f>
        <v>0</v>
      </c>
      <c r="QB26" s="24">
        <f t="shared" ref="QB26:QB34" si="113">NR26+NT26+NV26+NX26+NZ26+OB26+OD26+OF26+OH26+OJ26+OL26+ON26+OP26+OR26+OT26+OV26+OX26+OZ26+PB26+PD26+PF26+PH26+PJ26+PL26+PN26+PP26+PR26+PT26+PV26+PX26+PZ26</f>
        <v>0</v>
      </c>
      <c r="QC26" s="24"/>
      <c r="QD26" s="24"/>
      <c r="QE26" s="24"/>
      <c r="QF26" s="24"/>
      <c r="QG26" s="24"/>
      <c r="QH26" s="24"/>
      <c r="QI26" s="24"/>
      <c r="QJ26" s="24"/>
      <c r="QK26" s="24"/>
      <c r="QL26" s="24"/>
      <c r="QM26" s="24"/>
      <c r="QN26" s="24"/>
      <c r="QO26" s="24"/>
      <c r="QP26" s="24"/>
      <c r="QQ26" s="24"/>
      <c r="QR26" s="24"/>
      <c r="QS26" s="24"/>
      <c r="QT26" s="24"/>
      <c r="QU26" s="24"/>
      <c r="QV26" s="24"/>
      <c r="QW26" s="24"/>
      <c r="QX26" s="24"/>
      <c r="QY26" s="24"/>
      <c r="QZ26" s="24"/>
      <c r="RA26" s="24"/>
      <c r="RB26" s="24"/>
      <c r="RC26" s="24"/>
      <c r="RD26" s="24"/>
      <c r="RE26" s="24"/>
      <c r="RF26" s="24"/>
      <c r="RG26" s="24"/>
      <c r="RH26" s="24"/>
      <c r="RI26" s="24"/>
      <c r="RJ26" s="24"/>
      <c r="RK26" s="24"/>
      <c r="RL26" s="24"/>
      <c r="RM26" s="24"/>
      <c r="RN26" s="24"/>
      <c r="RO26" s="24"/>
      <c r="RP26" s="24"/>
      <c r="RQ26" s="24"/>
      <c r="RR26" s="24"/>
      <c r="RS26" s="24"/>
      <c r="RT26" s="24"/>
      <c r="RU26" s="24"/>
      <c r="RV26" s="24"/>
      <c r="RW26" s="24"/>
      <c r="RX26" s="24"/>
      <c r="RY26" s="24"/>
      <c r="RZ26" s="24"/>
      <c r="SA26" s="24"/>
      <c r="SB26" s="24"/>
      <c r="SC26" s="24"/>
      <c r="SD26" s="24"/>
      <c r="SE26" s="24"/>
      <c r="SF26" s="24"/>
      <c r="SG26" s="24"/>
      <c r="SH26" s="24"/>
      <c r="SI26" s="24"/>
      <c r="SJ26" s="24"/>
      <c r="SK26" s="24"/>
      <c r="SL26" s="24"/>
      <c r="SM26" s="24">
        <f t="shared" ref="SM26:SM34" si="114">QC26+QE26+QG26+QI26+QK26+QM26+QO26+QQ26+QS26+QU26+QW26+QY26+RA26+RC26+RE26+RG26+RI26+RK26+RM26+RO26+RQ26+RS26+RU26+RW26+RY26+SA26+SC26+SE26+SG26+SI26+SK26</f>
        <v>0</v>
      </c>
      <c r="SN26" s="24">
        <f t="shared" ref="SN26:SN34" si="115">QD26+QF26+QH26+QJ26+QL26+QN26+QP26+QR26+QT26+QV26+QX26+QZ26+RB26+RD26+RF26+RH26+RJ26+RL26+RN26+RP26+RR26+RT26+RV26+RX26+RZ26+SB26+SD26+SF26+SH26+SJ26+SL26</f>
        <v>0</v>
      </c>
      <c r="SO26" s="24"/>
      <c r="SP26" s="24"/>
      <c r="SQ26" s="24"/>
      <c r="SR26" s="24"/>
      <c r="SS26" s="24"/>
      <c r="ST26" s="24"/>
      <c r="SU26" s="24"/>
      <c r="SV26" s="24"/>
      <c r="SW26" s="24"/>
      <c r="SX26" s="24"/>
      <c r="SY26" s="24"/>
      <c r="SZ26" s="24"/>
      <c r="TA26" s="24"/>
      <c r="TB26" s="24"/>
      <c r="TC26" s="24"/>
      <c r="TD26" s="24"/>
      <c r="TE26" s="24"/>
      <c r="TF26" s="24"/>
      <c r="TG26" s="24"/>
      <c r="TH26" s="24"/>
      <c r="TI26" s="24"/>
      <c r="TJ26" s="24"/>
      <c r="TK26" s="24"/>
      <c r="TL26" s="24"/>
      <c r="TM26" s="24"/>
      <c r="TN26" s="24"/>
      <c r="TO26" s="24"/>
      <c r="TP26" s="24"/>
      <c r="TQ26" s="24"/>
      <c r="TR26" s="24"/>
      <c r="TS26" s="24"/>
      <c r="TT26" s="24"/>
      <c r="TU26" s="24"/>
      <c r="TV26" s="24"/>
      <c r="TW26" s="24"/>
      <c r="TX26" s="24"/>
      <c r="TY26" s="24"/>
      <c r="TZ26" s="24"/>
      <c r="UA26" s="24"/>
      <c r="UB26" s="24"/>
      <c r="UC26" s="24"/>
      <c r="UD26" s="24"/>
      <c r="UE26" s="24"/>
      <c r="UF26" s="24"/>
      <c r="UG26" s="24"/>
      <c r="UH26" s="24"/>
      <c r="UI26" s="24"/>
      <c r="UJ26" s="24"/>
      <c r="UK26" s="24"/>
      <c r="UL26" s="24"/>
      <c r="UM26" s="24"/>
      <c r="UN26" s="24"/>
      <c r="UO26" s="24"/>
      <c r="UP26" s="24"/>
      <c r="UQ26" s="24"/>
      <c r="UR26" s="24"/>
      <c r="US26" s="24"/>
      <c r="UT26" s="24"/>
      <c r="UU26" s="24"/>
      <c r="UV26" s="24"/>
      <c r="UW26" s="24">
        <f t="shared" ref="UW26:UW34" si="116">SO26+SQ26+SS26+SU26+SW26+SY26+TA26+TC26+TE26+TG26+TI26+TK26+TM26+TO26+TQ26+TS26+TU26+TW26+TY26+UA26+UC26+UE26+UG26+UI26+UK26+UM26+UO26+UQ26+US26+UU26</f>
        <v>0</v>
      </c>
      <c r="UX26" s="24">
        <f t="shared" ref="UX26:UX34" si="117">SP26+SR26+ST26+SV26+SX26+SZ26+TB26+TD26+TF26+TH26+TJ26+TL26+TN26+TP26+TR26+TT26+TV26+TX26+TZ26+UB26+UD26+UF26+UH26+UJ26+UL26+UN26+UP26+UR26+UT26+UV26</f>
        <v>0</v>
      </c>
      <c r="UY26" s="24"/>
      <c r="UZ26" s="24"/>
      <c r="VA26" s="24"/>
      <c r="VB26" s="24"/>
      <c r="VC26" s="24"/>
      <c r="VD26" s="24"/>
      <c r="VE26" s="24"/>
      <c r="VF26" s="24"/>
      <c r="VG26" s="24"/>
      <c r="VH26" s="24"/>
      <c r="VI26" s="24"/>
      <c r="VJ26" s="24"/>
      <c r="VK26" s="24"/>
      <c r="VL26" s="24"/>
      <c r="VM26" s="24"/>
      <c r="VN26" s="24"/>
      <c r="VO26" s="24"/>
      <c r="VP26" s="24"/>
      <c r="VQ26" s="24"/>
      <c r="VR26" s="24"/>
      <c r="VS26" s="24"/>
      <c r="VT26" s="24"/>
      <c r="VU26" s="24"/>
      <c r="VV26" s="24"/>
      <c r="VW26" s="24"/>
      <c r="VX26" s="24"/>
      <c r="VY26" s="24"/>
      <c r="VZ26" s="24"/>
      <c r="WA26" s="24"/>
      <c r="WB26" s="24"/>
      <c r="WC26" s="24"/>
      <c r="WD26" s="24"/>
      <c r="WE26" s="24"/>
      <c r="WF26" s="24"/>
      <c r="WG26" s="24"/>
      <c r="WH26" s="24"/>
      <c r="WI26" s="24"/>
      <c r="WJ26" s="24"/>
      <c r="WK26" s="24"/>
      <c r="WL26" s="24"/>
      <c r="WM26" s="24"/>
      <c r="WN26" s="24"/>
      <c r="WO26" s="24"/>
      <c r="WP26" s="24"/>
      <c r="WQ26" s="24"/>
      <c r="WR26" s="24"/>
      <c r="WS26" s="24"/>
      <c r="WT26" s="24"/>
      <c r="WU26" s="24"/>
      <c r="WV26" s="24"/>
      <c r="WW26" s="24"/>
      <c r="WX26" s="24"/>
      <c r="WY26" s="24"/>
      <c r="WZ26" s="24"/>
      <c r="XA26" s="24"/>
      <c r="XB26" s="24"/>
      <c r="XC26" s="24"/>
      <c r="XD26" s="24"/>
      <c r="XE26" s="24"/>
      <c r="XF26" s="24"/>
      <c r="XG26" s="24"/>
      <c r="XH26" s="24"/>
      <c r="XI26" s="24">
        <f t="shared" ref="XI26:XI34" si="118">UY26+VA26+VC26+VE26+VG26+VI26+VK26+VM26+VO26+VQ26+VS26+VU26+VW26+VY26+WA26+WC26+WE26+WG26+WI26+WK26+WM26+WO26+WQ26+WS26+WU26+WW26+WY26+XA26+XC26+XE26+XG26</f>
        <v>0</v>
      </c>
      <c r="XJ26" s="24">
        <f t="shared" ref="XJ26:XJ34" si="119">UZ26+VB26+VD26+VF26+VH26+VJ26+VL26+VN26+VP26+VR26+VT26+VV26+VX26+VZ26+WB26+WD26+WF26+WH26+WJ26+WL26+WN26+WP26+WR26+WT26+WV26+WX26+WZ26+XB26+XD26+XF26+XH26</f>
        <v>0</v>
      </c>
      <c r="XK26" s="24"/>
      <c r="XL26" s="24"/>
      <c r="XM26" s="24"/>
      <c r="XN26" s="24"/>
      <c r="XO26" s="24"/>
      <c r="XP26" s="24"/>
      <c r="XQ26" s="24"/>
      <c r="XR26" s="24"/>
      <c r="XS26" s="24"/>
      <c r="XT26" s="24"/>
      <c r="XU26" s="24"/>
      <c r="XV26" s="24"/>
      <c r="XW26" s="24"/>
      <c r="XX26" s="24"/>
      <c r="XY26" s="24"/>
      <c r="XZ26" s="24"/>
      <c r="YA26" s="24"/>
      <c r="YB26" s="24"/>
      <c r="YC26" s="24"/>
      <c r="YD26" s="24"/>
      <c r="YE26" s="24"/>
      <c r="YF26" s="24"/>
      <c r="YG26" s="24"/>
      <c r="YH26" s="24"/>
      <c r="YI26" s="24"/>
      <c r="YJ26" s="24"/>
      <c r="YK26" s="24"/>
      <c r="YL26" s="24"/>
      <c r="YM26" s="24"/>
      <c r="YN26" s="24"/>
      <c r="YO26" s="24"/>
      <c r="YP26" s="24"/>
      <c r="YQ26" s="24"/>
      <c r="YR26" s="24"/>
      <c r="YS26" s="24"/>
      <c r="YT26" s="24"/>
      <c r="YU26" s="24"/>
      <c r="YV26" s="24"/>
      <c r="YW26" s="24"/>
      <c r="YX26" s="24"/>
      <c r="YY26" s="24"/>
      <c r="YZ26" s="24"/>
      <c r="ZA26" s="24"/>
      <c r="ZB26" s="24"/>
      <c r="ZC26" s="24"/>
      <c r="ZD26" s="24"/>
      <c r="ZE26" s="24"/>
      <c r="ZF26" s="24"/>
      <c r="ZG26" s="24"/>
      <c r="ZH26" s="24"/>
      <c r="ZI26" s="24"/>
      <c r="ZJ26" s="24"/>
      <c r="ZK26" s="24"/>
      <c r="ZL26" s="24"/>
      <c r="ZM26" s="24"/>
      <c r="ZN26" s="24"/>
      <c r="ZO26" s="24"/>
      <c r="ZP26" s="24"/>
      <c r="ZQ26" s="24"/>
      <c r="ZR26" s="24"/>
      <c r="ZS26" s="24">
        <f t="shared" ref="ZS26:ZS34" si="120">XK26+XM26+XO26+XQ26+XS26+XU26+XW26+XY26+YA26+YC26+YE26+YG26+YI26+YK26+YM26+YO26+YQ26+YS26+YU26+YW26+YY26+ZA26+ZC26+ZE26+ZG26+ZI26+ZK26+ZM26+ZO26+ZQ26</f>
        <v>0</v>
      </c>
      <c r="ZT26" s="24">
        <f t="shared" ref="ZT26:ZT34" si="121">XL26+XN26+XP26+XR26+XT26+XV26+XX26+XZ26+YB26+YD26+YF26+YH26+YJ26+YL26+YN26+YP26+YR26+YT26+YV26+YX26+YZ26+ZB26+ZD26+ZF26+ZH26+ZJ26+ZL26+ZN26+ZP26+ZR26</f>
        <v>0</v>
      </c>
      <c r="ZU26" s="24"/>
      <c r="ZV26" s="24"/>
      <c r="ZW26" s="24"/>
      <c r="ZX26" s="24"/>
      <c r="ZY26" s="24"/>
      <c r="ZZ26" s="24"/>
      <c r="AAA26" s="24"/>
      <c r="AAB26" s="24"/>
      <c r="AAC26" s="24"/>
      <c r="AAD26" s="24"/>
      <c r="AAE26" s="24"/>
      <c r="AAF26" s="24"/>
      <c r="AAG26" s="24"/>
      <c r="AAH26" s="24"/>
      <c r="AAI26" s="24"/>
      <c r="AAJ26" s="24"/>
      <c r="AAK26" s="24"/>
      <c r="AAL26" s="24"/>
      <c r="AAM26" s="24"/>
      <c r="AAN26" s="24"/>
      <c r="AAO26" s="24"/>
      <c r="AAP26" s="24"/>
      <c r="AAQ26" s="24"/>
      <c r="AAR26" s="24"/>
      <c r="AAS26" s="24"/>
      <c r="AAT26" s="24"/>
      <c r="AAU26" s="24"/>
      <c r="AAV26" s="24"/>
      <c r="AAW26" s="24"/>
      <c r="AAX26" s="24"/>
      <c r="AAY26" s="24"/>
      <c r="AAZ26" s="24"/>
      <c r="ABA26" s="24"/>
      <c r="ABB26" s="24"/>
      <c r="ABC26" s="24"/>
      <c r="ABD26" s="24"/>
      <c r="ABE26" s="24"/>
      <c r="ABF26" s="24"/>
      <c r="ABG26" s="24"/>
      <c r="ABH26" s="24"/>
      <c r="ABI26" s="24"/>
      <c r="ABJ26" s="24"/>
      <c r="ABK26" s="24"/>
      <c r="ABL26" s="24"/>
      <c r="ABM26" s="24"/>
      <c r="ABN26" s="24"/>
      <c r="ABO26" s="24"/>
      <c r="ABP26" s="24"/>
      <c r="ABQ26" s="24"/>
      <c r="ABR26" s="24"/>
      <c r="ABS26" s="24"/>
      <c r="ABT26" s="24"/>
      <c r="ABU26" s="24"/>
      <c r="ABV26" s="24"/>
      <c r="ABW26" s="24"/>
      <c r="ABX26" s="24"/>
      <c r="ABY26" s="24"/>
      <c r="ABZ26" s="24"/>
      <c r="ACA26" s="24"/>
      <c r="ACB26" s="24"/>
      <c r="ACC26" s="24"/>
      <c r="ACD26" s="24"/>
      <c r="ACE26" s="24">
        <f t="shared" ref="ACE26:ACE34" si="122">ZU26+ZW26+ZY26+AAA26+AAC26+AAE26+AAG26+AAI26+AAK26+AAM26+AAO26+AAQ26+AAS26+AAU26+AAW26+AAY26+ABA26+ABC26+ABE26+ABG26+ABI26+ABK26+ABM26+ABO26+ABQ26+ABS26+ABU26+ABW26+ABY26+ACA26+ACC26</f>
        <v>0</v>
      </c>
      <c r="ACF26" s="24"/>
      <c r="ACG26" s="24">
        <f t="shared" ref="ACG26:ACG34" si="123">BO26+DW26+GI26+IS26+LE26+NO26+QA26+SM26+UW26+XI26+ZS26+ACE26</f>
        <v>0</v>
      </c>
      <c r="ACH26" s="25"/>
      <c r="ACI26" s="71" t="s">
        <v>219</v>
      </c>
      <c r="ACJ26" s="71" t="s">
        <v>88</v>
      </c>
    </row>
    <row r="27" spans="1:764" x14ac:dyDescent="0.25">
      <c r="A27" s="174"/>
      <c r="B27" s="152"/>
      <c r="C27" s="155"/>
      <c r="D27" s="50" t="s">
        <v>4</v>
      </c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24" cm="1">
        <f t="array" ref="BO27">SUMPRODUCT(E27:BM27,--(E$2:BM$2=BO$2))</f>
        <v>0</v>
      </c>
      <c r="BP27" s="24" cm="1">
        <f t="array" ref="BP27">SUMPRODUCT(F27:BN27,--(F$2:BN$2=BP$2))</f>
        <v>0</v>
      </c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 cm="1">
        <f t="array" ref="DW27">SUMPRODUCT(BQ27:DU27,--(BQ$2:DU$2=DW$2))</f>
        <v>0</v>
      </c>
      <c r="DX27" s="24" cm="1">
        <f t="array" ref="DX27">SUMPRODUCT(BR27:DV27,--(BR$2:DV$2=DX$2))</f>
        <v>0</v>
      </c>
      <c r="DY27" s="24"/>
      <c r="DZ27" s="24"/>
      <c r="EA27" s="24"/>
      <c r="EB27" s="2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  <c r="ES27" s="24"/>
      <c r="ET27" s="24"/>
      <c r="EU27" s="24"/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24"/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24"/>
      <c r="GG27" s="24"/>
      <c r="GH27" s="24"/>
      <c r="GI27" s="24" cm="1">
        <f t="array" ref="GI27">SUMPRODUCT(DY27:GG27,--(DY$2:GG$2=GI$2))</f>
        <v>0</v>
      </c>
      <c r="GJ27" s="24" cm="1">
        <f t="array" ref="GJ27">SUMPRODUCT(DZ27:GH27,--(DZ$2:GH$2=GJ$2))</f>
        <v>0</v>
      </c>
      <c r="GK27" s="24"/>
      <c r="GL27" s="24"/>
      <c r="GM27" s="24"/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24"/>
      <c r="HD27" s="24"/>
      <c r="HE27" s="24"/>
      <c r="HF27" s="24"/>
      <c r="HG27" s="24"/>
      <c r="HH27" s="24"/>
      <c r="HI27" s="24"/>
      <c r="HJ27" s="24"/>
      <c r="HK27" s="24"/>
      <c r="HL27" s="24"/>
      <c r="HM27" s="24"/>
      <c r="HN27" s="24"/>
      <c r="HO27" s="24"/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>
        <f t="shared" si="106"/>
        <v>0</v>
      </c>
      <c r="IT27" s="24">
        <f t="shared" si="107"/>
        <v>0</v>
      </c>
      <c r="IU27" s="24"/>
      <c r="IV27" s="24"/>
      <c r="IW27" s="24"/>
      <c r="IX27" s="24"/>
      <c r="IY27" s="24"/>
      <c r="IZ27" s="24"/>
      <c r="JA27" s="24"/>
      <c r="JB27" s="24"/>
      <c r="JC27" s="24"/>
      <c r="JD27" s="24"/>
      <c r="JE27" s="24"/>
      <c r="JF27" s="24"/>
      <c r="JG27" s="24"/>
      <c r="JH27" s="24"/>
      <c r="JI27" s="24"/>
      <c r="JJ27" s="24"/>
      <c r="JK27" s="24"/>
      <c r="JL27" s="24"/>
      <c r="JM27" s="24"/>
      <c r="JN27" s="24"/>
      <c r="JO27" s="24"/>
      <c r="JP27" s="24"/>
      <c r="JQ27" s="24"/>
      <c r="JR27" s="24"/>
      <c r="JS27" s="24"/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24"/>
      <c r="KO27" s="24"/>
      <c r="KP27" s="24"/>
      <c r="KQ27" s="24"/>
      <c r="KR27" s="24"/>
      <c r="KS27" s="24"/>
      <c r="KT27" s="24"/>
      <c r="KU27" s="24"/>
      <c r="KV27" s="24"/>
      <c r="KW27" s="24"/>
      <c r="KX27" s="24"/>
      <c r="KY27" s="24"/>
      <c r="KZ27" s="24"/>
      <c r="LA27" s="24"/>
      <c r="LB27" s="24"/>
      <c r="LC27" s="24"/>
      <c r="LD27" s="24"/>
      <c r="LE27" s="24">
        <f t="shared" si="108"/>
        <v>0</v>
      </c>
      <c r="LF27" s="24">
        <f t="shared" si="109"/>
        <v>0</v>
      </c>
      <c r="LG27" s="24"/>
      <c r="LH27" s="24"/>
      <c r="LI27" s="24"/>
      <c r="LJ27" s="24"/>
      <c r="LK27" s="24"/>
      <c r="LL27" s="24"/>
      <c r="LM27" s="24"/>
      <c r="LN27" s="24"/>
      <c r="LO27" s="24"/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24"/>
      <c r="MS27" s="24"/>
      <c r="MT27" s="24"/>
      <c r="MU27" s="24"/>
      <c r="MV27" s="24"/>
      <c r="MW27" s="24"/>
      <c r="MX27" s="24"/>
      <c r="MY27" s="24"/>
      <c r="MZ27" s="24"/>
      <c r="NA27" s="24"/>
      <c r="NB27" s="24"/>
      <c r="NC27" s="24"/>
      <c r="ND27" s="24"/>
      <c r="NE27" s="24"/>
      <c r="NF27" s="24"/>
      <c r="NG27" s="24"/>
      <c r="NH27" s="24"/>
      <c r="NI27" s="24"/>
      <c r="NJ27" s="24"/>
      <c r="NK27" s="24"/>
      <c r="NL27" s="24"/>
      <c r="NM27" s="24"/>
      <c r="NN27" s="24"/>
      <c r="NO27" s="24">
        <f t="shared" si="110"/>
        <v>0</v>
      </c>
      <c r="NP27" s="24">
        <f t="shared" si="111"/>
        <v>0</v>
      </c>
      <c r="NQ27" s="24"/>
      <c r="NR27" s="24"/>
      <c r="NS27" s="24"/>
      <c r="NT27" s="24"/>
      <c r="NU27" s="24"/>
      <c r="NV27" s="24"/>
      <c r="NW27" s="24"/>
      <c r="NX27" s="24"/>
      <c r="NY27" s="24"/>
      <c r="NZ27" s="24"/>
      <c r="OA27" s="24"/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24"/>
      <c r="OW27" s="24"/>
      <c r="OX27" s="24"/>
      <c r="OY27" s="24"/>
      <c r="OZ27" s="24"/>
      <c r="PA27" s="24"/>
      <c r="PB27" s="24"/>
      <c r="PC27" s="24"/>
      <c r="PD27" s="24"/>
      <c r="PE27" s="24"/>
      <c r="PF27" s="24"/>
      <c r="PG27" s="24"/>
      <c r="PH27" s="24"/>
      <c r="PI27" s="24"/>
      <c r="PJ27" s="24"/>
      <c r="PK27" s="24"/>
      <c r="PL27" s="24"/>
      <c r="PM27" s="24"/>
      <c r="PN27" s="24"/>
      <c r="PO27" s="24"/>
      <c r="PP27" s="24"/>
      <c r="PQ27" s="24"/>
      <c r="PR27" s="24"/>
      <c r="PS27" s="24"/>
      <c r="PT27" s="24"/>
      <c r="PU27" s="24"/>
      <c r="PV27" s="24"/>
      <c r="PW27" s="24"/>
      <c r="PX27" s="24"/>
      <c r="PY27" s="24"/>
      <c r="PZ27" s="24"/>
      <c r="QA27" s="24">
        <f t="shared" si="112"/>
        <v>0</v>
      </c>
      <c r="QB27" s="24">
        <f t="shared" si="113"/>
        <v>0</v>
      </c>
      <c r="QC27" s="24"/>
      <c r="QD27" s="24"/>
      <c r="QE27" s="24"/>
      <c r="QF27" s="24"/>
      <c r="QG27" s="24"/>
      <c r="QH27" s="24"/>
      <c r="QI27" s="24"/>
      <c r="QJ27" s="24"/>
      <c r="QK27" s="24"/>
      <c r="QL27" s="24"/>
      <c r="QM27" s="24"/>
      <c r="QN27" s="24"/>
      <c r="QO27" s="24"/>
      <c r="QP27" s="24"/>
      <c r="QQ27" s="24"/>
      <c r="QR27" s="24"/>
      <c r="QS27" s="24"/>
      <c r="QT27" s="24"/>
      <c r="QU27" s="24"/>
      <c r="QV27" s="24"/>
      <c r="QW27" s="24"/>
      <c r="QX27" s="24"/>
      <c r="QY27" s="24"/>
      <c r="QZ27" s="24"/>
      <c r="RA27" s="24"/>
      <c r="RB27" s="24"/>
      <c r="RC27" s="24"/>
      <c r="RD27" s="24"/>
      <c r="RE27" s="24"/>
      <c r="RF27" s="24"/>
      <c r="RG27" s="24"/>
      <c r="RH27" s="24"/>
      <c r="RI27" s="24"/>
      <c r="RJ27" s="24"/>
      <c r="RK27" s="24"/>
      <c r="RL27" s="24"/>
      <c r="RM27" s="24"/>
      <c r="RN27" s="24"/>
      <c r="RO27" s="24"/>
      <c r="RP27" s="24"/>
      <c r="RQ27" s="24"/>
      <c r="RR27" s="24"/>
      <c r="RS27" s="24"/>
      <c r="RT27" s="24"/>
      <c r="RU27" s="24"/>
      <c r="RV27" s="24"/>
      <c r="RW27" s="24"/>
      <c r="RX27" s="24"/>
      <c r="RY27" s="24"/>
      <c r="RZ27" s="24"/>
      <c r="SA27" s="24"/>
      <c r="SB27" s="24"/>
      <c r="SC27" s="24"/>
      <c r="SD27" s="24"/>
      <c r="SE27" s="24"/>
      <c r="SF27" s="24"/>
      <c r="SG27" s="24"/>
      <c r="SH27" s="24"/>
      <c r="SI27" s="24"/>
      <c r="SJ27" s="24"/>
      <c r="SK27" s="24"/>
      <c r="SL27" s="24"/>
      <c r="SM27" s="24">
        <f t="shared" si="114"/>
        <v>0</v>
      </c>
      <c r="SN27" s="24">
        <f t="shared" si="115"/>
        <v>0</v>
      </c>
      <c r="SO27" s="24"/>
      <c r="SP27" s="24"/>
      <c r="SQ27" s="24"/>
      <c r="SR27" s="24"/>
      <c r="SS27" s="24"/>
      <c r="ST27" s="24"/>
      <c r="SU27" s="24"/>
      <c r="SV27" s="24"/>
      <c r="SW27" s="24"/>
      <c r="SX27" s="24"/>
      <c r="SY27" s="24"/>
      <c r="SZ27" s="24"/>
      <c r="TA27" s="24"/>
      <c r="TB27" s="24"/>
      <c r="TC27" s="24"/>
      <c r="TD27" s="24"/>
      <c r="TE27" s="24"/>
      <c r="TF27" s="24"/>
      <c r="TG27" s="24"/>
      <c r="TH27" s="24"/>
      <c r="TI27" s="24"/>
      <c r="TJ27" s="24"/>
      <c r="TK27" s="24"/>
      <c r="TL27" s="24"/>
      <c r="TM27" s="24"/>
      <c r="TN27" s="24"/>
      <c r="TO27" s="24"/>
      <c r="TP27" s="24"/>
      <c r="TQ27" s="24"/>
      <c r="TR27" s="24"/>
      <c r="TS27" s="24"/>
      <c r="TT27" s="24"/>
      <c r="TU27" s="24"/>
      <c r="TV27" s="24"/>
      <c r="TW27" s="24"/>
      <c r="TX27" s="24"/>
      <c r="TY27" s="24"/>
      <c r="TZ27" s="24"/>
      <c r="UA27" s="24"/>
      <c r="UB27" s="24"/>
      <c r="UC27" s="24"/>
      <c r="UD27" s="24"/>
      <c r="UE27" s="24"/>
      <c r="UF27" s="24"/>
      <c r="UG27" s="24"/>
      <c r="UH27" s="24"/>
      <c r="UI27" s="24"/>
      <c r="UJ27" s="24"/>
      <c r="UK27" s="24"/>
      <c r="UL27" s="24"/>
      <c r="UM27" s="24"/>
      <c r="UN27" s="24"/>
      <c r="UO27" s="24"/>
      <c r="UP27" s="24"/>
      <c r="UQ27" s="24"/>
      <c r="UR27" s="24"/>
      <c r="US27" s="24"/>
      <c r="UT27" s="24"/>
      <c r="UU27" s="24"/>
      <c r="UV27" s="24"/>
      <c r="UW27" s="24">
        <f t="shared" si="116"/>
        <v>0</v>
      </c>
      <c r="UX27" s="24">
        <f t="shared" si="117"/>
        <v>0</v>
      </c>
      <c r="UY27" s="24"/>
      <c r="UZ27" s="24"/>
      <c r="VA27" s="24"/>
      <c r="VB27" s="24"/>
      <c r="VC27" s="24"/>
      <c r="VD27" s="24"/>
      <c r="VE27" s="24"/>
      <c r="VF27" s="24"/>
      <c r="VG27" s="24"/>
      <c r="VH27" s="24"/>
      <c r="VI27" s="24"/>
      <c r="VJ27" s="24"/>
      <c r="VK27" s="24"/>
      <c r="VL27" s="24"/>
      <c r="VM27" s="24"/>
      <c r="VN27" s="24"/>
      <c r="VO27" s="24"/>
      <c r="VP27" s="24"/>
      <c r="VQ27" s="24"/>
      <c r="VR27" s="24"/>
      <c r="VS27" s="24"/>
      <c r="VT27" s="24"/>
      <c r="VU27" s="24"/>
      <c r="VV27" s="24"/>
      <c r="VW27" s="24"/>
      <c r="VX27" s="24"/>
      <c r="VY27" s="24"/>
      <c r="VZ27" s="24"/>
      <c r="WA27" s="24"/>
      <c r="WB27" s="24"/>
      <c r="WC27" s="24"/>
      <c r="WD27" s="24"/>
      <c r="WE27" s="24"/>
      <c r="WF27" s="24"/>
      <c r="WG27" s="24"/>
      <c r="WH27" s="24"/>
      <c r="WI27" s="24"/>
      <c r="WJ27" s="24"/>
      <c r="WK27" s="24"/>
      <c r="WL27" s="24"/>
      <c r="WM27" s="24"/>
      <c r="WN27" s="24"/>
      <c r="WO27" s="24"/>
      <c r="WP27" s="24"/>
      <c r="WQ27" s="24"/>
      <c r="WR27" s="24"/>
      <c r="WS27" s="24"/>
      <c r="WT27" s="24"/>
      <c r="WU27" s="24"/>
      <c r="WV27" s="24"/>
      <c r="WW27" s="24"/>
      <c r="WX27" s="24"/>
      <c r="WY27" s="24"/>
      <c r="WZ27" s="24"/>
      <c r="XA27" s="24"/>
      <c r="XB27" s="24"/>
      <c r="XC27" s="24"/>
      <c r="XD27" s="24"/>
      <c r="XE27" s="24"/>
      <c r="XF27" s="24"/>
      <c r="XG27" s="24"/>
      <c r="XH27" s="24"/>
      <c r="XI27" s="24">
        <f t="shared" si="118"/>
        <v>0</v>
      </c>
      <c r="XJ27" s="24">
        <f t="shared" si="119"/>
        <v>0</v>
      </c>
      <c r="XK27" s="24"/>
      <c r="XL27" s="24"/>
      <c r="XM27" s="24"/>
      <c r="XN27" s="24"/>
      <c r="XO27" s="24"/>
      <c r="XP27" s="24"/>
      <c r="XQ27" s="24"/>
      <c r="XR27" s="24"/>
      <c r="XS27" s="24"/>
      <c r="XT27" s="24"/>
      <c r="XU27" s="24"/>
      <c r="XV27" s="24"/>
      <c r="XW27" s="24"/>
      <c r="XX27" s="24"/>
      <c r="XY27" s="24"/>
      <c r="XZ27" s="24"/>
      <c r="YA27" s="24"/>
      <c r="YB27" s="24"/>
      <c r="YC27" s="24"/>
      <c r="YD27" s="24"/>
      <c r="YE27" s="24"/>
      <c r="YF27" s="24"/>
      <c r="YG27" s="24"/>
      <c r="YH27" s="24"/>
      <c r="YI27" s="24"/>
      <c r="YJ27" s="24"/>
      <c r="YK27" s="24"/>
      <c r="YL27" s="24"/>
      <c r="YM27" s="24"/>
      <c r="YN27" s="24"/>
      <c r="YO27" s="24"/>
      <c r="YP27" s="24"/>
      <c r="YQ27" s="24"/>
      <c r="YR27" s="24"/>
      <c r="YS27" s="24"/>
      <c r="YT27" s="24"/>
      <c r="YU27" s="24"/>
      <c r="YV27" s="24"/>
      <c r="YW27" s="24"/>
      <c r="YX27" s="24"/>
      <c r="YY27" s="24"/>
      <c r="YZ27" s="24"/>
      <c r="ZA27" s="24"/>
      <c r="ZB27" s="24"/>
      <c r="ZC27" s="24"/>
      <c r="ZD27" s="24"/>
      <c r="ZE27" s="24"/>
      <c r="ZF27" s="24"/>
      <c r="ZG27" s="24"/>
      <c r="ZH27" s="24"/>
      <c r="ZI27" s="24"/>
      <c r="ZJ27" s="24"/>
      <c r="ZK27" s="24"/>
      <c r="ZL27" s="24"/>
      <c r="ZM27" s="24"/>
      <c r="ZN27" s="24"/>
      <c r="ZO27" s="24"/>
      <c r="ZP27" s="24"/>
      <c r="ZQ27" s="24"/>
      <c r="ZR27" s="24"/>
      <c r="ZS27" s="24">
        <f t="shared" si="120"/>
        <v>0</v>
      </c>
      <c r="ZT27" s="24">
        <f t="shared" si="121"/>
        <v>0</v>
      </c>
      <c r="ZU27" s="24"/>
      <c r="ZV27" s="24"/>
      <c r="ZW27" s="24"/>
      <c r="ZX27" s="24"/>
      <c r="ZY27" s="24"/>
      <c r="ZZ27" s="24"/>
      <c r="AAA27" s="24"/>
      <c r="AAB27" s="24"/>
      <c r="AAC27" s="24"/>
      <c r="AAD27" s="24"/>
      <c r="AAE27" s="24"/>
      <c r="AAF27" s="24"/>
      <c r="AAG27" s="24"/>
      <c r="AAH27" s="24"/>
      <c r="AAI27" s="24"/>
      <c r="AAJ27" s="24"/>
      <c r="AAK27" s="24"/>
      <c r="AAL27" s="24"/>
      <c r="AAM27" s="24"/>
      <c r="AAN27" s="24"/>
      <c r="AAO27" s="24"/>
      <c r="AAP27" s="24"/>
      <c r="AAQ27" s="24"/>
      <c r="AAR27" s="24"/>
      <c r="AAS27" s="24"/>
      <c r="AAT27" s="24"/>
      <c r="AAU27" s="24"/>
      <c r="AAV27" s="24"/>
      <c r="AAW27" s="24"/>
      <c r="AAX27" s="24"/>
      <c r="AAY27" s="24"/>
      <c r="AAZ27" s="24"/>
      <c r="ABA27" s="24"/>
      <c r="ABB27" s="24"/>
      <c r="ABC27" s="24"/>
      <c r="ABD27" s="24"/>
      <c r="ABE27" s="24"/>
      <c r="ABF27" s="24"/>
      <c r="ABG27" s="24"/>
      <c r="ABH27" s="24"/>
      <c r="ABI27" s="24"/>
      <c r="ABJ27" s="24"/>
      <c r="ABK27" s="24"/>
      <c r="ABL27" s="24"/>
      <c r="ABM27" s="24"/>
      <c r="ABN27" s="24"/>
      <c r="ABO27" s="24"/>
      <c r="ABP27" s="24"/>
      <c r="ABQ27" s="24"/>
      <c r="ABR27" s="24"/>
      <c r="ABS27" s="24"/>
      <c r="ABT27" s="24"/>
      <c r="ABU27" s="24"/>
      <c r="ABV27" s="24"/>
      <c r="ABW27" s="24"/>
      <c r="ABX27" s="24"/>
      <c r="ABY27" s="24"/>
      <c r="ABZ27" s="24"/>
      <c r="ACA27" s="24"/>
      <c r="ACB27" s="24"/>
      <c r="ACC27" s="24"/>
      <c r="ACD27" s="24"/>
      <c r="ACE27" s="24">
        <f t="shared" si="122"/>
        <v>0</v>
      </c>
      <c r="ACF27" s="24"/>
      <c r="ACG27" s="24">
        <f t="shared" si="123"/>
        <v>0</v>
      </c>
      <c r="ACH27" s="25"/>
      <c r="ACI27" s="71" t="s">
        <v>220</v>
      </c>
      <c r="ACJ27" s="71" t="s">
        <v>88</v>
      </c>
    </row>
    <row r="28" spans="1:764" x14ac:dyDescent="0.25">
      <c r="A28" s="174"/>
      <c r="B28" s="152"/>
      <c r="C28" s="155"/>
      <c r="D28" s="50" t="s">
        <v>8</v>
      </c>
      <c r="E28" s="74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24" cm="1">
        <f t="array" ref="BO28">SUMPRODUCT(E28:BM28,--(E$2:BM$2=BO$2))</f>
        <v>0</v>
      </c>
      <c r="BP28" s="24" cm="1">
        <f t="array" ref="BP28">SUMPRODUCT(F28:BN28,--(F$2:BN$2=BP$2))</f>
        <v>0</v>
      </c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 cm="1">
        <f t="array" ref="DW28">SUMPRODUCT(BQ28:DU28,--(BQ$2:DU$2=DW$2))</f>
        <v>0</v>
      </c>
      <c r="DX28" s="24" cm="1">
        <f t="array" ref="DX28">SUMPRODUCT(BR28:DV28,--(BR$2:DV$2=DX$2))</f>
        <v>0</v>
      </c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/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24"/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24"/>
      <c r="GG28" s="24"/>
      <c r="GH28" s="24"/>
      <c r="GI28" s="24" cm="1">
        <f t="array" ref="GI28">SUMPRODUCT(DY28:GG28,--(DY$2:GG$2=GI$2))</f>
        <v>0</v>
      </c>
      <c r="GJ28" s="24" cm="1">
        <f t="array" ref="GJ28">SUMPRODUCT(DZ28:GH28,--(DZ$2:GH$2=GJ$2))</f>
        <v>0</v>
      </c>
      <c r="GK28" s="24"/>
      <c r="GL28" s="24"/>
      <c r="GM28" s="24"/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24"/>
      <c r="HD28" s="24"/>
      <c r="HE28" s="24"/>
      <c r="HF28" s="24"/>
      <c r="HG28" s="24"/>
      <c r="HH28" s="24"/>
      <c r="HI28" s="24"/>
      <c r="HJ28" s="24"/>
      <c r="HK28" s="24"/>
      <c r="HL28" s="24"/>
      <c r="HM28" s="24"/>
      <c r="HN28" s="24"/>
      <c r="HO28" s="24"/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>
        <f t="shared" si="106"/>
        <v>0</v>
      </c>
      <c r="IT28" s="24">
        <f t="shared" si="107"/>
        <v>0</v>
      </c>
      <c r="IU28" s="24"/>
      <c r="IV28" s="24"/>
      <c r="IW28" s="24"/>
      <c r="IX28" s="24"/>
      <c r="IY28" s="24"/>
      <c r="IZ28" s="24"/>
      <c r="JA28" s="24"/>
      <c r="JB28" s="24"/>
      <c r="JC28" s="24"/>
      <c r="JD28" s="24"/>
      <c r="JE28" s="24"/>
      <c r="JF28" s="24"/>
      <c r="JG28" s="24"/>
      <c r="JH28" s="24"/>
      <c r="JI28" s="24"/>
      <c r="JJ28" s="24"/>
      <c r="JK28" s="24"/>
      <c r="JL28" s="24"/>
      <c r="JM28" s="24"/>
      <c r="JN28" s="24"/>
      <c r="JO28" s="24"/>
      <c r="JP28" s="24"/>
      <c r="JQ28" s="24"/>
      <c r="JR28" s="24"/>
      <c r="JS28" s="24"/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24"/>
      <c r="KO28" s="24"/>
      <c r="KP28" s="24"/>
      <c r="KQ28" s="24"/>
      <c r="KR28" s="24"/>
      <c r="KS28" s="24"/>
      <c r="KT28" s="24"/>
      <c r="KU28" s="24"/>
      <c r="KV28" s="24"/>
      <c r="KW28" s="24"/>
      <c r="KX28" s="24"/>
      <c r="KY28" s="24"/>
      <c r="KZ28" s="24"/>
      <c r="LA28" s="24"/>
      <c r="LB28" s="24"/>
      <c r="LC28" s="24"/>
      <c r="LD28" s="24"/>
      <c r="LE28" s="24">
        <f t="shared" si="108"/>
        <v>0</v>
      </c>
      <c r="LF28" s="24">
        <f t="shared" si="109"/>
        <v>0</v>
      </c>
      <c r="LG28" s="24"/>
      <c r="LH28" s="24"/>
      <c r="LI28" s="24"/>
      <c r="LJ28" s="24"/>
      <c r="LK28" s="24"/>
      <c r="LL28" s="24"/>
      <c r="LM28" s="24"/>
      <c r="LN28" s="24"/>
      <c r="LO28" s="24"/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24"/>
      <c r="MS28" s="24"/>
      <c r="MT28" s="24"/>
      <c r="MU28" s="24"/>
      <c r="MV28" s="24"/>
      <c r="MW28" s="24"/>
      <c r="MX28" s="24"/>
      <c r="MY28" s="24"/>
      <c r="MZ28" s="24"/>
      <c r="NA28" s="24"/>
      <c r="NB28" s="24"/>
      <c r="NC28" s="24"/>
      <c r="ND28" s="24"/>
      <c r="NE28" s="24"/>
      <c r="NF28" s="24"/>
      <c r="NG28" s="24"/>
      <c r="NH28" s="24"/>
      <c r="NI28" s="24"/>
      <c r="NJ28" s="24"/>
      <c r="NK28" s="24"/>
      <c r="NL28" s="24"/>
      <c r="NM28" s="24"/>
      <c r="NN28" s="24"/>
      <c r="NO28" s="24">
        <f t="shared" si="110"/>
        <v>0</v>
      </c>
      <c r="NP28" s="24">
        <f t="shared" si="111"/>
        <v>0</v>
      </c>
      <c r="NQ28" s="24"/>
      <c r="NR28" s="24"/>
      <c r="NS28" s="24"/>
      <c r="NT28" s="24"/>
      <c r="NU28" s="24"/>
      <c r="NV28" s="24"/>
      <c r="NW28" s="24"/>
      <c r="NX28" s="24"/>
      <c r="NY28" s="24"/>
      <c r="NZ28" s="24"/>
      <c r="OA28" s="24"/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24"/>
      <c r="OW28" s="24"/>
      <c r="OX28" s="24"/>
      <c r="OY28" s="24"/>
      <c r="OZ28" s="24"/>
      <c r="PA28" s="24"/>
      <c r="PB28" s="24"/>
      <c r="PC28" s="24"/>
      <c r="PD28" s="24"/>
      <c r="PE28" s="24"/>
      <c r="PF28" s="24"/>
      <c r="PG28" s="24"/>
      <c r="PH28" s="24"/>
      <c r="PI28" s="24"/>
      <c r="PJ28" s="24"/>
      <c r="PK28" s="24"/>
      <c r="PL28" s="24"/>
      <c r="PM28" s="24"/>
      <c r="PN28" s="24"/>
      <c r="PO28" s="24"/>
      <c r="PP28" s="24"/>
      <c r="PQ28" s="24"/>
      <c r="PR28" s="24"/>
      <c r="PS28" s="24"/>
      <c r="PT28" s="24"/>
      <c r="PU28" s="24"/>
      <c r="PV28" s="24"/>
      <c r="PW28" s="24"/>
      <c r="PX28" s="24"/>
      <c r="PY28" s="24"/>
      <c r="PZ28" s="24"/>
      <c r="QA28" s="24">
        <f t="shared" si="112"/>
        <v>0</v>
      </c>
      <c r="QB28" s="24">
        <f t="shared" si="113"/>
        <v>0</v>
      </c>
      <c r="QC28" s="24"/>
      <c r="QD28" s="24"/>
      <c r="QE28" s="24"/>
      <c r="QF28" s="24"/>
      <c r="QG28" s="24"/>
      <c r="QH28" s="24"/>
      <c r="QI28" s="24"/>
      <c r="QJ28" s="24"/>
      <c r="QK28" s="24"/>
      <c r="QL28" s="24"/>
      <c r="QM28" s="24"/>
      <c r="QN28" s="24"/>
      <c r="QO28" s="24"/>
      <c r="QP28" s="24"/>
      <c r="QQ28" s="24"/>
      <c r="QR28" s="24"/>
      <c r="QS28" s="24"/>
      <c r="QT28" s="24"/>
      <c r="QU28" s="24"/>
      <c r="QV28" s="24"/>
      <c r="QW28" s="24"/>
      <c r="QX28" s="24"/>
      <c r="QY28" s="24"/>
      <c r="QZ28" s="24"/>
      <c r="RA28" s="24"/>
      <c r="RB28" s="24"/>
      <c r="RC28" s="24"/>
      <c r="RD28" s="24"/>
      <c r="RE28" s="24"/>
      <c r="RF28" s="24"/>
      <c r="RG28" s="24"/>
      <c r="RH28" s="24"/>
      <c r="RI28" s="24"/>
      <c r="RJ28" s="24"/>
      <c r="RK28" s="24"/>
      <c r="RL28" s="24"/>
      <c r="RM28" s="24"/>
      <c r="RN28" s="24"/>
      <c r="RO28" s="24"/>
      <c r="RP28" s="24"/>
      <c r="RQ28" s="24"/>
      <c r="RR28" s="24"/>
      <c r="RS28" s="24"/>
      <c r="RT28" s="24"/>
      <c r="RU28" s="24"/>
      <c r="RV28" s="24"/>
      <c r="RW28" s="24"/>
      <c r="RX28" s="24"/>
      <c r="RY28" s="24"/>
      <c r="RZ28" s="24"/>
      <c r="SA28" s="24"/>
      <c r="SB28" s="24"/>
      <c r="SC28" s="24"/>
      <c r="SD28" s="24"/>
      <c r="SE28" s="24"/>
      <c r="SF28" s="24"/>
      <c r="SG28" s="24"/>
      <c r="SH28" s="24"/>
      <c r="SI28" s="24"/>
      <c r="SJ28" s="24"/>
      <c r="SK28" s="24"/>
      <c r="SL28" s="24"/>
      <c r="SM28" s="24">
        <f t="shared" si="114"/>
        <v>0</v>
      </c>
      <c r="SN28" s="24">
        <f t="shared" si="115"/>
        <v>0</v>
      </c>
      <c r="SO28" s="24"/>
      <c r="SP28" s="24"/>
      <c r="SQ28" s="24"/>
      <c r="SR28" s="24"/>
      <c r="SS28" s="24"/>
      <c r="ST28" s="24"/>
      <c r="SU28" s="24"/>
      <c r="SV28" s="24"/>
      <c r="SW28" s="24"/>
      <c r="SX28" s="24"/>
      <c r="SY28" s="24"/>
      <c r="SZ28" s="24"/>
      <c r="TA28" s="24"/>
      <c r="TB28" s="24"/>
      <c r="TC28" s="24"/>
      <c r="TD28" s="24"/>
      <c r="TE28" s="24"/>
      <c r="TF28" s="24"/>
      <c r="TG28" s="24"/>
      <c r="TH28" s="24"/>
      <c r="TI28" s="24"/>
      <c r="TJ28" s="24"/>
      <c r="TK28" s="24"/>
      <c r="TL28" s="24"/>
      <c r="TM28" s="24"/>
      <c r="TN28" s="24"/>
      <c r="TO28" s="24"/>
      <c r="TP28" s="24"/>
      <c r="TQ28" s="24"/>
      <c r="TR28" s="24"/>
      <c r="TS28" s="24"/>
      <c r="TT28" s="24"/>
      <c r="TU28" s="24"/>
      <c r="TV28" s="24"/>
      <c r="TW28" s="24"/>
      <c r="TX28" s="24"/>
      <c r="TY28" s="24"/>
      <c r="TZ28" s="24"/>
      <c r="UA28" s="24"/>
      <c r="UB28" s="24"/>
      <c r="UC28" s="24"/>
      <c r="UD28" s="24"/>
      <c r="UE28" s="24"/>
      <c r="UF28" s="24"/>
      <c r="UG28" s="24"/>
      <c r="UH28" s="24"/>
      <c r="UI28" s="24"/>
      <c r="UJ28" s="24"/>
      <c r="UK28" s="24"/>
      <c r="UL28" s="24"/>
      <c r="UM28" s="24"/>
      <c r="UN28" s="24"/>
      <c r="UO28" s="24"/>
      <c r="UP28" s="24"/>
      <c r="UQ28" s="24"/>
      <c r="UR28" s="24"/>
      <c r="US28" s="24"/>
      <c r="UT28" s="24"/>
      <c r="UU28" s="24"/>
      <c r="UV28" s="24"/>
      <c r="UW28" s="24">
        <f t="shared" si="116"/>
        <v>0</v>
      </c>
      <c r="UX28" s="24">
        <f t="shared" si="117"/>
        <v>0</v>
      </c>
      <c r="UY28" s="24"/>
      <c r="UZ28" s="24"/>
      <c r="VA28" s="24"/>
      <c r="VB28" s="24"/>
      <c r="VC28" s="24"/>
      <c r="VD28" s="24"/>
      <c r="VE28" s="24"/>
      <c r="VF28" s="24"/>
      <c r="VG28" s="24"/>
      <c r="VH28" s="24"/>
      <c r="VI28" s="24"/>
      <c r="VJ28" s="24"/>
      <c r="VK28" s="24"/>
      <c r="VL28" s="24"/>
      <c r="VM28" s="24"/>
      <c r="VN28" s="24"/>
      <c r="VO28" s="24"/>
      <c r="VP28" s="24"/>
      <c r="VQ28" s="24"/>
      <c r="VR28" s="24"/>
      <c r="VS28" s="24"/>
      <c r="VT28" s="24"/>
      <c r="VU28" s="24"/>
      <c r="VV28" s="24"/>
      <c r="VW28" s="24"/>
      <c r="VX28" s="24"/>
      <c r="VY28" s="24"/>
      <c r="VZ28" s="24"/>
      <c r="WA28" s="24"/>
      <c r="WB28" s="24"/>
      <c r="WC28" s="24"/>
      <c r="WD28" s="24"/>
      <c r="WE28" s="24"/>
      <c r="WF28" s="24"/>
      <c r="WG28" s="24"/>
      <c r="WH28" s="24"/>
      <c r="WI28" s="24"/>
      <c r="WJ28" s="24"/>
      <c r="WK28" s="24"/>
      <c r="WL28" s="24"/>
      <c r="WM28" s="24"/>
      <c r="WN28" s="24"/>
      <c r="WO28" s="24"/>
      <c r="WP28" s="24"/>
      <c r="WQ28" s="24"/>
      <c r="WR28" s="24"/>
      <c r="WS28" s="24"/>
      <c r="WT28" s="24"/>
      <c r="WU28" s="24"/>
      <c r="WV28" s="24"/>
      <c r="WW28" s="24"/>
      <c r="WX28" s="24"/>
      <c r="WY28" s="24"/>
      <c r="WZ28" s="24"/>
      <c r="XA28" s="24"/>
      <c r="XB28" s="24"/>
      <c r="XC28" s="24"/>
      <c r="XD28" s="24"/>
      <c r="XE28" s="24"/>
      <c r="XF28" s="24"/>
      <c r="XG28" s="24"/>
      <c r="XH28" s="24"/>
      <c r="XI28" s="24">
        <f t="shared" si="118"/>
        <v>0</v>
      </c>
      <c r="XJ28" s="24">
        <f t="shared" si="119"/>
        <v>0</v>
      </c>
      <c r="XK28" s="24"/>
      <c r="XL28" s="24"/>
      <c r="XM28" s="24"/>
      <c r="XN28" s="24"/>
      <c r="XO28" s="24"/>
      <c r="XP28" s="24"/>
      <c r="XQ28" s="24"/>
      <c r="XR28" s="24"/>
      <c r="XS28" s="24"/>
      <c r="XT28" s="24"/>
      <c r="XU28" s="24"/>
      <c r="XV28" s="24"/>
      <c r="XW28" s="24"/>
      <c r="XX28" s="24"/>
      <c r="XY28" s="24"/>
      <c r="XZ28" s="24"/>
      <c r="YA28" s="24"/>
      <c r="YB28" s="24"/>
      <c r="YC28" s="24"/>
      <c r="YD28" s="24"/>
      <c r="YE28" s="24"/>
      <c r="YF28" s="24"/>
      <c r="YG28" s="24"/>
      <c r="YH28" s="24"/>
      <c r="YI28" s="24"/>
      <c r="YJ28" s="24"/>
      <c r="YK28" s="24"/>
      <c r="YL28" s="24"/>
      <c r="YM28" s="24"/>
      <c r="YN28" s="24"/>
      <c r="YO28" s="24"/>
      <c r="YP28" s="24"/>
      <c r="YQ28" s="24"/>
      <c r="YR28" s="24"/>
      <c r="YS28" s="24"/>
      <c r="YT28" s="24"/>
      <c r="YU28" s="24"/>
      <c r="YV28" s="24"/>
      <c r="YW28" s="24"/>
      <c r="YX28" s="24"/>
      <c r="YY28" s="24"/>
      <c r="YZ28" s="24"/>
      <c r="ZA28" s="24"/>
      <c r="ZB28" s="24"/>
      <c r="ZC28" s="24"/>
      <c r="ZD28" s="24"/>
      <c r="ZE28" s="24"/>
      <c r="ZF28" s="24"/>
      <c r="ZG28" s="24"/>
      <c r="ZH28" s="24"/>
      <c r="ZI28" s="24"/>
      <c r="ZJ28" s="24"/>
      <c r="ZK28" s="24"/>
      <c r="ZL28" s="24"/>
      <c r="ZM28" s="24"/>
      <c r="ZN28" s="24"/>
      <c r="ZO28" s="24"/>
      <c r="ZP28" s="24"/>
      <c r="ZQ28" s="24"/>
      <c r="ZR28" s="24"/>
      <c r="ZS28" s="24">
        <f t="shared" si="120"/>
        <v>0</v>
      </c>
      <c r="ZT28" s="24">
        <f t="shared" si="121"/>
        <v>0</v>
      </c>
      <c r="ZU28" s="24"/>
      <c r="ZV28" s="24"/>
      <c r="ZW28" s="24"/>
      <c r="ZX28" s="24"/>
      <c r="ZY28" s="24"/>
      <c r="ZZ28" s="24"/>
      <c r="AAA28" s="24"/>
      <c r="AAB28" s="24"/>
      <c r="AAC28" s="24"/>
      <c r="AAD28" s="24"/>
      <c r="AAE28" s="24"/>
      <c r="AAF28" s="24"/>
      <c r="AAG28" s="24"/>
      <c r="AAH28" s="24"/>
      <c r="AAI28" s="24"/>
      <c r="AAJ28" s="24"/>
      <c r="AAK28" s="24"/>
      <c r="AAL28" s="24"/>
      <c r="AAM28" s="24"/>
      <c r="AAN28" s="24"/>
      <c r="AAO28" s="24"/>
      <c r="AAP28" s="24"/>
      <c r="AAQ28" s="24"/>
      <c r="AAR28" s="24"/>
      <c r="AAS28" s="24"/>
      <c r="AAT28" s="24"/>
      <c r="AAU28" s="24"/>
      <c r="AAV28" s="24"/>
      <c r="AAW28" s="24"/>
      <c r="AAX28" s="24"/>
      <c r="AAY28" s="24"/>
      <c r="AAZ28" s="24"/>
      <c r="ABA28" s="24"/>
      <c r="ABB28" s="24"/>
      <c r="ABC28" s="24"/>
      <c r="ABD28" s="24"/>
      <c r="ABE28" s="24"/>
      <c r="ABF28" s="24"/>
      <c r="ABG28" s="24"/>
      <c r="ABH28" s="24"/>
      <c r="ABI28" s="24"/>
      <c r="ABJ28" s="24"/>
      <c r="ABK28" s="24"/>
      <c r="ABL28" s="24"/>
      <c r="ABM28" s="24"/>
      <c r="ABN28" s="24"/>
      <c r="ABO28" s="24"/>
      <c r="ABP28" s="24"/>
      <c r="ABQ28" s="24"/>
      <c r="ABR28" s="24"/>
      <c r="ABS28" s="24"/>
      <c r="ABT28" s="24"/>
      <c r="ABU28" s="24"/>
      <c r="ABV28" s="24"/>
      <c r="ABW28" s="24"/>
      <c r="ABX28" s="24"/>
      <c r="ABY28" s="24"/>
      <c r="ABZ28" s="24"/>
      <c r="ACA28" s="24"/>
      <c r="ACB28" s="24"/>
      <c r="ACC28" s="24"/>
      <c r="ACD28" s="24"/>
      <c r="ACE28" s="24">
        <f t="shared" si="122"/>
        <v>0</v>
      </c>
      <c r="ACF28" s="24"/>
      <c r="ACG28" s="24">
        <f t="shared" si="123"/>
        <v>0</v>
      </c>
      <c r="ACH28" s="25"/>
      <c r="ACI28" s="71" t="s">
        <v>221</v>
      </c>
      <c r="ACJ28" s="71" t="s">
        <v>88</v>
      </c>
    </row>
    <row r="29" spans="1:764" x14ac:dyDescent="0.25">
      <c r="A29" s="174"/>
      <c r="B29" s="152"/>
      <c r="C29" s="156"/>
      <c r="D29" s="51" t="s">
        <v>9</v>
      </c>
      <c r="E29" s="74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24" cm="1">
        <f t="array" ref="BO29">SUMPRODUCT(E29:BM29,--(E$2:BM$2=BO$2))</f>
        <v>0</v>
      </c>
      <c r="BP29" s="24" cm="1">
        <f t="array" ref="BP29">SUMPRODUCT(F29:BN29,--(F$2:BN$2=BP$2))</f>
        <v>0</v>
      </c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 cm="1">
        <f t="array" ref="DW29">SUMPRODUCT(BQ29:DU29,--(BQ$2:DU$2=DW$2))</f>
        <v>0</v>
      </c>
      <c r="DX29" s="24" cm="1">
        <f t="array" ref="DX29">SUMPRODUCT(BR29:DV29,--(BR$2:DV$2=DX$2))</f>
        <v>0</v>
      </c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 cm="1">
        <f t="array" ref="GI29">SUMPRODUCT(DY29:GG29,--(DY$2:GG$2=GI$2))</f>
        <v>0</v>
      </c>
      <c r="GJ29" s="24" cm="1">
        <f t="array" ref="GJ29">SUMPRODUCT(DZ29:GH29,--(DZ$2:GH$2=GJ$2))</f>
        <v>0</v>
      </c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24"/>
      <c r="HD29" s="24"/>
      <c r="HE29" s="24"/>
      <c r="HF29" s="24"/>
      <c r="HG29" s="24"/>
      <c r="HH29" s="24"/>
      <c r="HI29" s="24"/>
      <c r="HJ29" s="24"/>
      <c r="HK29" s="24"/>
      <c r="HL29" s="24"/>
      <c r="HM29" s="24"/>
      <c r="HN29" s="24"/>
      <c r="HO29" s="24"/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>
        <f t="shared" si="106"/>
        <v>0</v>
      </c>
      <c r="IT29" s="24">
        <f t="shared" si="107"/>
        <v>0</v>
      </c>
      <c r="IU29" s="24"/>
      <c r="IV29" s="24"/>
      <c r="IW29" s="24"/>
      <c r="IX29" s="24"/>
      <c r="IY29" s="24"/>
      <c r="IZ29" s="24"/>
      <c r="JA29" s="24"/>
      <c r="JB29" s="24"/>
      <c r="JC29" s="24"/>
      <c r="JD29" s="24"/>
      <c r="JE29" s="24"/>
      <c r="JF29" s="24"/>
      <c r="JG29" s="24"/>
      <c r="JH29" s="24"/>
      <c r="JI29" s="24"/>
      <c r="JJ29" s="24"/>
      <c r="JK29" s="24"/>
      <c r="JL29" s="24"/>
      <c r="JM29" s="24"/>
      <c r="JN29" s="24"/>
      <c r="JO29" s="24"/>
      <c r="JP29" s="24"/>
      <c r="JQ29" s="24"/>
      <c r="JR29" s="24"/>
      <c r="JS29" s="24"/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24"/>
      <c r="KO29" s="24"/>
      <c r="KP29" s="24"/>
      <c r="KQ29" s="24"/>
      <c r="KR29" s="24"/>
      <c r="KS29" s="24"/>
      <c r="KT29" s="24"/>
      <c r="KU29" s="24"/>
      <c r="KV29" s="24"/>
      <c r="KW29" s="24"/>
      <c r="KX29" s="24"/>
      <c r="KY29" s="24"/>
      <c r="KZ29" s="24"/>
      <c r="LA29" s="24"/>
      <c r="LB29" s="24"/>
      <c r="LC29" s="24"/>
      <c r="LD29" s="24"/>
      <c r="LE29" s="24">
        <f t="shared" si="108"/>
        <v>0</v>
      </c>
      <c r="LF29" s="24">
        <f t="shared" si="109"/>
        <v>0</v>
      </c>
      <c r="LG29" s="24"/>
      <c r="LH29" s="24"/>
      <c r="LI29" s="24"/>
      <c r="LJ29" s="24"/>
      <c r="LK29" s="24"/>
      <c r="LL29" s="24"/>
      <c r="LM29" s="24"/>
      <c r="LN29" s="24"/>
      <c r="LO29" s="24"/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24"/>
      <c r="MS29" s="24"/>
      <c r="MT29" s="24"/>
      <c r="MU29" s="24"/>
      <c r="MV29" s="24"/>
      <c r="MW29" s="24"/>
      <c r="MX29" s="24"/>
      <c r="MY29" s="24"/>
      <c r="MZ29" s="24"/>
      <c r="NA29" s="24"/>
      <c r="NB29" s="24"/>
      <c r="NC29" s="24"/>
      <c r="ND29" s="24"/>
      <c r="NE29" s="24"/>
      <c r="NF29" s="24"/>
      <c r="NG29" s="24"/>
      <c r="NH29" s="24"/>
      <c r="NI29" s="24"/>
      <c r="NJ29" s="24"/>
      <c r="NK29" s="24"/>
      <c r="NL29" s="24"/>
      <c r="NM29" s="24"/>
      <c r="NN29" s="24"/>
      <c r="NO29" s="24">
        <f t="shared" si="110"/>
        <v>0</v>
      </c>
      <c r="NP29" s="24">
        <f t="shared" si="111"/>
        <v>0</v>
      </c>
      <c r="NQ29" s="24"/>
      <c r="NR29" s="24"/>
      <c r="NS29" s="24"/>
      <c r="NT29" s="24"/>
      <c r="NU29" s="24"/>
      <c r="NV29" s="24"/>
      <c r="NW29" s="24"/>
      <c r="NX29" s="24"/>
      <c r="NY29" s="24"/>
      <c r="NZ29" s="24"/>
      <c r="OA29" s="24"/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24"/>
      <c r="OW29" s="24"/>
      <c r="OX29" s="24"/>
      <c r="OY29" s="24"/>
      <c r="OZ29" s="24"/>
      <c r="PA29" s="24"/>
      <c r="PB29" s="24"/>
      <c r="PC29" s="24"/>
      <c r="PD29" s="24"/>
      <c r="PE29" s="24"/>
      <c r="PF29" s="24"/>
      <c r="PG29" s="24"/>
      <c r="PH29" s="24"/>
      <c r="PI29" s="24"/>
      <c r="PJ29" s="24"/>
      <c r="PK29" s="24"/>
      <c r="PL29" s="24"/>
      <c r="PM29" s="24"/>
      <c r="PN29" s="24"/>
      <c r="PO29" s="24"/>
      <c r="PP29" s="24"/>
      <c r="PQ29" s="24"/>
      <c r="PR29" s="24"/>
      <c r="PS29" s="24"/>
      <c r="PT29" s="24"/>
      <c r="PU29" s="24"/>
      <c r="PV29" s="24"/>
      <c r="PW29" s="24"/>
      <c r="PX29" s="24"/>
      <c r="PY29" s="24"/>
      <c r="PZ29" s="24"/>
      <c r="QA29" s="24">
        <f t="shared" si="112"/>
        <v>0</v>
      </c>
      <c r="QB29" s="24">
        <f t="shared" si="113"/>
        <v>0</v>
      </c>
      <c r="QC29" s="24"/>
      <c r="QD29" s="24"/>
      <c r="QE29" s="24"/>
      <c r="QF29" s="24"/>
      <c r="QG29" s="24"/>
      <c r="QH29" s="24"/>
      <c r="QI29" s="24"/>
      <c r="QJ29" s="24"/>
      <c r="QK29" s="24"/>
      <c r="QL29" s="24"/>
      <c r="QM29" s="24"/>
      <c r="QN29" s="24"/>
      <c r="QO29" s="24"/>
      <c r="QP29" s="24"/>
      <c r="QQ29" s="24"/>
      <c r="QR29" s="24"/>
      <c r="QS29" s="24"/>
      <c r="QT29" s="24"/>
      <c r="QU29" s="24"/>
      <c r="QV29" s="24"/>
      <c r="QW29" s="24"/>
      <c r="QX29" s="24"/>
      <c r="QY29" s="24"/>
      <c r="QZ29" s="24"/>
      <c r="RA29" s="24"/>
      <c r="RB29" s="24"/>
      <c r="RC29" s="24"/>
      <c r="RD29" s="24"/>
      <c r="RE29" s="24"/>
      <c r="RF29" s="24"/>
      <c r="RG29" s="24"/>
      <c r="RH29" s="24"/>
      <c r="RI29" s="24"/>
      <c r="RJ29" s="24"/>
      <c r="RK29" s="24"/>
      <c r="RL29" s="24"/>
      <c r="RM29" s="24"/>
      <c r="RN29" s="24"/>
      <c r="RO29" s="24"/>
      <c r="RP29" s="24"/>
      <c r="RQ29" s="24"/>
      <c r="RR29" s="24"/>
      <c r="RS29" s="24"/>
      <c r="RT29" s="24"/>
      <c r="RU29" s="24"/>
      <c r="RV29" s="24"/>
      <c r="RW29" s="24"/>
      <c r="RX29" s="24"/>
      <c r="RY29" s="24"/>
      <c r="RZ29" s="24"/>
      <c r="SA29" s="24"/>
      <c r="SB29" s="24"/>
      <c r="SC29" s="24"/>
      <c r="SD29" s="24"/>
      <c r="SE29" s="24"/>
      <c r="SF29" s="24"/>
      <c r="SG29" s="24"/>
      <c r="SH29" s="24"/>
      <c r="SI29" s="24"/>
      <c r="SJ29" s="24"/>
      <c r="SK29" s="24"/>
      <c r="SL29" s="24"/>
      <c r="SM29" s="24">
        <f t="shared" si="114"/>
        <v>0</v>
      </c>
      <c r="SN29" s="24">
        <f t="shared" si="115"/>
        <v>0</v>
      </c>
      <c r="SO29" s="24"/>
      <c r="SP29" s="24"/>
      <c r="SQ29" s="24"/>
      <c r="SR29" s="24"/>
      <c r="SS29" s="24"/>
      <c r="ST29" s="24"/>
      <c r="SU29" s="24"/>
      <c r="SV29" s="24"/>
      <c r="SW29" s="24"/>
      <c r="SX29" s="24"/>
      <c r="SY29" s="24"/>
      <c r="SZ29" s="24"/>
      <c r="TA29" s="24"/>
      <c r="TB29" s="24"/>
      <c r="TC29" s="24"/>
      <c r="TD29" s="24"/>
      <c r="TE29" s="24"/>
      <c r="TF29" s="24"/>
      <c r="TG29" s="24"/>
      <c r="TH29" s="24"/>
      <c r="TI29" s="24"/>
      <c r="TJ29" s="24"/>
      <c r="TK29" s="24"/>
      <c r="TL29" s="24"/>
      <c r="TM29" s="24"/>
      <c r="TN29" s="24"/>
      <c r="TO29" s="24"/>
      <c r="TP29" s="24"/>
      <c r="TQ29" s="24"/>
      <c r="TR29" s="24"/>
      <c r="TS29" s="24"/>
      <c r="TT29" s="24"/>
      <c r="TU29" s="24"/>
      <c r="TV29" s="24"/>
      <c r="TW29" s="24"/>
      <c r="TX29" s="24"/>
      <c r="TY29" s="24"/>
      <c r="TZ29" s="24"/>
      <c r="UA29" s="24"/>
      <c r="UB29" s="24"/>
      <c r="UC29" s="24"/>
      <c r="UD29" s="24"/>
      <c r="UE29" s="24"/>
      <c r="UF29" s="24"/>
      <c r="UG29" s="24"/>
      <c r="UH29" s="24"/>
      <c r="UI29" s="24"/>
      <c r="UJ29" s="24"/>
      <c r="UK29" s="24"/>
      <c r="UL29" s="24"/>
      <c r="UM29" s="24"/>
      <c r="UN29" s="24"/>
      <c r="UO29" s="24"/>
      <c r="UP29" s="24"/>
      <c r="UQ29" s="24"/>
      <c r="UR29" s="24"/>
      <c r="US29" s="24"/>
      <c r="UT29" s="24"/>
      <c r="UU29" s="24"/>
      <c r="UV29" s="24"/>
      <c r="UW29" s="24">
        <f t="shared" si="116"/>
        <v>0</v>
      </c>
      <c r="UX29" s="24">
        <f t="shared" si="117"/>
        <v>0</v>
      </c>
      <c r="UY29" s="24"/>
      <c r="UZ29" s="24"/>
      <c r="VA29" s="24"/>
      <c r="VB29" s="24"/>
      <c r="VC29" s="24"/>
      <c r="VD29" s="24"/>
      <c r="VE29" s="24"/>
      <c r="VF29" s="24"/>
      <c r="VG29" s="24"/>
      <c r="VH29" s="24"/>
      <c r="VI29" s="24"/>
      <c r="VJ29" s="24"/>
      <c r="VK29" s="24"/>
      <c r="VL29" s="24"/>
      <c r="VM29" s="24"/>
      <c r="VN29" s="24"/>
      <c r="VO29" s="24"/>
      <c r="VP29" s="24"/>
      <c r="VQ29" s="24"/>
      <c r="VR29" s="24"/>
      <c r="VS29" s="24"/>
      <c r="VT29" s="24"/>
      <c r="VU29" s="24"/>
      <c r="VV29" s="24"/>
      <c r="VW29" s="24"/>
      <c r="VX29" s="24"/>
      <c r="VY29" s="24"/>
      <c r="VZ29" s="24"/>
      <c r="WA29" s="24"/>
      <c r="WB29" s="24"/>
      <c r="WC29" s="24"/>
      <c r="WD29" s="24"/>
      <c r="WE29" s="24"/>
      <c r="WF29" s="24"/>
      <c r="WG29" s="24"/>
      <c r="WH29" s="24"/>
      <c r="WI29" s="24"/>
      <c r="WJ29" s="24"/>
      <c r="WK29" s="24"/>
      <c r="WL29" s="24"/>
      <c r="WM29" s="24"/>
      <c r="WN29" s="24"/>
      <c r="WO29" s="24"/>
      <c r="WP29" s="24"/>
      <c r="WQ29" s="24"/>
      <c r="WR29" s="24"/>
      <c r="WS29" s="24"/>
      <c r="WT29" s="24"/>
      <c r="WU29" s="24"/>
      <c r="WV29" s="24"/>
      <c r="WW29" s="24"/>
      <c r="WX29" s="24"/>
      <c r="WY29" s="24"/>
      <c r="WZ29" s="24"/>
      <c r="XA29" s="24"/>
      <c r="XB29" s="24"/>
      <c r="XC29" s="24"/>
      <c r="XD29" s="24"/>
      <c r="XE29" s="24"/>
      <c r="XF29" s="24"/>
      <c r="XG29" s="24"/>
      <c r="XH29" s="24"/>
      <c r="XI29" s="24">
        <f t="shared" si="118"/>
        <v>0</v>
      </c>
      <c r="XJ29" s="24">
        <f t="shared" si="119"/>
        <v>0</v>
      </c>
      <c r="XK29" s="24"/>
      <c r="XL29" s="24"/>
      <c r="XM29" s="24"/>
      <c r="XN29" s="24"/>
      <c r="XO29" s="24"/>
      <c r="XP29" s="24"/>
      <c r="XQ29" s="24"/>
      <c r="XR29" s="24"/>
      <c r="XS29" s="24"/>
      <c r="XT29" s="24"/>
      <c r="XU29" s="24"/>
      <c r="XV29" s="24"/>
      <c r="XW29" s="24"/>
      <c r="XX29" s="24"/>
      <c r="XY29" s="24"/>
      <c r="XZ29" s="24"/>
      <c r="YA29" s="24"/>
      <c r="YB29" s="24"/>
      <c r="YC29" s="24"/>
      <c r="YD29" s="24"/>
      <c r="YE29" s="24"/>
      <c r="YF29" s="24"/>
      <c r="YG29" s="24"/>
      <c r="YH29" s="24"/>
      <c r="YI29" s="24"/>
      <c r="YJ29" s="24"/>
      <c r="YK29" s="24"/>
      <c r="YL29" s="24"/>
      <c r="YM29" s="24"/>
      <c r="YN29" s="24"/>
      <c r="YO29" s="24"/>
      <c r="YP29" s="24"/>
      <c r="YQ29" s="24"/>
      <c r="YR29" s="24"/>
      <c r="YS29" s="24"/>
      <c r="YT29" s="24"/>
      <c r="YU29" s="24"/>
      <c r="YV29" s="24"/>
      <c r="YW29" s="24"/>
      <c r="YX29" s="24"/>
      <c r="YY29" s="24"/>
      <c r="YZ29" s="24"/>
      <c r="ZA29" s="24"/>
      <c r="ZB29" s="24"/>
      <c r="ZC29" s="24"/>
      <c r="ZD29" s="24"/>
      <c r="ZE29" s="24"/>
      <c r="ZF29" s="24"/>
      <c r="ZG29" s="24"/>
      <c r="ZH29" s="24"/>
      <c r="ZI29" s="24"/>
      <c r="ZJ29" s="24"/>
      <c r="ZK29" s="24"/>
      <c r="ZL29" s="24"/>
      <c r="ZM29" s="24"/>
      <c r="ZN29" s="24"/>
      <c r="ZO29" s="24"/>
      <c r="ZP29" s="24"/>
      <c r="ZQ29" s="24"/>
      <c r="ZR29" s="24"/>
      <c r="ZS29" s="24">
        <f t="shared" si="120"/>
        <v>0</v>
      </c>
      <c r="ZT29" s="24">
        <f t="shared" si="121"/>
        <v>0</v>
      </c>
      <c r="ZU29" s="24"/>
      <c r="ZV29" s="24"/>
      <c r="ZW29" s="24"/>
      <c r="ZX29" s="24"/>
      <c r="ZY29" s="24"/>
      <c r="ZZ29" s="24"/>
      <c r="AAA29" s="24"/>
      <c r="AAB29" s="24"/>
      <c r="AAC29" s="24"/>
      <c r="AAD29" s="24"/>
      <c r="AAE29" s="24"/>
      <c r="AAF29" s="24"/>
      <c r="AAG29" s="24"/>
      <c r="AAH29" s="24"/>
      <c r="AAI29" s="24"/>
      <c r="AAJ29" s="24"/>
      <c r="AAK29" s="24"/>
      <c r="AAL29" s="24"/>
      <c r="AAM29" s="24"/>
      <c r="AAN29" s="24"/>
      <c r="AAO29" s="24"/>
      <c r="AAP29" s="24"/>
      <c r="AAQ29" s="24"/>
      <c r="AAR29" s="24"/>
      <c r="AAS29" s="24"/>
      <c r="AAT29" s="24"/>
      <c r="AAU29" s="24"/>
      <c r="AAV29" s="24"/>
      <c r="AAW29" s="24"/>
      <c r="AAX29" s="24"/>
      <c r="AAY29" s="24"/>
      <c r="AAZ29" s="24"/>
      <c r="ABA29" s="24"/>
      <c r="ABB29" s="24"/>
      <c r="ABC29" s="24"/>
      <c r="ABD29" s="24"/>
      <c r="ABE29" s="24"/>
      <c r="ABF29" s="24"/>
      <c r="ABG29" s="24"/>
      <c r="ABH29" s="24"/>
      <c r="ABI29" s="24"/>
      <c r="ABJ29" s="24"/>
      <c r="ABK29" s="24"/>
      <c r="ABL29" s="24"/>
      <c r="ABM29" s="24"/>
      <c r="ABN29" s="24"/>
      <c r="ABO29" s="24"/>
      <c r="ABP29" s="24"/>
      <c r="ABQ29" s="24"/>
      <c r="ABR29" s="24"/>
      <c r="ABS29" s="24"/>
      <c r="ABT29" s="24"/>
      <c r="ABU29" s="24"/>
      <c r="ABV29" s="24"/>
      <c r="ABW29" s="24"/>
      <c r="ABX29" s="24"/>
      <c r="ABY29" s="24"/>
      <c r="ABZ29" s="24"/>
      <c r="ACA29" s="24"/>
      <c r="ACB29" s="24"/>
      <c r="ACC29" s="24"/>
      <c r="ACD29" s="24"/>
      <c r="ACE29" s="24">
        <f t="shared" si="122"/>
        <v>0</v>
      </c>
      <c r="ACF29" s="24"/>
      <c r="ACG29" s="24">
        <f t="shared" si="123"/>
        <v>0</v>
      </c>
      <c r="ACH29" s="25"/>
      <c r="ACI29" s="71" t="s">
        <v>222</v>
      </c>
      <c r="ACJ29" s="71" t="s">
        <v>88</v>
      </c>
    </row>
    <row r="30" spans="1:764" x14ac:dyDescent="0.25">
      <c r="A30" s="174"/>
      <c r="B30" s="152"/>
      <c r="C30" s="157" t="s">
        <v>2</v>
      </c>
      <c r="D30" s="50" t="s">
        <v>6</v>
      </c>
      <c r="E30" s="74">
        <v>159.76000000000002</v>
      </c>
      <c r="F30" s="75">
        <v>154.91999999999999</v>
      </c>
      <c r="G30" s="75">
        <v>155.29000000000002</v>
      </c>
      <c r="H30" s="75">
        <v>152.26</v>
      </c>
      <c r="I30" s="75">
        <v>99.38</v>
      </c>
      <c r="J30" s="75">
        <v>98.199999999999989</v>
      </c>
      <c r="K30" s="75">
        <v>163.60000000000002</v>
      </c>
      <c r="L30" s="75">
        <v>161.12</v>
      </c>
      <c r="M30" s="75">
        <v>265.96999999999997</v>
      </c>
      <c r="N30" s="75">
        <v>261.77999999999997</v>
      </c>
      <c r="O30" s="75">
        <v>306.70999999999998</v>
      </c>
      <c r="P30" s="75">
        <v>302.45999999999998</v>
      </c>
      <c r="Q30" s="75">
        <v>103.50999999999999</v>
      </c>
      <c r="R30" s="75">
        <v>101.7</v>
      </c>
      <c r="S30" s="75">
        <v>222.36999999999998</v>
      </c>
      <c r="T30" s="75">
        <v>218.01999999999998</v>
      </c>
      <c r="U30" s="75">
        <v>341.12</v>
      </c>
      <c r="V30" s="75">
        <v>340.20000000000005</v>
      </c>
      <c r="W30" s="75">
        <v>424.14</v>
      </c>
      <c r="X30" s="75">
        <v>424.9</v>
      </c>
      <c r="Y30" s="75">
        <v>253.17</v>
      </c>
      <c r="Z30" s="75">
        <v>253.88</v>
      </c>
      <c r="AA30" s="75">
        <v>256.41000000000003</v>
      </c>
      <c r="AB30" s="75">
        <v>251.34</v>
      </c>
      <c r="AC30" s="75">
        <v>110.16</v>
      </c>
      <c r="AD30" s="75">
        <v>108.75999999999999</v>
      </c>
      <c r="AE30" s="75">
        <v>152.22</v>
      </c>
      <c r="AF30" s="75">
        <v>151.45999999999998</v>
      </c>
      <c r="AG30" s="75">
        <v>99.8</v>
      </c>
      <c r="AH30" s="75">
        <v>99.66</v>
      </c>
      <c r="AI30" s="75">
        <v>158.62</v>
      </c>
      <c r="AJ30" s="75">
        <v>157.84</v>
      </c>
      <c r="AK30" s="75">
        <v>212.37000000000003</v>
      </c>
      <c r="AL30" s="75">
        <v>211.26000000000002</v>
      </c>
      <c r="AM30" s="75">
        <v>200.24</v>
      </c>
      <c r="AN30" s="75">
        <v>200.46</v>
      </c>
      <c r="AO30" s="75">
        <v>165.41</v>
      </c>
      <c r="AP30" s="75">
        <v>164.5</v>
      </c>
      <c r="AQ30" s="75">
        <v>310.27999999999997</v>
      </c>
      <c r="AR30" s="75">
        <v>304.74</v>
      </c>
      <c r="AS30" s="75">
        <v>310.51</v>
      </c>
      <c r="AT30" s="75">
        <v>309.32000000000005</v>
      </c>
      <c r="AU30" s="75">
        <v>186.88</v>
      </c>
      <c r="AV30" s="75">
        <v>186.72</v>
      </c>
      <c r="AW30" s="75">
        <v>165.83</v>
      </c>
      <c r="AX30" s="75">
        <v>168.68</v>
      </c>
      <c r="AY30" s="75">
        <v>176.98</v>
      </c>
      <c r="AZ30" s="75">
        <v>179.52</v>
      </c>
      <c r="BA30" s="75">
        <v>56.1</v>
      </c>
      <c r="BB30" s="75">
        <v>56.32</v>
      </c>
      <c r="BC30" s="75"/>
      <c r="BD30" s="75"/>
      <c r="BE30" s="75"/>
      <c r="BF30" s="75"/>
      <c r="BG30" s="75">
        <v>195.65</v>
      </c>
      <c r="BH30" s="75">
        <v>198.58</v>
      </c>
      <c r="BI30" s="75">
        <v>224.3</v>
      </c>
      <c r="BJ30" s="75">
        <v>227.68</v>
      </c>
      <c r="BK30" s="75">
        <v>306.93</v>
      </c>
      <c r="BL30" s="75">
        <v>309.52</v>
      </c>
      <c r="BM30" s="75"/>
      <c r="BN30" s="75"/>
      <c r="BO30" s="24" cm="1">
        <f t="array" ref="BO30">SUMPRODUCT(E30:BM30,--(E$2:BM$2=BO$2))</f>
        <v>5783.7099999999991</v>
      </c>
      <c r="BP30" s="24" cm="1">
        <f t="array" ref="BP30">SUMPRODUCT(F30:BN30,--(F$2:BN$2=BP$2))</f>
        <v>5755.8000000000011</v>
      </c>
      <c r="BQ30" s="24">
        <v>90.49</v>
      </c>
      <c r="BR30" s="24">
        <v>87.34</v>
      </c>
      <c r="BS30" s="24">
        <v>242.42</v>
      </c>
      <c r="BT30" s="24">
        <v>242.68</v>
      </c>
      <c r="BU30" s="24">
        <v>213.86</v>
      </c>
      <c r="BV30" s="24">
        <v>216.82000000000002</v>
      </c>
      <c r="BW30" s="24">
        <v>354.24000000000007</v>
      </c>
      <c r="BX30" s="24">
        <v>358.4</v>
      </c>
      <c r="BY30" s="24">
        <v>212.45</v>
      </c>
      <c r="BZ30" s="24">
        <v>215.49999999999994</v>
      </c>
      <c r="CA30" s="24">
        <v>303.83999999999997</v>
      </c>
      <c r="CB30" s="24">
        <v>300.77999999999997</v>
      </c>
      <c r="CC30" s="24">
        <v>317.63</v>
      </c>
      <c r="CD30" s="24">
        <v>311.77999999999997</v>
      </c>
      <c r="CE30" s="24">
        <v>274.08</v>
      </c>
      <c r="CF30" s="74">
        <v>274.72000000000003</v>
      </c>
      <c r="CG30" s="75">
        <v>277.71000000000004</v>
      </c>
      <c r="CH30" s="75">
        <v>280.12</v>
      </c>
      <c r="CI30" s="75">
        <v>118.5</v>
      </c>
      <c r="CJ30" s="75">
        <v>119.60000000000001</v>
      </c>
      <c r="CK30" s="75">
        <v>100.44999999999999</v>
      </c>
      <c r="CL30" s="75">
        <v>100.56</v>
      </c>
      <c r="CM30" s="75">
        <v>255.94</v>
      </c>
      <c r="CN30" s="75">
        <v>252.04</v>
      </c>
      <c r="CO30" s="75">
        <v>197.31</v>
      </c>
      <c r="CP30" s="24">
        <v>190.76</v>
      </c>
      <c r="CQ30" s="24">
        <v>217.10000000000002</v>
      </c>
      <c r="CR30" s="24">
        <v>214.6</v>
      </c>
      <c r="CS30" s="24">
        <v>152.89999999999998</v>
      </c>
      <c r="CT30" s="24">
        <v>152.80000000000001</v>
      </c>
      <c r="CU30" s="24">
        <v>178.67</v>
      </c>
      <c r="CV30" s="24">
        <v>178</v>
      </c>
      <c r="CW30" s="24">
        <v>205.67999999999998</v>
      </c>
      <c r="CX30" s="24">
        <v>209.35999999999996</v>
      </c>
      <c r="CY30" s="24">
        <v>224.93</v>
      </c>
      <c r="CZ30" s="24">
        <v>228.00000000000003</v>
      </c>
      <c r="DA30" s="24">
        <v>229.98999999999995</v>
      </c>
      <c r="DB30" s="24">
        <v>231.73999999999998</v>
      </c>
      <c r="DC30" s="24">
        <v>241.05999999999997</v>
      </c>
      <c r="DD30" s="24">
        <v>243.04000000000002</v>
      </c>
      <c r="DE30" s="24">
        <v>232.85999999999996</v>
      </c>
      <c r="DF30" s="24">
        <v>236.97999999999996</v>
      </c>
      <c r="DG30" s="24">
        <v>230.45000000000002</v>
      </c>
      <c r="DH30" s="24">
        <v>235.85999999999999</v>
      </c>
      <c r="DI30" s="24">
        <v>159.87</v>
      </c>
      <c r="DJ30" s="24">
        <v>161.21999999999997</v>
      </c>
      <c r="DK30" s="24">
        <v>192.33</v>
      </c>
      <c r="DL30" s="24">
        <v>192.65999999999997</v>
      </c>
      <c r="DM30" s="24">
        <v>153.65</v>
      </c>
      <c r="DN30" s="24">
        <v>153.5</v>
      </c>
      <c r="DO30" s="24">
        <v>219.09</v>
      </c>
      <c r="DP30" s="24">
        <v>218.87999999999997</v>
      </c>
      <c r="DQ30" s="24">
        <v>85.83</v>
      </c>
      <c r="DR30" s="24">
        <v>86.38</v>
      </c>
      <c r="DS30" s="24">
        <v>240.06</v>
      </c>
      <c r="DT30" s="24">
        <v>240.42000000000002</v>
      </c>
      <c r="DU30" s="24">
        <v>200.42000000000002</v>
      </c>
      <c r="DV30" s="24">
        <v>200.77999999999997</v>
      </c>
      <c r="DW30" s="24" cm="1">
        <f t="array" ref="DW30">SUMPRODUCT(BQ30:DU30,--(BQ$2:DU$2=DW$2))</f>
        <v>6123.8099999999995</v>
      </c>
      <c r="DX30" s="24" cm="1">
        <f t="array" ref="DX30">SUMPRODUCT(BR30:DV30,--(BR$2:DV$2=DX$2))</f>
        <v>6135.3199999999988</v>
      </c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>
        <v>309.09999999999997</v>
      </c>
      <c r="EJ30" s="24">
        <v>313.36</v>
      </c>
      <c r="EK30" s="24">
        <v>186.20999999999998</v>
      </c>
      <c r="EL30" s="24">
        <v>187.04</v>
      </c>
      <c r="EM30" s="24">
        <v>294.47000000000003</v>
      </c>
      <c r="EN30" s="24">
        <v>294.5</v>
      </c>
      <c r="EO30" s="24">
        <v>266.54000000000002</v>
      </c>
      <c r="EP30" s="24">
        <v>266.16000000000003</v>
      </c>
      <c r="EQ30" s="24">
        <v>239.86999999999998</v>
      </c>
      <c r="ER30" s="24">
        <v>244.53999999999996</v>
      </c>
      <c r="ES30" s="24">
        <v>225.91999999999996</v>
      </c>
      <c r="ET30" s="24">
        <v>226.82</v>
      </c>
      <c r="EU30" s="24">
        <v>280.34000000000003</v>
      </c>
      <c r="EV30" s="24">
        <v>283.06</v>
      </c>
      <c r="EW30" s="24">
        <v>182.82</v>
      </c>
      <c r="EX30" s="24">
        <v>182.74</v>
      </c>
      <c r="EY30" s="24">
        <v>132.19</v>
      </c>
      <c r="EZ30" s="24">
        <v>132.16000000000003</v>
      </c>
      <c r="FA30" s="24">
        <v>314.87</v>
      </c>
      <c r="FB30" s="24">
        <v>313.88</v>
      </c>
      <c r="FC30" s="24">
        <v>386.89</v>
      </c>
      <c r="FD30" s="24">
        <v>388.56</v>
      </c>
      <c r="FE30" s="24">
        <v>300.13</v>
      </c>
      <c r="FF30" s="24">
        <v>302.04000000000002</v>
      </c>
      <c r="FG30" s="24">
        <v>232.20000000000002</v>
      </c>
      <c r="FH30" s="24">
        <v>234.04000000000002</v>
      </c>
      <c r="FI30" s="24">
        <v>254.12000000000003</v>
      </c>
      <c r="FJ30" s="24">
        <v>254.08000000000004</v>
      </c>
      <c r="FK30" s="24">
        <v>223.83999999999997</v>
      </c>
      <c r="FL30" s="24">
        <v>222.96</v>
      </c>
      <c r="FM30" s="24">
        <v>247.87</v>
      </c>
      <c r="FN30" s="24">
        <v>247.58000000000004</v>
      </c>
      <c r="FO30" s="24">
        <v>163.18</v>
      </c>
      <c r="FP30" s="24">
        <v>162.68</v>
      </c>
      <c r="FQ30" s="24">
        <v>429.32999999999993</v>
      </c>
      <c r="FR30" s="24">
        <v>427.98</v>
      </c>
      <c r="FS30" s="24">
        <v>317.48</v>
      </c>
      <c r="FT30" s="24">
        <v>318.18</v>
      </c>
      <c r="FU30" s="24">
        <v>297.14</v>
      </c>
      <c r="FV30" s="24">
        <v>293.82000000000005</v>
      </c>
      <c r="FW30" s="24">
        <v>295.53000000000009</v>
      </c>
      <c r="FX30" s="24">
        <v>291.44000000000005</v>
      </c>
      <c r="FY30" s="24">
        <v>290.41000000000003</v>
      </c>
      <c r="FZ30" s="24">
        <v>286</v>
      </c>
      <c r="GA30" s="24">
        <v>291.06</v>
      </c>
      <c r="GB30" s="24">
        <v>287.54000000000002</v>
      </c>
      <c r="GC30" s="24">
        <v>275</v>
      </c>
      <c r="GD30" s="24">
        <v>273.26000000000005</v>
      </c>
      <c r="GE30" s="24">
        <v>260.69</v>
      </c>
      <c r="GF30" s="24">
        <v>256.90000000000003</v>
      </c>
      <c r="GG30" s="24">
        <v>269.47000000000003</v>
      </c>
      <c r="GH30" s="24">
        <v>266.34000000000003</v>
      </c>
      <c r="GI30" s="24" cm="1">
        <f t="array" ref="GI30">SUMPRODUCT(DY30:GG30,--(DY$2:GG$2=GI$2))</f>
        <v>6966.6699999999992</v>
      </c>
      <c r="GJ30" s="24" cm="1">
        <f t="array" ref="GJ30">SUMPRODUCT(DZ30:GH30,--(DZ$2:GH$2=GJ$2))</f>
        <v>6957.6600000000008</v>
      </c>
      <c r="GK30" s="24">
        <v>240.80999999999997</v>
      </c>
      <c r="GL30" s="24">
        <v>237.23000000000002</v>
      </c>
      <c r="GM30" s="24">
        <v>285.3</v>
      </c>
      <c r="GN30" s="24">
        <v>281.5</v>
      </c>
      <c r="GO30" s="24">
        <v>267.65000000000003</v>
      </c>
      <c r="GP30" s="24">
        <v>266.82000000000005</v>
      </c>
      <c r="GQ30" s="24">
        <v>368.3</v>
      </c>
      <c r="GR30" s="24">
        <v>364.28</v>
      </c>
      <c r="GS30" s="24">
        <v>320.96999999999997</v>
      </c>
      <c r="GT30" s="24">
        <v>316.54000000000002</v>
      </c>
      <c r="GU30" s="24">
        <v>221.6</v>
      </c>
      <c r="GV30" s="24">
        <v>220.35999999999999</v>
      </c>
      <c r="GW30" s="24">
        <v>248.22000000000003</v>
      </c>
      <c r="GX30" s="24">
        <v>248.56</v>
      </c>
      <c r="GY30" s="24">
        <v>261.39999999999998</v>
      </c>
      <c r="GZ30" s="24">
        <v>260.71000000000004</v>
      </c>
      <c r="HA30" s="24">
        <v>256.82</v>
      </c>
      <c r="HB30" s="24">
        <v>257.76</v>
      </c>
      <c r="HC30" s="24">
        <v>140.60999999999999</v>
      </c>
      <c r="HD30" s="24">
        <v>140.78</v>
      </c>
      <c r="HE30" s="24">
        <v>231.92999999999998</v>
      </c>
      <c r="HF30" s="24">
        <v>234.45999999999998</v>
      </c>
      <c r="HG30" s="24">
        <v>304.3</v>
      </c>
      <c r="HH30" s="24">
        <v>303.57999999999993</v>
      </c>
      <c r="HI30" s="24">
        <v>242.85</v>
      </c>
      <c r="HJ30" s="24">
        <v>242.97999999999996</v>
      </c>
      <c r="HK30" s="24">
        <v>200.59000000000003</v>
      </c>
      <c r="HL30" s="24">
        <v>200.88</v>
      </c>
      <c r="HM30" s="24">
        <v>193.85</v>
      </c>
      <c r="HN30" s="24">
        <v>196.68</v>
      </c>
      <c r="HO30" s="24">
        <v>335.42</v>
      </c>
      <c r="HP30" s="24">
        <v>334.62</v>
      </c>
      <c r="HQ30" s="24">
        <v>411.44</v>
      </c>
      <c r="HR30" s="24">
        <v>413.82</v>
      </c>
      <c r="HS30" s="24">
        <v>392.50999999999993</v>
      </c>
      <c r="HT30" s="24">
        <v>391.70000000000005</v>
      </c>
      <c r="HU30" s="24">
        <v>132.70999999999998</v>
      </c>
      <c r="HV30" s="24">
        <v>131.4</v>
      </c>
      <c r="HW30" s="24">
        <v>287.56</v>
      </c>
      <c r="HX30" s="24">
        <v>284.48</v>
      </c>
      <c r="HY30" s="24">
        <v>235.32000000000002</v>
      </c>
      <c r="HZ30" s="24">
        <v>237.4</v>
      </c>
      <c r="IA30" s="24">
        <v>180.82</v>
      </c>
      <c r="IB30" s="24">
        <v>182.82</v>
      </c>
      <c r="IC30" s="24">
        <v>160.93</v>
      </c>
      <c r="ID30" s="24">
        <v>162.10000000000002</v>
      </c>
      <c r="IE30" s="24">
        <v>422.89999999999992</v>
      </c>
      <c r="IF30" s="24">
        <v>421.74</v>
      </c>
      <c r="IG30" s="24">
        <v>331.44000000000005</v>
      </c>
      <c r="IH30" s="24">
        <v>329.94000000000005</v>
      </c>
      <c r="II30" s="24">
        <v>187.08</v>
      </c>
      <c r="IJ30" s="24">
        <v>187.5</v>
      </c>
      <c r="IK30" s="24"/>
      <c r="IL30" s="24"/>
      <c r="IM30" s="24"/>
      <c r="IN30" s="24"/>
      <c r="IO30" s="24"/>
      <c r="IP30" s="24"/>
      <c r="IQ30" s="24"/>
      <c r="IR30" s="24"/>
      <c r="IS30" s="24">
        <f t="shared" si="106"/>
        <v>6863.33</v>
      </c>
      <c r="IT30" s="24">
        <f t="shared" si="107"/>
        <v>6850.6399999999994</v>
      </c>
      <c r="IU30" s="24">
        <v>255.29999999999998</v>
      </c>
      <c r="IV30" s="24">
        <v>256.94000000000005</v>
      </c>
      <c r="IW30" s="24">
        <v>271.60999999999996</v>
      </c>
      <c r="IX30" s="24">
        <v>272.56</v>
      </c>
      <c r="IY30" s="24">
        <v>348.84</v>
      </c>
      <c r="IZ30" s="24">
        <v>354.97999999999996</v>
      </c>
      <c r="JA30" s="24">
        <v>248.09</v>
      </c>
      <c r="JB30" s="24">
        <v>251.57999999999998</v>
      </c>
      <c r="JC30" s="24">
        <v>398.40999999999997</v>
      </c>
      <c r="JD30" s="24">
        <v>403.67999999999989</v>
      </c>
      <c r="JE30" s="24">
        <v>402.6</v>
      </c>
      <c r="JF30" s="24">
        <v>403.54</v>
      </c>
      <c r="JG30" s="24">
        <v>189.73999999999998</v>
      </c>
      <c r="JH30" s="24">
        <v>191</v>
      </c>
      <c r="JI30" s="24">
        <v>289.05</v>
      </c>
      <c r="JJ30" s="24">
        <v>291.12</v>
      </c>
      <c r="JK30" s="24">
        <v>281.20999999999998</v>
      </c>
      <c r="JL30" s="24">
        <v>284.17999999999995</v>
      </c>
      <c r="JM30" s="24">
        <v>275.45999999999998</v>
      </c>
      <c r="JN30" s="24">
        <v>279.76</v>
      </c>
      <c r="JO30" s="24">
        <v>318.64999999999998</v>
      </c>
      <c r="JP30" s="24">
        <v>321.84000000000003</v>
      </c>
      <c r="JQ30" s="24">
        <v>382.12</v>
      </c>
      <c r="JR30" s="24">
        <v>385.10000000000008</v>
      </c>
      <c r="JS30" s="24">
        <v>284.75</v>
      </c>
      <c r="JT30" s="24">
        <v>286.86</v>
      </c>
      <c r="JU30" s="24">
        <v>107.78</v>
      </c>
      <c r="JV30" s="24">
        <v>109.72</v>
      </c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24"/>
      <c r="KO30" s="24"/>
      <c r="KP30" s="24"/>
      <c r="KQ30" s="24"/>
      <c r="KR30" s="24"/>
      <c r="KS30" s="24"/>
      <c r="KT30" s="24"/>
      <c r="KU30" s="24"/>
      <c r="KV30" s="24"/>
      <c r="KW30" s="24"/>
      <c r="KX30" s="24"/>
      <c r="KY30" s="24"/>
      <c r="KZ30" s="24"/>
      <c r="LA30" s="24"/>
      <c r="LB30" s="24"/>
      <c r="LC30" s="24"/>
      <c r="LD30" s="24"/>
      <c r="LE30" s="24">
        <f t="shared" si="108"/>
        <v>4053.61</v>
      </c>
      <c r="LF30" s="24">
        <f t="shared" si="109"/>
        <v>4092.8599999999992</v>
      </c>
      <c r="LG30" s="24"/>
      <c r="LH30" s="24"/>
      <c r="LI30" s="24"/>
      <c r="LJ30" s="24"/>
      <c r="LK30" s="24"/>
      <c r="LL30" s="24"/>
      <c r="LM30" s="24"/>
      <c r="LN30" s="24"/>
      <c r="LO30" s="24"/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24"/>
      <c r="MS30" s="24"/>
      <c r="MT30" s="24"/>
      <c r="MU30" s="24"/>
      <c r="MV30" s="24"/>
      <c r="MW30" s="24"/>
      <c r="MX30" s="24"/>
      <c r="MY30" s="24"/>
      <c r="MZ30" s="24"/>
      <c r="NA30" s="24"/>
      <c r="NB30" s="24"/>
      <c r="NC30" s="24"/>
      <c r="ND30" s="24"/>
      <c r="NE30" s="24"/>
      <c r="NF30" s="24"/>
      <c r="NG30" s="24"/>
      <c r="NH30" s="24"/>
      <c r="NI30" s="24"/>
      <c r="NJ30" s="24"/>
      <c r="NK30" s="24"/>
      <c r="NL30" s="24"/>
      <c r="NM30" s="24"/>
      <c r="NN30" s="24"/>
      <c r="NO30" s="24">
        <f t="shared" si="110"/>
        <v>0</v>
      </c>
      <c r="NP30" s="24">
        <f t="shared" si="111"/>
        <v>0</v>
      </c>
      <c r="NQ30" s="24"/>
      <c r="NR30" s="24"/>
      <c r="NS30" s="24"/>
      <c r="NT30" s="24"/>
      <c r="NU30" s="24"/>
      <c r="NV30" s="24"/>
      <c r="NW30" s="24"/>
      <c r="NX30" s="24"/>
      <c r="NY30" s="24"/>
      <c r="NZ30" s="24"/>
      <c r="OA30" s="24"/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24"/>
      <c r="OW30" s="24"/>
      <c r="OX30" s="24"/>
      <c r="OY30" s="24"/>
      <c r="OZ30" s="24"/>
      <c r="PA30" s="24"/>
      <c r="PB30" s="24"/>
      <c r="PC30" s="24"/>
      <c r="PD30" s="24"/>
      <c r="PE30" s="24"/>
      <c r="PF30" s="24"/>
      <c r="PG30" s="24"/>
      <c r="PH30" s="24"/>
      <c r="PI30" s="24"/>
      <c r="PJ30" s="24"/>
      <c r="PK30" s="24"/>
      <c r="PL30" s="24"/>
      <c r="PM30" s="24"/>
      <c r="PN30" s="24"/>
      <c r="PO30" s="24"/>
      <c r="PP30" s="24"/>
      <c r="PQ30" s="24"/>
      <c r="PR30" s="24"/>
      <c r="PS30" s="24"/>
      <c r="PT30" s="24"/>
      <c r="PU30" s="24"/>
      <c r="PV30" s="24"/>
      <c r="PW30" s="24"/>
      <c r="PX30" s="24"/>
      <c r="PY30" s="24"/>
      <c r="PZ30" s="24"/>
      <c r="QA30" s="24">
        <f t="shared" si="112"/>
        <v>0</v>
      </c>
      <c r="QB30" s="24">
        <f t="shared" si="113"/>
        <v>0</v>
      </c>
      <c r="QC30" s="24"/>
      <c r="QD30" s="24"/>
      <c r="QE30" s="24"/>
      <c r="QF30" s="24"/>
      <c r="QG30" s="24"/>
      <c r="QH30" s="24"/>
      <c r="QI30" s="24"/>
      <c r="QJ30" s="24"/>
      <c r="QK30" s="24"/>
      <c r="QL30" s="24"/>
      <c r="QM30" s="24"/>
      <c r="QN30" s="24"/>
      <c r="QO30" s="24"/>
      <c r="QP30" s="24"/>
      <c r="QQ30" s="24"/>
      <c r="QR30" s="24"/>
      <c r="QS30" s="24"/>
      <c r="QT30" s="24"/>
      <c r="QU30" s="24"/>
      <c r="QV30" s="24"/>
      <c r="QW30" s="24"/>
      <c r="QX30" s="24"/>
      <c r="QY30" s="24"/>
      <c r="QZ30" s="24"/>
      <c r="RA30" s="24"/>
      <c r="RB30" s="24"/>
      <c r="RC30" s="24"/>
      <c r="RD30" s="24"/>
      <c r="RE30" s="24"/>
      <c r="RF30" s="24"/>
      <c r="RG30" s="24"/>
      <c r="RH30" s="24"/>
      <c r="RI30" s="24"/>
      <c r="RJ30" s="24"/>
      <c r="RK30" s="24"/>
      <c r="RL30" s="24"/>
      <c r="RM30" s="24"/>
      <c r="RN30" s="24"/>
      <c r="RO30" s="24"/>
      <c r="RP30" s="24"/>
      <c r="RQ30" s="24"/>
      <c r="RR30" s="24"/>
      <c r="RS30" s="24"/>
      <c r="RT30" s="24"/>
      <c r="RU30" s="24"/>
      <c r="RV30" s="24"/>
      <c r="RW30" s="24"/>
      <c r="RX30" s="24"/>
      <c r="RY30" s="24"/>
      <c r="RZ30" s="24"/>
      <c r="SA30" s="24"/>
      <c r="SB30" s="24"/>
      <c r="SC30" s="24"/>
      <c r="SD30" s="24"/>
      <c r="SE30" s="24"/>
      <c r="SF30" s="24"/>
      <c r="SG30" s="24"/>
      <c r="SH30" s="24"/>
      <c r="SI30" s="24"/>
      <c r="SJ30" s="24"/>
      <c r="SK30" s="24"/>
      <c r="SL30" s="24"/>
      <c r="SM30" s="24">
        <f t="shared" si="114"/>
        <v>0</v>
      </c>
      <c r="SN30" s="24">
        <f t="shared" si="115"/>
        <v>0</v>
      </c>
      <c r="SO30" s="24"/>
      <c r="SP30" s="24"/>
      <c r="SQ30" s="24"/>
      <c r="SR30" s="24"/>
      <c r="SS30" s="24"/>
      <c r="ST30" s="24"/>
      <c r="SU30" s="24"/>
      <c r="SV30" s="24"/>
      <c r="SW30" s="24"/>
      <c r="SX30" s="24"/>
      <c r="SY30" s="24"/>
      <c r="SZ30" s="24"/>
      <c r="TA30" s="24"/>
      <c r="TB30" s="24"/>
      <c r="TC30" s="24"/>
      <c r="TD30" s="24"/>
      <c r="TE30" s="24"/>
      <c r="TF30" s="24"/>
      <c r="TG30" s="24"/>
      <c r="TH30" s="24"/>
      <c r="TI30" s="24"/>
      <c r="TJ30" s="24"/>
      <c r="TK30" s="24"/>
      <c r="TL30" s="24"/>
      <c r="TM30" s="24"/>
      <c r="TN30" s="24"/>
      <c r="TO30" s="24"/>
      <c r="TP30" s="24"/>
      <c r="TQ30" s="24"/>
      <c r="TR30" s="24"/>
      <c r="TS30" s="24"/>
      <c r="TT30" s="24"/>
      <c r="TU30" s="24"/>
      <c r="TV30" s="24"/>
      <c r="TW30" s="24"/>
      <c r="TX30" s="24"/>
      <c r="TY30" s="24"/>
      <c r="TZ30" s="24"/>
      <c r="UA30" s="24"/>
      <c r="UB30" s="24"/>
      <c r="UC30" s="24"/>
      <c r="UD30" s="24"/>
      <c r="UE30" s="24"/>
      <c r="UF30" s="24"/>
      <c r="UG30" s="24"/>
      <c r="UH30" s="24"/>
      <c r="UI30" s="24"/>
      <c r="UJ30" s="24"/>
      <c r="UK30" s="24"/>
      <c r="UL30" s="24"/>
      <c r="UM30" s="24"/>
      <c r="UN30" s="24"/>
      <c r="UO30" s="24"/>
      <c r="UP30" s="24"/>
      <c r="UQ30" s="24"/>
      <c r="UR30" s="24"/>
      <c r="US30" s="24"/>
      <c r="UT30" s="24"/>
      <c r="UU30" s="24"/>
      <c r="UV30" s="24"/>
      <c r="UW30" s="24">
        <f t="shared" si="116"/>
        <v>0</v>
      </c>
      <c r="UX30" s="24">
        <f t="shared" si="117"/>
        <v>0</v>
      </c>
      <c r="UY30" s="24"/>
      <c r="UZ30" s="24"/>
      <c r="VA30" s="24"/>
      <c r="VB30" s="24"/>
      <c r="VC30" s="24"/>
      <c r="VD30" s="24"/>
      <c r="VE30" s="24"/>
      <c r="VF30" s="24"/>
      <c r="VG30" s="24"/>
      <c r="VH30" s="24"/>
      <c r="VI30" s="24"/>
      <c r="VJ30" s="24"/>
      <c r="VK30" s="24"/>
      <c r="VL30" s="24"/>
      <c r="VM30" s="24"/>
      <c r="VN30" s="24"/>
      <c r="VO30" s="24"/>
      <c r="VP30" s="24"/>
      <c r="VQ30" s="24"/>
      <c r="VR30" s="24"/>
      <c r="VS30" s="24"/>
      <c r="VT30" s="24"/>
      <c r="VU30" s="24"/>
      <c r="VV30" s="24"/>
      <c r="VW30" s="24"/>
      <c r="VX30" s="24"/>
      <c r="VY30" s="24"/>
      <c r="VZ30" s="24"/>
      <c r="WA30" s="24"/>
      <c r="WB30" s="24"/>
      <c r="WC30" s="24"/>
      <c r="WD30" s="24"/>
      <c r="WE30" s="24"/>
      <c r="WF30" s="24"/>
      <c r="WG30" s="24"/>
      <c r="WH30" s="24"/>
      <c r="WI30" s="24"/>
      <c r="WJ30" s="24"/>
      <c r="WK30" s="24"/>
      <c r="WL30" s="24"/>
      <c r="WM30" s="24"/>
      <c r="WN30" s="24"/>
      <c r="WO30" s="24"/>
      <c r="WP30" s="24"/>
      <c r="WQ30" s="24"/>
      <c r="WR30" s="24"/>
      <c r="WS30" s="24"/>
      <c r="WT30" s="24"/>
      <c r="WU30" s="24"/>
      <c r="WV30" s="24"/>
      <c r="WW30" s="24"/>
      <c r="WX30" s="24"/>
      <c r="WY30" s="24"/>
      <c r="WZ30" s="24"/>
      <c r="XA30" s="24"/>
      <c r="XB30" s="24"/>
      <c r="XC30" s="24"/>
      <c r="XD30" s="24"/>
      <c r="XE30" s="24"/>
      <c r="XF30" s="24"/>
      <c r="XG30" s="24"/>
      <c r="XH30" s="24"/>
      <c r="XI30" s="24">
        <f t="shared" si="118"/>
        <v>0</v>
      </c>
      <c r="XJ30" s="24">
        <f t="shared" si="119"/>
        <v>0</v>
      </c>
      <c r="XK30" s="24"/>
      <c r="XL30" s="24"/>
      <c r="XM30" s="24"/>
      <c r="XN30" s="24"/>
      <c r="XO30" s="24"/>
      <c r="XP30" s="24"/>
      <c r="XQ30" s="24"/>
      <c r="XR30" s="24"/>
      <c r="XS30" s="24"/>
      <c r="XT30" s="24"/>
      <c r="XU30" s="24"/>
      <c r="XV30" s="24"/>
      <c r="XW30" s="24"/>
      <c r="XX30" s="24"/>
      <c r="XY30" s="24"/>
      <c r="XZ30" s="24"/>
      <c r="YA30" s="24"/>
      <c r="YB30" s="24"/>
      <c r="YC30" s="24"/>
      <c r="YD30" s="24"/>
      <c r="YE30" s="24"/>
      <c r="YF30" s="24"/>
      <c r="YG30" s="24"/>
      <c r="YH30" s="24"/>
      <c r="YI30" s="24"/>
      <c r="YJ30" s="24"/>
      <c r="YK30" s="24"/>
      <c r="YL30" s="24"/>
      <c r="YM30" s="24"/>
      <c r="YN30" s="24"/>
      <c r="YO30" s="24"/>
      <c r="YP30" s="24"/>
      <c r="YQ30" s="24"/>
      <c r="YR30" s="24"/>
      <c r="YS30" s="24"/>
      <c r="YT30" s="24"/>
      <c r="YU30" s="24"/>
      <c r="YV30" s="24"/>
      <c r="YW30" s="24"/>
      <c r="YX30" s="24"/>
      <c r="YY30" s="24"/>
      <c r="YZ30" s="24"/>
      <c r="ZA30" s="24"/>
      <c r="ZB30" s="24"/>
      <c r="ZC30" s="24"/>
      <c r="ZD30" s="24"/>
      <c r="ZE30" s="24"/>
      <c r="ZF30" s="24"/>
      <c r="ZG30" s="24"/>
      <c r="ZH30" s="24"/>
      <c r="ZI30" s="24"/>
      <c r="ZJ30" s="24"/>
      <c r="ZK30" s="24"/>
      <c r="ZL30" s="24"/>
      <c r="ZM30" s="24"/>
      <c r="ZN30" s="24"/>
      <c r="ZO30" s="24"/>
      <c r="ZP30" s="24"/>
      <c r="ZQ30" s="24"/>
      <c r="ZR30" s="24"/>
      <c r="ZS30" s="24">
        <f t="shared" si="120"/>
        <v>0</v>
      </c>
      <c r="ZT30" s="24">
        <f t="shared" si="121"/>
        <v>0</v>
      </c>
      <c r="ZU30" s="24"/>
      <c r="ZV30" s="24"/>
      <c r="ZW30" s="24"/>
      <c r="ZX30" s="24"/>
      <c r="ZY30" s="24"/>
      <c r="ZZ30" s="24"/>
      <c r="AAA30" s="24"/>
      <c r="AAB30" s="24"/>
      <c r="AAC30" s="24"/>
      <c r="AAD30" s="24"/>
      <c r="AAE30" s="24"/>
      <c r="AAF30" s="24"/>
      <c r="AAG30" s="24"/>
      <c r="AAH30" s="24"/>
      <c r="AAI30" s="24"/>
      <c r="AAJ30" s="24"/>
      <c r="AAK30" s="24"/>
      <c r="AAL30" s="24"/>
      <c r="AAM30" s="24"/>
      <c r="AAN30" s="24"/>
      <c r="AAO30" s="24"/>
      <c r="AAP30" s="24"/>
      <c r="AAQ30" s="24"/>
      <c r="AAR30" s="24"/>
      <c r="AAS30" s="24"/>
      <c r="AAT30" s="24"/>
      <c r="AAU30" s="24"/>
      <c r="AAV30" s="24"/>
      <c r="AAW30" s="24"/>
      <c r="AAX30" s="24"/>
      <c r="AAY30" s="24"/>
      <c r="AAZ30" s="24"/>
      <c r="ABA30" s="24"/>
      <c r="ABB30" s="24"/>
      <c r="ABC30" s="24"/>
      <c r="ABD30" s="24"/>
      <c r="ABE30" s="24"/>
      <c r="ABF30" s="24"/>
      <c r="ABG30" s="24"/>
      <c r="ABH30" s="24"/>
      <c r="ABI30" s="24"/>
      <c r="ABJ30" s="24"/>
      <c r="ABK30" s="24"/>
      <c r="ABL30" s="24"/>
      <c r="ABM30" s="24"/>
      <c r="ABN30" s="24"/>
      <c r="ABO30" s="24"/>
      <c r="ABP30" s="24"/>
      <c r="ABQ30" s="24"/>
      <c r="ABR30" s="24"/>
      <c r="ABS30" s="24"/>
      <c r="ABT30" s="24"/>
      <c r="ABU30" s="24"/>
      <c r="ABV30" s="24"/>
      <c r="ABW30" s="24"/>
      <c r="ABX30" s="24"/>
      <c r="ABY30" s="24"/>
      <c r="ABZ30" s="24"/>
      <c r="ACA30" s="24"/>
      <c r="ACB30" s="24"/>
      <c r="ACC30" s="24"/>
      <c r="ACD30" s="24"/>
      <c r="ACE30" s="24">
        <f t="shared" si="122"/>
        <v>0</v>
      </c>
      <c r="ACF30" s="24"/>
      <c r="ACG30" s="24">
        <f t="shared" si="123"/>
        <v>29791.129999999997</v>
      </c>
      <c r="ACH30" s="25"/>
      <c r="ACI30" s="71" t="s">
        <v>142</v>
      </c>
      <c r="ACJ30" s="71" t="s">
        <v>88</v>
      </c>
    </row>
    <row r="31" spans="1:764" x14ac:dyDescent="0.25">
      <c r="A31" s="174"/>
      <c r="B31" s="152"/>
      <c r="C31" s="155"/>
      <c r="D31" s="50" t="s">
        <v>7</v>
      </c>
      <c r="E31" s="74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24" cm="1">
        <f t="array" ref="BO31">SUMPRODUCT(E31:BM31,--(E$2:BM$2=BO$2))</f>
        <v>0</v>
      </c>
      <c r="BP31" s="24" cm="1">
        <f t="array" ref="BP31">SUMPRODUCT(F31:BN31,--(F$2:BN$2=BP$2))</f>
        <v>0</v>
      </c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 cm="1">
        <f t="array" ref="DW31">SUMPRODUCT(BQ31:DU31,--(BQ$2:DU$2=DW$2))</f>
        <v>0</v>
      </c>
      <c r="DX31" s="24" cm="1">
        <f t="array" ref="DX31">SUMPRODUCT(BR31:DV31,--(BR$2:DV$2=DX$2))</f>
        <v>0</v>
      </c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24"/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24"/>
      <c r="GG31" s="24"/>
      <c r="GH31" s="24"/>
      <c r="GI31" s="24" cm="1">
        <f t="array" ref="GI31">SUMPRODUCT(DY31:GG31,--(DY$2:GG$2=GI$2))</f>
        <v>0</v>
      </c>
      <c r="GJ31" s="24" cm="1">
        <f t="array" ref="GJ31">SUMPRODUCT(DZ31:GH31,--(DZ$2:GH$2=GJ$2))</f>
        <v>0</v>
      </c>
      <c r="GK31" s="24"/>
      <c r="GL31" s="24"/>
      <c r="GM31" s="24"/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24"/>
      <c r="HD31" s="24"/>
      <c r="HE31" s="24"/>
      <c r="HF31" s="24"/>
      <c r="HG31" s="24"/>
      <c r="HH31" s="24"/>
      <c r="HI31" s="24"/>
      <c r="HJ31" s="24"/>
      <c r="HK31" s="24"/>
      <c r="HL31" s="24"/>
      <c r="HM31" s="24"/>
      <c r="HN31" s="24"/>
      <c r="HO31" s="24"/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>
        <f t="shared" si="106"/>
        <v>0</v>
      </c>
      <c r="IT31" s="24">
        <f t="shared" si="107"/>
        <v>0</v>
      </c>
      <c r="IU31" s="24"/>
      <c r="IV31" s="24"/>
      <c r="IW31" s="24"/>
      <c r="IX31" s="24"/>
      <c r="IY31" s="24"/>
      <c r="IZ31" s="24"/>
      <c r="JA31" s="24"/>
      <c r="JB31" s="24"/>
      <c r="JC31" s="24"/>
      <c r="JD31" s="24"/>
      <c r="JE31" s="24"/>
      <c r="JF31" s="24"/>
      <c r="JG31" s="24"/>
      <c r="JH31" s="24"/>
      <c r="JI31" s="24"/>
      <c r="JJ31" s="24"/>
      <c r="JK31" s="24"/>
      <c r="JL31" s="24"/>
      <c r="JM31" s="24"/>
      <c r="JN31" s="24"/>
      <c r="JO31" s="24"/>
      <c r="JP31" s="24"/>
      <c r="JQ31" s="24"/>
      <c r="JR31" s="24"/>
      <c r="JS31" s="24"/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24"/>
      <c r="KO31" s="24"/>
      <c r="KP31" s="24"/>
      <c r="KQ31" s="24"/>
      <c r="KR31" s="24"/>
      <c r="KS31" s="24"/>
      <c r="KT31" s="24"/>
      <c r="KU31" s="24"/>
      <c r="KV31" s="24"/>
      <c r="KW31" s="24"/>
      <c r="KX31" s="24"/>
      <c r="KY31" s="24"/>
      <c r="KZ31" s="24"/>
      <c r="LA31" s="24"/>
      <c r="LB31" s="24"/>
      <c r="LC31" s="24"/>
      <c r="LD31" s="24"/>
      <c r="LE31" s="24">
        <f t="shared" si="108"/>
        <v>0</v>
      </c>
      <c r="LF31" s="24">
        <f t="shared" si="109"/>
        <v>0</v>
      </c>
      <c r="LG31" s="24"/>
      <c r="LH31" s="24"/>
      <c r="LI31" s="24"/>
      <c r="LJ31" s="24"/>
      <c r="LK31" s="24"/>
      <c r="LL31" s="24"/>
      <c r="LM31" s="24"/>
      <c r="LN31" s="24"/>
      <c r="LO31" s="24"/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24"/>
      <c r="MS31" s="24"/>
      <c r="MT31" s="24"/>
      <c r="MU31" s="24"/>
      <c r="MV31" s="24"/>
      <c r="MW31" s="24"/>
      <c r="MX31" s="24"/>
      <c r="MY31" s="24"/>
      <c r="MZ31" s="24"/>
      <c r="NA31" s="24"/>
      <c r="NB31" s="24"/>
      <c r="NC31" s="24"/>
      <c r="ND31" s="24"/>
      <c r="NE31" s="24"/>
      <c r="NF31" s="24"/>
      <c r="NG31" s="24"/>
      <c r="NH31" s="24"/>
      <c r="NI31" s="24"/>
      <c r="NJ31" s="24"/>
      <c r="NK31" s="24"/>
      <c r="NL31" s="24"/>
      <c r="NM31" s="24"/>
      <c r="NN31" s="24"/>
      <c r="NO31" s="24">
        <f t="shared" si="110"/>
        <v>0</v>
      </c>
      <c r="NP31" s="24">
        <f t="shared" si="111"/>
        <v>0</v>
      </c>
      <c r="NQ31" s="24"/>
      <c r="NR31" s="24"/>
      <c r="NS31" s="24"/>
      <c r="NT31" s="24"/>
      <c r="NU31" s="24"/>
      <c r="NV31" s="24"/>
      <c r="NW31" s="24"/>
      <c r="NX31" s="24"/>
      <c r="NY31" s="24"/>
      <c r="NZ31" s="24"/>
      <c r="OA31" s="24"/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24"/>
      <c r="OW31" s="24"/>
      <c r="OX31" s="24"/>
      <c r="OY31" s="24"/>
      <c r="OZ31" s="24"/>
      <c r="PA31" s="24"/>
      <c r="PB31" s="24"/>
      <c r="PC31" s="24"/>
      <c r="PD31" s="24"/>
      <c r="PE31" s="24"/>
      <c r="PF31" s="24"/>
      <c r="PG31" s="24"/>
      <c r="PH31" s="24"/>
      <c r="PI31" s="24"/>
      <c r="PJ31" s="24"/>
      <c r="PK31" s="24"/>
      <c r="PL31" s="24"/>
      <c r="PM31" s="24"/>
      <c r="PN31" s="24"/>
      <c r="PO31" s="24"/>
      <c r="PP31" s="24"/>
      <c r="PQ31" s="24"/>
      <c r="PR31" s="24"/>
      <c r="PS31" s="24"/>
      <c r="PT31" s="24"/>
      <c r="PU31" s="24"/>
      <c r="PV31" s="24"/>
      <c r="PW31" s="24"/>
      <c r="PX31" s="24"/>
      <c r="PY31" s="24"/>
      <c r="PZ31" s="24"/>
      <c r="QA31" s="24">
        <f t="shared" si="112"/>
        <v>0</v>
      </c>
      <c r="QB31" s="24">
        <f t="shared" si="113"/>
        <v>0</v>
      </c>
      <c r="QC31" s="24"/>
      <c r="QD31" s="24"/>
      <c r="QE31" s="24"/>
      <c r="QF31" s="24"/>
      <c r="QG31" s="24"/>
      <c r="QH31" s="24"/>
      <c r="QI31" s="24"/>
      <c r="QJ31" s="24"/>
      <c r="QK31" s="24"/>
      <c r="QL31" s="24"/>
      <c r="QM31" s="24"/>
      <c r="QN31" s="24"/>
      <c r="QO31" s="24"/>
      <c r="QP31" s="24"/>
      <c r="QQ31" s="24"/>
      <c r="QR31" s="24"/>
      <c r="QS31" s="24"/>
      <c r="QT31" s="24"/>
      <c r="QU31" s="24"/>
      <c r="QV31" s="24"/>
      <c r="QW31" s="24"/>
      <c r="QX31" s="24"/>
      <c r="QY31" s="24"/>
      <c r="QZ31" s="24"/>
      <c r="RA31" s="24"/>
      <c r="RB31" s="24"/>
      <c r="RC31" s="24"/>
      <c r="RD31" s="24"/>
      <c r="RE31" s="24"/>
      <c r="RF31" s="24"/>
      <c r="RG31" s="24"/>
      <c r="RH31" s="24"/>
      <c r="RI31" s="24"/>
      <c r="RJ31" s="24"/>
      <c r="RK31" s="24"/>
      <c r="RL31" s="24"/>
      <c r="RM31" s="24"/>
      <c r="RN31" s="24"/>
      <c r="RO31" s="24"/>
      <c r="RP31" s="24"/>
      <c r="RQ31" s="24"/>
      <c r="RR31" s="24"/>
      <c r="RS31" s="24"/>
      <c r="RT31" s="24"/>
      <c r="RU31" s="24"/>
      <c r="RV31" s="24"/>
      <c r="RW31" s="24"/>
      <c r="RX31" s="24"/>
      <c r="RY31" s="24"/>
      <c r="RZ31" s="24"/>
      <c r="SA31" s="24"/>
      <c r="SB31" s="24"/>
      <c r="SC31" s="24"/>
      <c r="SD31" s="24"/>
      <c r="SE31" s="24"/>
      <c r="SF31" s="24"/>
      <c r="SG31" s="24"/>
      <c r="SH31" s="24"/>
      <c r="SI31" s="24"/>
      <c r="SJ31" s="24"/>
      <c r="SK31" s="24"/>
      <c r="SL31" s="24"/>
      <c r="SM31" s="24">
        <f t="shared" si="114"/>
        <v>0</v>
      </c>
      <c r="SN31" s="24">
        <f t="shared" si="115"/>
        <v>0</v>
      </c>
      <c r="SO31" s="24"/>
      <c r="SP31" s="24"/>
      <c r="SQ31" s="24"/>
      <c r="SR31" s="24"/>
      <c r="SS31" s="24"/>
      <c r="ST31" s="24"/>
      <c r="SU31" s="24"/>
      <c r="SV31" s="24"/>
      <c r="SW31" s="24"/>
      <c r="SX31" s="24"/>
      <c r="SY31" s="24"/>
      <c r="SZ31" s="24"/>
      <c r="TA31" s="24"/>
      <c r="TB31" s="24"/>
      <c r="TC31" s="24"/>
      <c r="TD31" s="24"/>
      <c r="TE31" s="24"/>
      <c r="TF31" s="24"/>
      <c r="TG31" s="24"/>
      <c r="TH31" s="24"/>
      <c r="TI31" s="24"/>
      <c r="TJ31" s="24"/>
      <c r="TK31" s="24"/>
      <c r="TL31" s="24"/>
      <c r="TM31" s="24"/>
      <c r="TN31" s="24"/>
      <c r="TO31" s="24"/>
      <c r="TP31" s="24"/>
      <c r="TQ31" s="24"/>
      <c r="TR31" s="24"/>
      <c r="TS31" s="24"/>
      <c r="TT31" s="24"/>
      <c r="TU31" s="24"/>
      <c r="TV31" s="24"/>
      <c r="TW31" s="24"/>
      <c r="TX31" s="24"/>
      <c r="TY31" s="24"/>
      <c r="TZ31" s="24"/>
      <c r="UA31" s="24"/>
      <c r="UB31" s="24"/>
      <c r="UC31" s="24"/>
      <c r="UD31" s="24"/>
      <c r="UE31" s="24"/>
      <c r="UF31" s="24"/>
      <c r="UG31" s="24"/>
      <c r="UH31" s="24"/>
      <c r="UI31" s="24"/>
      <c r="UJ31" s="24"/>
      <c r="UK31" s="24"/>
      <c r="UL31" s="24"/>
      <c r="UM31" s="24"/>
      <c r="UN31" s="24"/>
      <c r="UO31" s="24"/>
      <c r="UP31" s="24"/>
      <c r="UQ31" s="24"/>
      <c r="UR31" s="24"/>
      <c r="US31" s="24"/>
      <c r="UT31" s="24"/>
      <c r="UU31" s="24"/>
      <c r="UV31" s="24"/>
      <c r="UW31" s="24">
        <f t="shared" si="116"/>
        <v>0</v>
      </c>
      <c r="UX31" s="24">
        <f t="shared" si="117"/>
        <v>0</v>
      </c>
      <c r="UY31" s="24"/>
      <c r="UZ31" s="24"/>
      <c r="VA31" s="24"/>
      <c r="VB31" s="24"/>
      <c r="VC31" s="24"/>
      <c r="VD31" s="24"/>
      <c r="VE31" s="24"/>
      <c r="VF31" s="24"/>
      <c r="VG31" s="24"/>
      <c r="VH31" s="24"/>
      <c r="VI31" s="24"/>
      <c r="VJ31" s="24"/>
      <c r="VK31" s="24"/>
      <c r="VL31" s="24"/>
      <c r="VM31" s="24"/>
      <c r="VN31" s="24"/>
      <c r="VO31" s="24"/>
      <c r="VP31" s="24"/>
      <c r="VQ31" s="24"/>
      <c r="VR31" s="24"/>
      <c r="VS31" s="24"/>
      <c r="VT31" s="24"/>
      <c r="VU31" s="24"/>
      <c r="VV31" s="24"/>
      <c r="VW31" s="24"/>
      <c r="VX31" s="24"/>
      <c r="VY31" s="24"/>
      <c r="VZ31" s="24"/>
      <c r="WA31" s="24"/>
      <c r="WB31" s="24"/>
      <c r="WC31" s="24"/>
      <c r="WD31" s="24"/>
      <c r="WE31" s="24"/>
      <c r="WF31" s="24"/>
      <c r="WG31" s="24"/>
      <c r="WH31" s="24"/>
      <c r="WI31" s="24"/>
      <c r="WJ31" s="24"/>
      <c r="WK31" s="24"/>
      <c r="WL31" s="24"/>
      <c r="WM31" s="24"/>
      <c r="WN31" s="24"/>
      <c r="WO31" s="24"/>
      <c r="WP31" s="24"/>
      <c r="WQ31" s="24"/>
      <c r="WR31" s="24"/>
      <c r="WS31" s="24"/>
      <c r="WT31" s="24"/>
      <c r="WU31" s="24"/>
      <c r="WV31" s="24"/>
      <c r="WW31" s="24"/>
      <c r="WX31" s="24"/>
      <c r="WY31" s="24"/>
      <c r="WZ31" s="24"/>
      <c r="XA31" s="24"/>
      <c r="XB31" s="24"/>
      <c r="XC31" s="24"/>
      <c r="XD31" s="24"/>
      <c r="XE31" s="24"/>
      <c r="XF31" s="24"/>
      <c r="XG31" s="24"/>
      <c r="XH31" s="24"/>
      <c r="XI31" s="24">
        <f t="shared" si="118"/>
        <v>0</v>
      </c>
      <c r="XJ31" s="24">
        <f t="shared" si="119"/>
        <v>0</v>
      </c>
      <c r="XK31" s="24"/>
      <c r="XL31" s="24"/>
      <c r="XM31" s="24"/>
      <c r="XN31" s="24"/>
      <c r="XO31" s="24"/>
      <c r="XP31" s="24"/>
      <c r="XQ31" s="24"/>
      <c r="XR31" s="24"/>
      <c r="XS31" s="24"/>
      <c r="XT31" s="24"/>
      <c r="XU31" s="24"/>
      <c r="XV31" s="24"/>
      <c r="XW31" s="24"/>
      <c r="XX31" s="24"/>
      <c r="XY31" s="24"/>
      <c r="XZ31" s="24"/>
      <c r="YA31" s="24"/>
      <c r="YB31" s="24"/>
      <c r="YC31" s="24"/>
      <c r="YD31" s="24"/>
      <c r="YE31" s="24"/>
      <c r="YF31" s="24"/>
      <c r="YG31" s="24"/>
      <c r="YH31" s="24"/>
      <c r="YI31" s="24"/>
      <c r="YJ31" s="24"/>
      <c r="YK31" s="24"/>
      <c r="YL31" s="24"/>
      <c r="YM31" s="24"/>
      <c r="YN31" s="24"/>
      <c r="YO31" s="24"/>
      <c r="YP31" s="24"/>
      <c r="YQ31" s="24"/>
      <c r="YR31" s="24"/>
      <c r="YS31" s="24"/>
      <c r="YT31" s="24"/>
      <c r="YU31" s="24"/>
      <c r="YV31" s="24"/>
      <c r="YW31" s="24"/>
      <c r="YX31" s="24"/>
      <c r="YY31" s="24"/>
      <c r="YZ31" s="24"/>
      <c r="ZA31" s="24"/>
      <c r="ZB31" s="24"/>
      <c r="ZC31" s="24"/>
      <c r="ZD31" s="24"/>
      <c r="ZE31" s="24"/>
      <c r="ZF31" s="24"/>
      <c r="ZG31" s="24"/>
      <c r="ZH31" s="24"/>
      <c r="ZI31" s="24"/>
      <c r="ZJ31" s="24"/>
      <c r="ZK31" s="24"/>
      <c r="ZL31" s="24"/>
      <c r="ZM31" s="24"/>
      <c r="ZN31" s="24"/>
      <c r="ZO31" s="24"/>
      <c r="ZP31" s="24"/>
      <c r="ZQ31" s="24"/>
      <c r="ZR31" s="24"/>
      <c r="ZS31" s="24">
        <f t="shared" si="120"/>
        <v>0</v>
      </c>
      <c r="ZT31" s="24">
        <f t="shared" si="121"/>
        <v>0</v>
      </c>
      <c r="ZU31" s="24"/>
      <c r="ZV31" s="24"/>
      <c r="ZW31" s="24"/>
      <c r="ZX31" s="24"/>
      <c r="ZY31" s="24"/>
      <c r="ZZ31" s="24"/>
      <c r="AAA31" s="24"/>
      <c r="AAB31" s="24"/>
      <c r="AAC31" s="24"/>
      <c r="AAD31" s="24"/>
      <c r="AAE31" s="24"/>
      <c r="AAF31" s="24"/>
      <c r="AAG31" s="24"/>
      <c r="AAH31" s="24"/>
      <c r="AAI31" s="24"/>
      <c r="AAJ31" s="24"/>
      <c r="AAK31" s="24"/>
      <c r="AAL31" s="24"/>
      <c r="AAM31" s="24"/>
      <c r="AAN31" s="24"/>
      <c r="AAO31" s="24"/>
      <c r="AAP31" s="24"/>
      <c r="AAQ31" s="24"/>
      <c r="AAR31" s="24"/>
      <c r="AAS31" s="24"/>
      <c r="AAT31" s="24"/>
      <c r="AAU31" s="24"/>
      <c r="AAV31" s="24"/>
      <c r="AAW31" s="24"/>
      <c r="AAX31" s="24"/>
      <c r="AAY31" s="24"/>
      <c r="AAZ31" s="24"/>
      <c r="ABA31" s="24"/>
      <c r="ABB31" s="24"/>
      <c r="ABC31" s="24"/>
      <c r="ABD31" s="24"/>
      <c r="ABE31" s="24"/>
      <c r="ABF31" s="24"/>
      <c r="ABG31" s="24"/>
      <c r="ABH31" s="24"/>
      <c r="ABI31" s="24"/>
      <c r="ABJ31" s="24"/>
      <c r="ABK31" s="24"/>
      <c r="ABL31" s="24"/>
      <c r="ABM31" s="24"/>
      <c r="ABN31" s="24"/>
      <c r="ABO31" s="24"/>
      <c r="ABP31" s="24"/>
      <c r="ABQ31" s="24"/>
      <c r="ABR31" s="24"/>
      <c r="ABS31" s="24"/>
      <c r="ABT31" s="24"/>
      <c r="ABU31" s="24"/>
      <c r="ABV31" s="24"/>
      <c r="ABW31" s="24"/>
      <c r="ABX31" s="24"/>
      <c r="ABY31" s="24"/>
      <c r="ABZ31" s="24"/>
      <c r="ACA31" s="24"/>
      <c r="ACB31" s="24"/>
      <c r="ACC31" s="24"/>
      <c r="ACD31" s="24"/>
      <c r="ACE31" s="24">
        <f t="shared" si="122"/>
        <v>0</v>
      </c>
      <c r="ACF31" s="24"/>
      <c r="ACG31" s="24">
        <f t="shared" si="123"/>
        <v>0</v>
      </c>
      <c r="ACH31" s="25"/>
      <c r="ACI31" s="71" t="s">
        <v>143</v>
      </c>
      <c r="ACJ31" s="71" t="s">
        <v>88</v>
      </c>
    </row>
    <row r="32" spans="1:764" x14ac:dyDescent="0.25">
      <c r="A32" s="174"/>
      <c r="B32" s="152"/>
      <c r="C32" s="155"/>
      <c r="D32" s="50" t="s">
        <v>4</v>
      </c>
      <c r="E32" s="74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>
        <v>26.94</v>
      </c>
      <c r="BB32" s="75">
        <v>27.14</v>
      </c>
      <c r="BC32" s="75">
        <v>87.93</v>
      </c>
      <c r="BD32" s="75">
        <v>88.66</v>
      </c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24" cm="1">
        <f t="array" ref="BO32">SUMPRODUCT(E32:BM32,--(E$2:BM$2=BO$2))</f>
        <v>114.87</v>
      </c>
      <c r="BP32" s="24" cm="1">
        <f t="array" ref="BP32">SUMPRODUCT(F32:BN32,--(F$2:BN$2=BP$2))</f>
        <v>115.8</v>
      </c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 cm="1">
        <f t="array" ref="DW32">SUMPRODUCT(BQ32:DU32,--(BQ$2:DU$2=DW$2))</f>
        <v>0</v>
      </c>
      <c r="DX32" s="24" cm="1">
        <f t="array" ref="DX32">SUMPRODUCT(BR32:DV32,--(BR$2:DV$2=DX$2))</f>
        <v>0</v>
      </c>
      <c r="DY32" s="24">
        <v>231.10000000000002</v>
      </c>
      <c r="DZ32" s="24">
        <v>234.54</v>
      </c>
      <c r="EA32" s="24">
        <v>283.95999999999998</v>
      </c>
      <c r="EB32" s="24">
        <v>281.14999999999998</v>
      </c>
      <c r="EC32" s="24">
        <v>230.79000000000002</v>
      </c>
      <c r="ED32" s="24">
        <v>232.23999999999998</v>
      </c>
      <c r="EE32" s="24">
        <v>269.84000000000003</v>
      </c>
      <c r="EF32" s="24">
        <v>267.06</v>
      </c>
      <c r="EG32" s="24">
        <v>140.39000000000001</v>
      </c>
      <c r="EH32" s="24">
        <v>140.42000000000002</v>
      </c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24"/>
      <c r="FP32" s="24"/>
      <c r="FQ32" s="24"/>
      <c r="FR32" s="24"/>
      <c r="FS32" s="24"/>
      <c r="FT32" s="24"/>
      <c r="FU32" s="24"/>
      <c r="FV32" s="24"/>
      <c r="FW32" s="24"/>
      <c r="FX32" s="24"/>
      <c r="FY32" s="24"/>
      <c r="FZ32" s="24"/>
      <c r="GA32" s="24"/>
      <c r="GB32" s="24"/>
      <c r="GC32" s="24"/>
      <c r="GD32" s="24"/>
      <c r="GE32" s="24"/>
      <c r="GF32" s="24"/>
      <c r="GG32" s="24"/>
      <c r="GH32" s="24"/>
      <c r="GI32" s="24" cm="1">
        <f t="array" ref="GI32">SUMPRODUCT(DY32:GG32,--(DY$2:GG$2=GI$2))</f>
        <v>1156.08</v>
      </c>
      <c r="GJ32" s="24" cm="1">
        <f t="array" ref="GJ32">SUMPRODUCT(DZ32:GH32,--(DZ$2:GH$2=GJ$2))</f>
        <v>1155.4100000000001</v>
      </c>
      <c r="GK32" s="24"/>
      <c r="GL32" s="24"/>
      <c r="GM32" s="24"/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24"/>
      <c r="HD32" s="24"/>
      <c r="HE32" s="24"/>
      <c r="HF32" s="24"/>
      <c r="HG32" s="24"/>
      <c r="HH32" s="24"/>
      <c r="HI32" s="24"/>
      <c r="HJ32" s="24"/>
      <c r="HK32" s="24"/>
      <c r="HL32" s="24"/>
      <c r="HM32" s="24"/>
      <c r="HN32" s="24"/>
      <c r="HO32" s="24"/>
      <c r="HP32" s="24"/>
      <c r="HQ32" s="24"/>
      <c r="HR32" s="24"/>
      <c r="HS32" s="24"/>
      <c r="HT32" s="24"/>
      <c r="HU32" s="24"/>
      <c r="HV32" s="24"/>
      <c r="HW32" s="24"/>
      <c r="HX32" s="24"/>
      <c r="HY32" s="24"/>
      <c r="HZ32" s="24"/>
      <c r="IA32" s="24"/>
      <c r="IB32" s="24"/>
      <c r="IC32" s="24"/>
      <c r="ID32" s="24"/>
      <c r="IE32" s="24"/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>
        <f t="shared" si="106"/>
        <v>0</v>
      </c>
      <c r="IT32" s="24">
        <f t="shared" si="107"/>
        <v>0</v>
      </c>
      <c r="IU32" s="24"/>
      <c r="IV32" s="24"/>
      <c r="IW32" s="24"/>
      <c r="IX32" s="24"/>
      <c r="IY32" s="24"/>
      <c r="IZ32" s="24"/>
      <c r="JA32" s="24"/>
      <c r="JB32" s="24"/>
      <c r="JC32" s="24"/>
      <c r="JD32" s="24"/>
      <c r="JE32" s="24"/>
      <c r="JF32" s="24"/>
      <c r="JG32" s="24"/>
      <c r="JH32" s="24"/>
      <c r="JI32" s="24"/>
      <c r="JJ32" s="24"/>
      <c r="JK32" s="24"/>
      <c r="JL32" s="24"/>
      <c r="JM32" s="24"/>
      <c r="JN32" s="24"/>
      <c r="JO32" s="24"/>
      <c r="JP32" s="24"/>
      <c r="JQ32" s="24"/>
      <c r="JR32" s="24"/>
      <c r="JS32" s="24"/>
      <c r="JT32" s="24"/>
      <c r="JU32" s="24"/>
      <c r="JV32" s="24"/>
      <c r="JW32" s="24"/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24"/>
      <c r="KN32" s="24"/>
      <c r="KO32" s="24"/>
      <c r="KP32" s="24"/>
      <c r="KQ32" s="24"/>
      <c r="KR32" s="24"/>
      <c r="KS32" s="24"/>
      <c r="KT32" s="24"/>
      <c r="KU32" s="24"/>
      <c r="KV32" s="24"/>
      <c r="KW32" s="24"/>
      <c r="KX32" s="24"/>
      <c r="KY32" s="24"/>
      <c r="KZ32" s="24"/>
      <c r="LA32" s="24"/>
      <c r="LB32" s="24"/>
      <c r="LC32" s="24"/>
      <c r="LD32" s="24"/>
      <c r="LE32" s="24">
        <f t="shared" si="108"/>
        <v>0</v>
      </c>
      <c r="LF32" s="24">
        <f t="shared" si="109"/>
        <v>0</v>
      </c>
      <c r="LG32" s="24"/>
      <c r="LH32" s="24"/>
      <c r="LI32" s="24"/>
      <c r="LJ32" s="24"/>
      <c r="LK32" s="24"/>
      <c r="LL32" s="24"/>
      <c r="LM32" s="24"/>
      <c r="LN32" s="24"/>
      <c r="LO32" s="24"/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24"/>
      <c r="MF32" s="24"/>
      <c r="MG32" s="24"/>
      <c r="MH32" s="24"/>
      <c r="MI32" s="24"/>
      <c r="MJ32" s="24"/>
      <c r="MK32" s="24"/>
      <c r="ML32" s="24"/>
      <c r="MM32" s="24"/>
      <c r="MN32" s="24"/>
      <c r="MO32" s="24"/>
      <c r="MP32" s="24"/>
      <c r="MQ32" s="24"/>
      <c r="MR32" s="24"/>
      <c r="MS32" s="24"/>
      <c r="MT32" s="24"/>
      <c r="MU32" s="24"/>
      <c r="MV32" s="24"/>
      <c r="MW32" s="24"/>
      <c r="MX32" s="24"/>
      <c r="MY32" s="24"/>
      <c r="MZ32" s="24"/>
      <c r="NA32" s="24"/>
      <c r="NB32" s="24"/>
      <c r="NC32" s="24"/>
      <c r="ND32" s="24"/>
      <c r="NE32" s="24"/>
      <c r="NF32" s="24"/>
      <c r="NG32" s="24"/>
      <c r="NH32" s="24"/>
      <c r="NI32" s="24"/>
      <c r="NJ32" s="24"/>
      <c r="NK32" s="24"/>
      <c r="NL32" s="24"/>
      <c r="NM32" s="24"/>
      <c r="NN32" s="24"/>
      <c r="NO32" s="24">
        <f t="shared" si="110"/>
        <v>0</v>
      </c>
      <c r="NP32" s="24">
        <f t="shared" si="111"/>
        <v>0</v>
      </c>
      <c r="NQ32" s="24"/>
      <c r="NR32" s="24"/>
      <c r="NS32" s="24"/>
      <c r="NT32" s="24"/>
      <c r="NU32" s="24"/>
      <c r="NV32" s="24"/>
      <c r="NW32" s="24"/>
      <c r="NX32" s="24"/>
      <c r="NY32" s="24"/>
      <c r="NZ32" s="24"/>
      <c r="OA32" s="24"/>
      <c r="OB32" s="24"/>
      <c r="OC32" s="24"/>
      <c r="OD32" s="24"/>
      <c r="OE32" s="24"/>
      <c r="OF32" s="24"/>
      <c r="OG32" s="24"/>
      <c r="OH32" s="24"/>
      <c r="OI32" s="24"/>
      <c r="OJ32" s="24"/>
      <c r="OK32" s="24"/>
      <c r="OL32" s="24"/>
      <c r="OM32" s="24"/>
      <c r="ON32" s="24"/>
      <c r="OO32" s="24"/>
      <c r="OP32" s="24"/>
      <c r="OQ32" s="24"/>
      <c r="OR32" s="24"/>
      <c r="OS32" s="24"/>
      <c r="OT32" s="24"/>
      <c r="OU32" s="24"/>
      <c r="OV32" s="24"/>
      <c r="OW32" s="24"/>
      <c r="OX32" s="24"/>
      <c r="OY32" s="24"/>
      <c r="OZ32" s="24"/>
      <c r="PA32" s="24"/>
      <c r="PB32" s="24"/>
      <c r="PC32" s="24"/>
      <c r="PD32" s="24"/>
      <c r="PE32" s="24"/>
      <c r="PF32" s="24"/>
      <c r="PG32" s="24"/>
      <c r="PH32" s="24"/>
      <c r="PI32" s="24"/>
      <c r="PJ32" s="24"/>
      <c r="PK32" s="24"/>
      <c r="PL32" s="24"/>
      <c r="PM32" s="24"/>
      <c r="PN32" s="24"/>
      <c r="PO32" s="24"/>
      <c r="PP32" s="24"/>
      <c r="PQ32" s="24"/>
      <c r="PR32" s="24"/>
      <c r="PS32" s="24"/>
      <c r="PT32" s="24"/>
      <c r="PU32" s="24"/>
      <c r="PV32" s="24"/>
      <c r="PW32" s="24"/>
      <c r="PX32" s="24"/>
      <c r="PY32" s="24"/>
      <c r="PZ32" s="24"/>
      <c r="QA32" s="24">
        <f t="shared" si="112"/>
        <v>0</v>
      </c>
      <c r="QB32" s="24">
        <f t="shared" si="113"/>
        <v>0</v>
      </c>
      <c r="QC32" s="24"/>
      <c r="QD32" s="24"/>
      <c r="QE32" s="24"/>
      <c r="QF32" s="24"/>
      <c r="QG32" s="24"/>
      <c r="QH32" s="24"/>
      <c r="QI32" s="24"/>
      <c r="QJ32" s="24"/>
      <c r="QK32" s="24"/>
      <c r="QL32" s="24"/>
      <c r="QM32" s="24"/>
      <c r="QN32" s="24"/>
      <c r="QO32" s="24"/>
      <c r="QP32" s="24"/>
      <c r="QQ32" s="24"/>
      <c r="QR32" s="24"/>
      <c r="QS32" s="24"/>
      <c r="QT32" s="24"/>
      <c r="QU32" s="24"/>
      <c r="QV32" s="24"/>
      <c r="QW32" s="24"/>
      <c r="QX32" s="24"/>
      <c r="QY32" s="24"/>
      <c r="QZ32" s="24"/>
      <c r="RA32" s="24"/>
      <c r="RB32" s="24"/>
      <c r="RC32" s="24"/>
      <c r="RD32" s="24"/>
      <c r="RE32" s="24"/>
      <c r="RF32" s="24"/>
      <c r="RG32" s="24"/>
      <c r="RH32" s="24"/>
      <c r="RI32" s="24"/>
      <c r="RJ32" s="24"/>
      <c r="RK32" s="24"/>
      <c r="RL32" s="24"/>
      <c r="RM32" s="24"/>
      <c r="RN32" s="24"/>
      <c r="RO32" s="24"/>
      <c r="RP32" s="24"/>
      <c r="RQ32" s="24"/>
      <c r="RR32" s="24"/>
      <c r="RS32" s="24"/>
      <c r="RT32" s="24"/>
      <c r="RU32" s="24"/>
      <c r="RV32" s="24"/>
      <c r="RW32" s="24"/>
      <c r="RX32" s="24"/>
      <c r="RY32" s="24"/>
      <c r="RZ32" s="24"/>
      <c r="SA32" s="24"/>
      <c r="SB32" s="24"/>
      <c r="SC32" s="24"/>
      <c r="SD32" s="24"/>
      <c r="SE32" s="24"/>
      <c r="SF32" s="24"/>
      <c r="SG32" s="24"/>
      <c r="SH32" s="24"/>
      <c r="SI32" s="24"/>
      <c r="SJ32" s="24"/>
      <c r="SK32" s="24"/>
      <c r="SL32" s="24"/>
      <c r="SM32" s="24">
        <f t="shared" si="114"/>
        <v>0</v>
      </c>
      <c r="SN32" s="24">
        <f t="shared" si="115"/>
        <v>0</v>
      </c>
      <c r="SO32" s="24"/>
      <c r="SP32" s="24"/>
      <c r="SQ32" s="24"/>
      <c r="SR32" s="24"/>
      <c r="SS32" s="24"/>
      <c r="ST32" s="24"/>
      <c r="SU32" s="24"/>
      <c r="SV32" s="24"/>
      <c r="SW32" s="24"/>
      <c r="SX32" s="24"/>
      <c r="SY32" s="24"/>
      <c r="SZ32" s="24"/>
      <c r="TA32" s="24"/>
      <c r="TB32" s="24"/>
      <c r="TC32" s="24"/>
      <c r="TD32" s="24"/>
      <c r="TE32" s="24"/>
      <c r="TF32" s="24"/>
      <c r="TG32" s="24"/>
      <c r="TH32" s="24"/>
      <c r="TI32" s="24"/>
      <c r="TJ32" s="24"/>
      <c r="TK32" s="24"/>
      <c r="TL32" s="24"/>
      <c r="TM32" s="24"/>
      <c r="TN32" s="24"/>
      <c r="TO32" s="24"/>
      <c r="TP32" s="24"/>
      <c r="TQ32" s="24"/>
      <c r="TR32" s="24"/>
      <c r="TS32" s="24"/>
      <c r="TT32" s="24"/>
      <c r="TU32" s="24"/>
      <c r="TV32" s="24"/>
      <c r="TW32" s="24"/>
      <c r="TX32" s="24"/>
      <c r="TY32" s="24"/>
      <c r="TZ32" s="24"/>
      <c r="UA32" s="24"/>
      <c r="UB32" s="24"/>
      <c r="UC32" s="24"/>
      <c r="UD32" s="24"/>
      <c r="UE32" s="24"/>
      <c r="UF32" s="24"/>
      <c r="UG32" s="24"/>
      <c r="UH32" s="24"/>
      <c r="UI32" s="24"/>
      <c r="UJ32" s="24"/>
      <c r="UK32" s="24"/>
      <c r="UL32" s="24"/>
      <c r="UM32" s="24"/>
      <c r="UN32" s="24"/>
      <c r="UO32" s="24"/>
      <c r="UP32" s="24"/>
      <c r="UQ32" s="24"/>
      <c r="UR32" s="24"/>
      <c r="US32" s="24"/>
      <c r="UT32" s="24"/>
      <c r="UU32" s="24"/>
      <c r="UV32" s="24"/>
      <c r="UW32" s="24">
        <f t="shared" si="116"/>
        <v>0</v>
      </c>
      <c r="UX32" s="24">
        <f t="shared" si="117"/>
        <v>0</v>
      </c>
      <c r="UY32" s="24"/>
      <c r="UZ32" s="24"/>
      <c r="VA32" s="24"/>
      <c r="VB32" s="24"/>
      <c r="VC32" s="24"/>
      <c r="VD32" s="24"/>
      <c r="VE32" s="24"/>
      <c r="VF32" s="24"/>
      <c r="VG32" s="24"/>
      <c r="VH32" s="24"/>
      <c r="VI32" s="24"/>
      <c r="VJ32" s="24"/>
      <c r="VK32" s="24"/>
      <c r="VL32" s="24"/>
      <c r="VM32" s="24"/>
      <c r="VN32" s="24"/>
      <c r="VO32" s="24"/>
      <c r="VP32" s="24"/>
      <c r="VQ32" s="24"/>
      <c r="VR32" s="24"/>
      <c r="VS32" s="24"/>
      <c r="VT32" s="24"/>
      <c r="VU32" s="24"/>
      <c r="VV32" s="24"/>
      <c r="VW32" s="24"/>
      <c r="VX32" s="24"/>
      <c r="VY32" s="24"/>
      <c r="VZ32" s="24"/>
      <c r="WA32" s="24"/>
      <c r="WB32" s="24"/>
      <c r="WC32" s="24"/>
      <c r="WD32" s="24"/>
      <c r="WE32" s="24"/>
      <c r="WF32" s="24"/>
      <c r="WG32" s="24"/>
      <c r="WH32" s="24"/>
      <c r="WI32" s="24"/>
      <c r="WJ32" s="24"/>
      <c r="WK32" s="24"/>
      <c r="WL32" s="24"/>
      <c r="WM32" s="24"/>
      <c r="WN32" s="24"/>
      <c r="WO32" s="24"/>
      <c r="WP32" s="24"/>
      <c r="WQ32" s="24"/>
      <c r="WR32" s="24"/>
      <c r="WS32" s="24"/>
      <c r="WT32" s="24"/>
      <c r="WU32" s="24"/>
      <c r="WV32" s="24"/>
      <c r="WW32" s="24"/>
      <c r="WX32" s="24"/>
      <c r="WY32" s="24"/>
      <c r="WZ32" s="24"/>
      <c r="XA32" s="24"/>
      <c r="XB32" s="24"/>
      <c r="XC32" s="24"/>
      <c r="XD32" s="24"/>
      <c r="XE32" s="24"/>
      <c r="XF32" s="24"/>
      <c r="XG32" s="24"/>
      <c r="XH32" s="24"/>
      <c r="XI32" s="24">
        <f t="shared" si="118"/>
        <v>0</v>
      </c>
      <c r="XJ32" s="24">
        <f t="shared" si="119"/>
        <v>0</v>
      </c>
      <c r="XK32" s="24"/>
      <c r="XL32" s="24"/>
      <c r="XM32" s="24"/>
      <c r="XN32" s="24"/>
      <c r="XO32" s="24"/>
      <c r="XP32" s="24"/>
      <c r="XQ32" s="24"/>
      <c r="XR32" s="24"/>
      <c r="XS32" s="24"/>
      <c r="XT32" s="24"/>
      <c r="XU32" s="24"/>
      <c r="XV32" s="24"/>
      <c r="XW32" s="24"/>
      <c r="XX32" s="24"/>
      <c r="XY32" s="24"/>
      <c r="XZ32" s="24"/>
      <c r="YA32" s="24"/>
      <c r="YB32" s="24"/>
      <c r="YC32" s="24"/>
      <c r="YD32" s="24"/>
      <c r="YE32" s="24"/>
      <c r="YF32" s="24"/>
      <c r="YG32" s="24"/>
      <c r="YH32" s="24"/>
      <c r="YI32" s="24"/>
      <c r="YJ32" s="24"/>
      <c r="YK32" s="24"/>
      <c r="YL32" s="24"/>
      <c r="YM32" s="24"/>
      <c r="YN32" s="24"/>
      <c r="YO32" s="24"/>
      <c r="YP32" s="24"/>
      <c r="YQ32" s="24"/>
      <c r="YR32" s="24"/>
      <c r="YS32" s="24"/>
      <c r="YT32" s="24"/>
      <c r="YU32" s="24"/>
      <c r="YV32" s="24"/>
      <c r="YW32" s="24"/>
      <c r="YX32" s="24"/>
      <c r="YY32" s="24"/>
      <c r="YZ32" s="24"/>
      <c r="ZA32" s="24"/>
      <c r="ZB32" s="24"/>
      <c r="ZC32" s="24"/>
      <c r="ZD32" s="24"/>
      <c r="ZE32" s="24"/>
      <c r="ZF32" s="24"/>
      <c r="ZG32" s="24"/>
      <c r="ZH32" s="24"/>
      <c r="ZI32" s="24"/>
      <c r="ZJ32" s="24"/>
      <c r="ZK32" s="24"/>
      <c r="ZL32" s="24"/>
      <c r="ZM32" s="24"/>
      <c r="ZN32" s="24"/>
      <c r="ZO32" s="24"/>
      <c r="ZP32" s="24"/>
      <c r="ZQ32" s="24"/>
      <c r="ZR32" s="24"/>
      <c r="ZS32" s="24">
        <f t="shared" si="120"/>
        <v>0</v>
      </c>
      <c r="ZT32" s="24">
        <f t="shared" si="121"/>
        <v>0</v>
      </c>
      <c r="ZU32" s="24"/>
      <c r="ZV32" s="24"/>
      <c r="ZW32" s="24"/>
      <c r="ZX32" s="24"/>
      <c r="ZY32" s="24"/>
      <c r="ZZ32" s="24"/>
      <c r="AAA32" s="24"/>
      <c r="AAB32" s="24"/>
      <c r="AAC32" s="24"/>
      <c r="AAD32" s="24"/>
      <c r="AAE32" s="24"/>
      <c r="AAF32" s="24"/>
      <c r="AAG32" s="24"/>
      <c r="AAH32" s="24"/>
      <c r="AAI32" s="24"/>
      <c r="AAJ32" s="24"/>
      <c r="AAK32" s="24"/>
      <c r="AAL32" s="24"/>
      <c r="AAM32" s="24"/>
      <c r="AAN32" s="24"/>
      <c r="AAO32" s="24"/>
      <c r="AAP32" s="24"/>
      <c r="AAQ32" s="24"/>
      <c r="AAR32" s="24"/>
      <c r="AAS32" s="24"/>
      <c r="AAT32" s="24"/>
      <c r="AAU32" s="24"/>
      <c r="AAV32" s="24"/>
      <c r="AAW32" s="24"/>
      <c r="AAX32" s="24"/>
      <c r="AAY32" s="24"/>
      <c r="AAZ32" s="24"/>
      <c r="ABA32" s="24"/>
      <c r="ABB32" s="24"/>
      <c r="ABC32" s="24"/>
      <c r="ABD32" s="24"/>
      <c r="ABE32" s="24"/>
      <c r="ABF32" s="24"/>
      <c r="ABG32" s="24"/>
      <c r="ABH32" s="24"/>
      <c r="ABI32" s="24"/>
      <c r="ABJ32" s="24"/>
      <c r="ABK32" s="24"/>
      <c r="ABL32" s="24"/>
      <c r="ABM32" s="24"/>
      <c r="ABN32" s="24"/>
      <c r="ABO32" s="24"/>
      <c r="ABP32" s="24"/>
      <c r="ABQ32" s="24"/>
      <c r="ABR32" s="24"/>
      <c r="ABS32" s="24"/>
      <c r="ABT32" s="24"/>
      <c r="ABU32" s="24"/>
      <c r="ABV32" s="24"/>
      <c r="ABW32" s="24"/>
      <c r="ABX32" s="24"/>
      <c r="ABY32" s="24"/>
      <c r="ABZ32" s="24"/>
      <c r="ACA32" s="24"/>
      <c r="ACB32" s="24"/>
      <c r="ACC32" s="24"/>
      <c r="ACD32" s="24"/>
      <c r="ACE32" s="24">
        <f t="shared" si="122"/>
        <v>0</v>
      </c>
      <c r="ACF32" s="24"/>
      <c r="ACG32" s="24">
        <f t="shared" si="123"/>
        <v>1270.9499999999998</v>
      </c>
      <c r="ACH32" s="25"/>
      <c r="ACI32" s="71" t="s">
        <v>144</v>
      </c>
      <c r="ACJ32" s="71" t="s">
        <v>88</v>
      </c>
    </row>
    <row r="33" spans="1:764" x14ac:dyDescent="0.25">
      <c r="A33" s="174"/>
      <c r="B33" s="152"/>
      <c r="C33" s="155"/>
      <c r="D33" s="50" t="s">
        <v>8</v>
      </c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24" cm="1">
        <f t="array" ref="BO33">SUMPRODUCT(E33:BM33,--(E$2:BM$2=BO$2))</f>
        <v>0</v>
      </c>
      <c r="BP33" s="24" cm="1">
        <f t="array" ref="BP33">SUMPRODUCT(F33:BN33,--(F$2:BN$2=BP$2))</f>
        <v>0</v>
      </c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 cm="1">
        <f t="array" ref="DW33">SUMPRODUCT(BQ33:DU33,--(BQ$2:DU$2=DW$2))</f>
        <v>0</v>
      </c>
      <c r="DX33" s="24" cm="1">
        <f t="array" ref="DX33">SUMPRODUCT(BR33:DV33,--(BR$2:DV$2=DX$2))</f>
        <v>0</v>
      </c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/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24"/>
      <c r="FL33" s="24"/>
      <c r="FM33" s="24"/>
      <c r="FN33" s="24"/>
      <c r="FO33" s="24"/>
      <c r="FP33" s="24"/>
      <c r="FQ33" s="24"/>
      <c r="FR33" s="24"/>
      <c r="FS33" s="24"/>
      <c r="FT33" s="24"/>
      <c r="FU33" s="24"/>
      <c r="FV33" s="24"/>
      <c r="FW33" s="24"/>
      <c r="FX33" s="24"/>
      <c r="FY33" s="24"/>
      <c r="FZ33" s="24"/>
      <c r="GA33" s="24"/>
      <c r="GB33" s="24"/>
      <c r="GC33" s="24"/>
      <c r="GD33" s="24"/>
      <c r="GE33" s="24"/>
      <c r="GF33" s="24"/>
      <c r="GG33" s="24"/>
      <c r="GH33" s="24"/>
      <c r="GI33" s="24" cm="1">
        <f t="array" ref="GI33">SUMPRODUCT(DY33:GG33,--(DY$2:GG$2=GI$2))</f>
        <v>0</v>
      </c>
      <c r="GJ33" s="24" cm="1">
        <f t="array" ref="GJ33">SUMPRODUCT(DZ33:GH33,--(DZ$2:GH$2=GJ$2))</f>
        <v>0</v>
      </c>
      <c r="GK33" s="24"/>
      <c r="GL33" s="24"/>
      <c r="GM33" s="24"/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24"/>
      <c r="HD33" s="24"/>
      <c r="HE33" s="24"/>
      <c r="HF33" s="24"/>
      <c r="HG33" s="24"/>
      <c r="HH33" s="24"/>
      <c r="HI33" s="24"/>
      <c r="HJ33" s="24"/>
      <c r="HK33" s="24"/>
      <c r="HL33" s="24"/>
      <c r="HM33" s="24"/>
      <c r="HN33" s="24"/>
      <c r="HO33" s="24"/>
      <c r="HP33" s="24"/>
      <c r="HQ33" s="24"/>
      <c r="HR33" s="24"/>
      <c r="HS33" s="24"/>
      <c r="HT33" s="24"/>
      <c r="HU33" s="24"/>
      <c r="HV33" s="24"/>
      <c r="HW33" s="24"/>
      <c r="HX33" s="24"/>
      <c r="HY33" s="24"/>
      <c r="HZ33" s="24"/>
      <c r="IA33" s="24"/>
      <c r="IB33" s="24"/>
      <c r="IC33" s="24"/>
      <c r="ID33" s="24"/>
      <c r="IE33" s="24"/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>
        <f t="shared" si="106"/>
        <v>0</v>
      </c>
      <c r="IT33" s="24">
        <f t="shared" si="107"/>
        <v>0</v>
      </c>
      <c r="IU33" s="24"/>
      <c r="IV33" s="24"/>
      <c r="IW33" s="24"/>
      <c r="IX33" s="24"/>
      <c r="IY33" s="24"/>
      <c r="IZ33" s="24"/>
      <c r="JA33" s="24"/>
      <c r="JB33" s="24"/>
      <c r="JC33" s="24"/>
      <c r="JD33" s="24"/>
      <c r="JE33" s="24"/>
      <c r="JF33" s="24"/>
      <c r="JG33" s="24"/>
      <c r="JH33" s="24"/>
      <c r="JI33" s="24"/>
      <c r="JJ33" s="24"/>
      <c r="JK33" s="24"/>
      <c r="JL33" s="24"/>
      <c r="JM33" s="24"/>
      <c r="JN33" s="24"/>
      <c r="JO33" s="24"/>
      <c r="JP33" s="24"/>
      <c r="JQ33" s="24"/>
      <c r="JR33" s="24"/>
      <c r="JS33" s="24"/>
      <c r="JT33" s="24"/>
      <c r="JU33" s="24"/>
      <c r="JV33" s="24"/>
      <c r="JW33" s="24"/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24"/>
      <c r="KN33" s="24"/>
      <c r="KO33" s="24"/>
      <c r="KP33" s="24"/>
      <c r="KQ33" s="24"/>
      <c r="KR33" s="24"/>
      <c r="KS33" s="24"/>
      <c r="KT33" s="24"/>
      <c r="KU33" s="24"/>
      <c r="KV33" s="24"/>
      <c r="KW33" s="24"/>
      <c r="KX33" s="24"/>
      <c r="KY33" s="24"/>
      <c r="KZ33" s="24"/>
      <c r="LA33" s="24"/>
      <c r="LB33" s="24"/>
      <c r="LC33" s="24"/>
      <c r="LD33" s="24"/>
      <c r="LE33" s="24">
        <f t="shared" si="108"/>
        <v>0</v>
      </c>
      <c r="LF33" s="24">
        <f t="shared" si="109"/>
        <v>0</v>
      </c>
      <c r="LG33" s="24"/>
      <c r="LH33" s="24"/>
      <c r="LI33" s="24"/>
      <c r="LJ33" s="24"/>
      <c r="LK33" s="24"/>
      <c r="LL33" s="24"/>
      <c r="LM33" s="24"/>
      <c r="LN33" s="24"/>
      <c r="LO33" s="24"/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24"/>
      <c r="MF33" s="24"/>
      <c r="MG33" s="24"/>
      <c r="MH33" s="24"/>
      <c r="MI33" s="24"/>
      <c r="MJ33" s="24"/>
      <c r="MK33" s="24"/>
      <c r="ML33" s="24"/>
      <c r="MM33" s="24"/>
      <c r="MN33" s="24"/>
      <c r="MO33" s="24"/>
      <c r="MP33" s="24"/>
      <c r="MQ33" s="24"/>
      <c r="MR33" s="24"/>
      <c r="MS33" s="24"/>
      <c r="MT33" s="24"/>
      <c r="MU33" s="24"/>
      <c r="MV33" s="24"/>
      <c r="MW33" s="24"/>
      <c r="MX33" s="24"/>
      <c r="MY33" s="24"/>
      <c r="MZ33" s="24"/>
      <c r="NA33" s="24"/>
      <c r="NB33" s="24"/>
      <c r="NC33" s="24"/>
      <c r="ND33" s="24"/>
      <c r="NE33" s="24"/>
      <c r="NF33" s="24"/>
      <c r="NG33" s="24"/>
      <c r="NH33" s="24"/>
      <c r="NI33" s="24"/>
      <c r="NJ33" s="24"/>
      <c r="NK33" s="24"/>
      <c r="NL33" s="24"/>
      <c r="NM33" s="24"/>
      <c r="NN33" s="24"/>
      <c r="NO33" s="24">
        <f t="shared" si="110"/>
        <v>0</v>
      </c>
      <c r="NP33" s="24">
        <f t="shared" si="111"/>
        <v>0</v>
      </c>
      <c r="NQ33" s="24"/>
      <c r="NR33" s="24"/>
      <c r="NS33" s="24"/>
      <c r="NT33" s="24"/>
      <c r="NU33" s="24"/>
      <c r="NV33" s="24"/>
      <c r="NW33" s="24"/>
      <c r="NX33" s="24"/>
      <c r="NY33" s="24"/>
      <c r="NZ33" s="24"/>
      <c r="OA33" s="24"/>
      <c r="OB33" s="24"/>
      <c r="OC33" s="24"/>
      <c r="OD33" s="24"/>
      <c r="OE33" s="24"/>
      <c r="OF33" s="24"/>
      <c r="OG33" s="24"/>
      <c r="OH33" s="24"/>
      <c r="OI33" s="24"/>
      <c r="OJ33" s="24"/>
      <c r="OK33" s="24"/>
      <c r="OL33" s="24"/>
      <c r="OM33" s="24"/>
      <c r="ON33" s="24"/>
      <c r="OO33" s="24"/>
      <c r="OP33" s="24"/>
      <c r="OQ33" s="24"/>
      <c r="OR33" s="24"/>
      <c r="OS33" s="24"/>
      <c r="OT33" s="24"/>
      <c r="OU33" s="24"/>
      <c r="OV33" s="24"/>
      <c r="OW33" s="24"/>
      <c r="OX33" s="24"/>
      <c r="OY33" s="24"/>
      <c r="OZ33" s="24"/>
      <c r="PA33" s="24"/>
      <c r="PB33" s="24"/>
      <c r="PC33" s="24"/>
      <c r="PD33" s="24"/>
      <c r="PE33" s="24"/>
      <c r="PF33" s="24"/>
      <c r="PG33" s="24"/>
      <c r="PH33" s="24"/>
      <c r="PI33" s="24"/>
      <c r="PJ33" s="24"/>
      <c r="PK33" s="24"/>
      <c r="PL33" s="24"/>
      <c r="PM33" s="24"/>
      <c r="PN33" s="24"/>
      <c r="PO33" s="24"/>
      <c r="PP33" s="24"/>
      <c r="PQ33" s="24"/>
      <c r="PR33" s="24"/>
      <c r="PS33" s="24"/>
      <c r="PT33" s="24"/>
      <c r="PU33" s="24"/>
      <c r="PV33" s="24"/>
      <c r="PW33" s="24"/>
      <c r="PX33" s="24"/>
      <c r="PY33" s="24"/>
      <c r="PZ33" s="24"/>
      <c r="QA33" s="24">
        <f t="shared" si="112"/>
        <v>0</v>
      </c>
      <c r="QB33" s="24">
        <f t="shared" si="113"/>
        <v>0</v>
      </c>
      <c r="QC33" s="24"/>
      <c r="QD33" s="24"/>
      <c r="QE33" s="24"/>
      <c r="QF33" s="24"/>
      <c r="QG33" s="24"/>
      <c r="QH33" s="24"/>
      <c r="QI33" s="24"/>
      <c r="QJ33" s="24"/>
      <c r="QK33" s="24"/>
      <c r="QL33" s="24"/>
      <c r="QM33" s="24"/>
      <c r="QN33" s="24"/>
      <c r="QO33" s="24"/>
      <c r="QP33" s="24"/>
      <c r="QQ33" s="24"/>
      <c r="QR33" s="24"/>
      <c r="QS33" s="24"/>
      <c r="QT33" s="24"/>
      <c r="QU33" s="24"/>
      <c r="QV33" s="24"/>
      <c r="QW33" s="24"/>
      <c r="QX33" s="24"/>
      <c r="QY33" s="24"/>
      <c r="QZ33" s="24"/>
      <c r="RA33" s="24"/>
      <c r="RB33" s="24"/>
      <c r="RC33" s="24"/>
      <c r="RD33" s="24"/>
      <c r="RE33" s="24"/>
      <c r="RF33" s="24"/>
      <c r="RG33" s="24"/>
      <c r="RH33" s="24"/>
      <c r="RI33" s="24"/>
      <c r="RJ33" s="24"/>
      <c r="RK33" s="24"/>
      <c r="RL33" s="24"/>
      <c r="RM33" s="24"/>
      <c r="RN33" s="24"/>
      <c r="RO33" s="24"/>
      <c r="RP33" s="24"/>
      <c r="RQ33" s="24"/>
      <c r="RR33" s="24"/>
      <c r="RS33" s="24"/>
      <c r="RT33" s="24"/>
      <c r="RU33" s="24"/>
      <c r="RV33" s="24"/>
      <c r="RW33" s="24"/>
      <c r="RX33" s="24"/>
      <c r="RY33" s="24"/>
      <c r="RZ33" s="24"/>
      <c r="SA33" s="24"/>
      <c r="SB33" s="24"/>
      <c r="SC33" s="24"/>
      <c r="SD33" s="24"/>
      <c r="SE33" s="24"/>
      <c r="SF33" s="24"/>
      <c r="SG33" s="24"/>
      <c r="SH33" s="24"/>
      <c r="SI33" s="24"/>
      <c r="SJ33" s="24"/>
      <c r="SK33" s="24"/>
      <c r="SL33" s="24"/>
      <c r="SM33" s="24">
        <f t="shared" si="114"/>
        <v>0</v>
      </c>
      <c r="SN33" s="24">
        <f t="shared" si="115"/>
        <v>0</v>
      </c>
      <c r="SO33" s="24"/>
      <c r="SP33" s="24"/>
      <c r="SQ33" s="24"/>
      <c r="SR33" s="24"/>
      <c r="SS33" s="24"/>
      <c r="ST33" s="24"/>
      <c r="SU33" s="24"/>
      <c r="SV33" s="24"/>
      <c r="SW33" s="24"/>
      <c r="SX33" s="24"/>
      <c r="SY33" s="24"/>
      <c r="SZ33" s="24"/>
      <c r="TA33" s="24"/>
      <c r="TB33" s="24"/>
      <c r="TC33" s="24"/>
      <c r="TD33" s="24"/>
      <c r="TE33" s="24"/>
      <c r="TF33" s="24"/>
      <c r="TG33" s="24"/>
      <c r="TH33" s="24"/>
      <c r="TI33" s="24"/>
      <c r="TJ33" s="24"/>
      <c r="TK33" s="24"/>
      <c r="TL33" s="24"/>
      <c r="TM33" s="24"/>
      <c r="TN33" s="24"/>
      <c r="TO33" s="24"/>
      <c r="TP33" s="24"/>
      <c r="TQ33" s="24"/>
      <c r="TR33" s="24"/>
      <c r="TS33" s="24"/>
      <c r="TT33" s="24"/>
      <c r="TU33" s="24"/>
      <c r="TV33" s="24"/>
      <c r="TW33" s="24"/>
      <c r="TX33" s="24"/>
      <c r="TY33" s="24"/>
      <c r="TZ33" s="24"/>
      <c r="UA33" s="24"/>
      <c r="UB33" s="24"/>
      <c r="UC33" s="24"/>
      <c r="UD33" s="24"/>
      <c r="UE33" s="24"/>
      <c r="UF33" s="24"/>
      <c r="UG33" s="24"/>
      <c r="UH33" s="24"/>
      <c r="UI33" s="24"/>
      <c r="UJ33" s="24"/>
      <c r="UK33" s="24"/>
      <c r="UL33" s="24"/>
      <c r="UM33" s="24"/>
      <c r="UN33" s="24"/>
      <c r="UO33" s="24"/>
      <c r="UP33" s="24"/>
      <c r="UQ33" s="24"/>
      <c r="UR33" s="24"/>
      <c r="US33" s="24"/>
      <c r="UT33" s="24"/>
      <c r="UU33" s="24"/>
      <c r="UV33" s="24"/>
      <c r="UW33" s="24">
        <f t="shared" si="116"/>
        <v>0</v>
      </c>
      <c r="UX33" s="24">
        <f t="shared" si="117"/>
        <v>0</v>
      </c>
      <c r="UY33" s="24"/>
      <c r="UZ33" s="24"/>
      <c r="VA33" s="24"/>
      <c r="VB33" s="24"/>
      <c r="VC33" s="24"/>
      <c r="VD33" s="24"/>
      <c r="VE33" s="24"/>
      <c r="VF33" s="24"/>
      <c r="VG33" s="24"/>
      <c r="VH33" s="24"/>
      <c r="VI33" s="24"/>
      <c r="VJ33" s="24"/>
      <c r="VK33" s="24"/>
      <c r="VL33" s="24"/>
      <c r="VM33" s="24"/>
      <c r="VN33" s="24"/>
      <c r="VO33" s="24"/>
      <c r="VP33" s="24"/>
      <c r="VQ33" s="24"/>
      <c r="VR33" s="24"/>
      <c r="VS33" s="24"/>
      <c r="VT33" s="24"/>
      <c r="VU33" s="24"/>
      <c r="VV33" s="24"/>
      <c r="VW33" s="24"/>
      <c r="VX33" s="24"/>
      <c r="VY33" s="24"/>
      <c r="VZ33" s="24"/>
      <c r="WA33" s="24"/>
      <c r="WB33" s="24"/>
      <c r="WC33" s="24"/>
      <c r="WD33" s="24"/>
      <c r="WE33" s="24"/>
      <c r="WF33" s="24"/>
      <c r="WG33" s="24"/>
      <c r="WH33" s="24"/>
      <c r="WI33" s="24"/>
      <c r="WJ33" s="24"/>
      <c r="WK33" s="24"/>
      <c r="WL33" s="24"/>
      <c r="WM33" s="24"/>
      <c r="WN33" s="24"/>
      <c r="WO33" s="24"/>
      <c r="WP33" s="24"/>
      <c r="WQ33" s="24"/>
      <c r="WR33" s="24"/>
      <c r="WS33" s="24"/>
      <c r="WT33" s="24"/>
      <c r="WU33" s="24"/>
      <c r="WV33" s="24"/>
      <c r="WW33" s="24"/>
      <c r="WX33" s="24"/>
      <c r="WY33" s="24"/>
      <c r="WZ33" s="24"/>
      <c r="XA33" s="24"/>
      <c r="XB33" s="24"/>
      <c r="XC33" s="24"/>
      <c r="XD33" s="24"/>
      <c r="XE33" s="24"/>
      <c r="XF33" s="24"/>
      <c r="XG33" s="24"/>
      <c r="XH33" s="24"/>
      <c r="XI33" s="24">
        <f t="shared" si="118"/>
        <v>0</v>
      </c>
      <c r="XJ33" s="24">
        <f t="shared" si="119"/>
        <v>0</v>
      </c>
      <c r="XK33" s="24"/>
      <c r="XL33" s="24"/>
      <c r="XM33" s="24"/>
      <c r="XN33" s="24"/>
      <c r="XO33" s="24"/>
      <c r="XP33" s="24"/>
      <c r="XQ33" s="24"/>
      <c r="XR33" s="24"/>
      <c r="XS33" s="24"/>
      <c r="XT33" s="24"/>
      <c r="XU33" s="24"/>
      <c r="XV33" s="24"/>
      <c r="XW33" s="24"/>
      <c r="XX33" s="24"/>
      <c r="XY33" s="24"/>
      <c r="XZ33" s="24"/>
      <c r="YA33" s="24"/>
      <c r="YB33" s="24"/>
      <c r="YC33" s="24"/>
      <c r="YD33" s="24"/>
      <c r="YE33" s="24"/>
      <c r="YF33" s="24"/>
      <c r="YG33" s="24"/>
      <c r="YH33" s="24"/>
      <c r="YI33" s="24"/>
      <c r="YJ33" s="24"/>
      <c r="YK33" s="24"/>
      <c r="YL33" s="24"/>
      <c r="YM33" s="24"/>
      <c r="YN33" s="24"/>
      <c r="YO33" s="24"/>
      <c r="YP33" s="24"/>
      <c r="YQ33" s="24"/>
      <c r="YR33" s="24"/>
      <c r="YS33" s="24"/>
      <c r="YT33" s="24"/>
      <c r="YU33" s="24"/>
      <c r="YV33" s="24"/>
      <c r="YW33" s="24"/>
      <c r="YX33" s="24"/>
      <c r="YY33" s="24"/>
      <c r="YZ33" s="24"/>
      <c r="ZA33" s="24"/>
      <c r="ZB33" s="24"/>
      <c r="ZC33" s="24"/>
      <c r="ZD33" s="24"/>
      <c r="ZE33" s="24"/>
      <c r="ZF33" s="24"/>
      <c r="ZG33" s="24"/>
      <c r="ZH33" s="24"/>
      <c r="ZI33" s="24"/>
      <c r="ZJ33" s="24"/>
      <c r="ZK33" s="24"/>
      <c r="ZL33" s="24"/>
      <c r="ZM33" s="24"/>
      <c r="ZN33" s="24"/>
      <c r="ZO33" s="24"/>
      <c r="ZP33" s="24"/>
      <c r="ZQ33" s="24"/>
      <c r="ZR33" s="24"/>
      <c r="ZS33" s="24">
        <f t="shared" si="120"/>
        <v>0</v>
      </c>
      <c r="ZT33" s="24">
        <f t="shared" si="121"/>
        <v>0</v>
      </c>
      <c r="ZU33" s="24"/>
      <c r="ZV33" s="24"/>
      <c r="ZW33" s="24"/>
      <c r="ZX33" s="24"/>
      <c r="ZY33" s="24"/>
      <c r="ZZ33" s="24"/>
      <c r="AAA33" s="24"/>
      <c r="AAB33" s="24"/>
      <c r="AAC33" s="24"/>
      <c r="AAD33" s="24"/>
      <c r="AAE33" s="24"/>
      <c r="AAF33" s="24"/>
      <c r="AAG33" s="24"/>
      <c r="AAH33" s="24"/>
      <c r="AAI33" s="24"/>
      <c r="AAJ33" s="24"/>
      <c r="AAK33" s="24"/>
      <c r="AAL33" s="24"/>
      <c r="AAM33" s="24"/>
      <c r="AAN33" s="24"/>
      <c r="AAO33" s="24"/>
      <c r="AAP33" s="24"/>
      <c r="AAQ33" s="24"/>
      <c r="AAR33" s="24"/>
      <c r="AAS33" s="24"/>
      <c r="AAT33" s="24"/>
      <c r="AAU33" s="24"/>
      <c r="AAV33" s="24"/>
      <c r="AAW33" s="24"/>
      <c r="AAX33" s="24"/>
      <c r="AAY33" s="24"/>
      <c r="AAZ33" s="24"/>
      <c r="ABA33" s="24"/>
      <c r="ABB33" s="24"/>
      <c r="ABC33" s="24"/>
      <c r="ABD33" s="24"/>
      <c r="ABE33" s="24"/>
      <c r="ABF33" s="24"/>
      <c r="ABG33" s="24"/>
      <c r="ABH33" s="24"/>
      <c r="ABI33" s="24"/>
      <c r="ABJ33" s="24"/>
      <c r="ABK33" s="24"/>
      <c r="ABL33" s="24"/>
      <c r="ABM33" s="24"/>
      <c r="ABN33" s="24"/>
      <c r="ABO33" s="24"/>
      <c r="ABP33" s="24"/>
      <c r="ABQ33" s="24"/>
      <c r="ABR33" s="24"/>
      <c r="ABS33" s="24"/>
      <c r="ABT33" s="24"/>
      <c r="ABU33" s="24"/>
      <c r="ABV33" s="24"/>
      <c r="ABW33" s="24"/>
      <c r="ABX33" s="24"/>
      <c r="ABY33" s="24"/>
      <c r="ABZ33" s="24"/>
      <c r="ACA33" s="24"/>
      <c r="ACB33" s="24"/>
      <c r="ACC33" s="24"/>
      <c r="ACD33" s="24"/>
      <c r="ACE33" s="24">
        <f t="shared" si="122"/>
        <v>0</v>
      </c>
      <c r="ACF33" s="24"/>
      <c r="ACG33" s="24">
        <f t="shared" si="123"/>
        <v>0</v>
      </c>
      <c r="ACH33" s="25"/>
      <c r="ACI33" s="71" t="s">
        <v>145</v>
      </c>
      <c r="ACJ33" s="71" t="s">
        <v>88</v>
      </c>
    </row>
    <row r="34" spans="1:764" ht="15.75" thickBot="1" x14ac:dyDescent="0.3">
      <c r="A34" s="174"/>
      <c r="B34" s="153"/>
      <c r="C34" s="158"/>
      <c r="D34" s="52" t="s">
        <v>9</v>
      </c>
      <c r="E34" s="76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45" cm="1">
        <f t="array" ref="BO34">SUMPRODUCT(E34:BM34,--(E$2:BM$2=BO$2))</f>
        <v>0</v>
      </c>
      <c r="BP34" s="45" cm="1">
        <f t="array" ref="BP34">SUMPRODUCT(F34:BN34,--(F$2:BN$2=BP$2))</f>
        <v>0</v>
      </c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45"/>
      <c r="CG34" s="45"/>
      <c r="CH34" s="45"/>
      <c r="CI34" s="45"/>
      <c r="CJ34" s="45"/>
      <c r="CK34" s="45"/>
      <c r="CL34" s="45"/>
      <c r="CM34" s="45"/>
      <c r="CN34" s="45"/>
      <c r="CO34" s="45"/>
      <c r="CP34" s="45"/>
      <c r="CQ34" s="45"/>
      <c r="CR34" s="45"/>
      <c r="CS34" s="45"/>
      <c r="CT34" s="45"/>
      <c r="CU34" s="45"/>
      <c r="CV34" s="45"/>
      <c r="CW34" s="45"/>
      <c r="CX34" s="45"/>
      <c r="CY34" s="45"/>
      <c r="CZ34" s="45"/>
      <c r="DA34" s="45"/>
      <c r="DB34" s="45"/>
      <c r="DC34" s="45"/>
      <c r="DD34" s="45"/>
      <c r="DE34" s="45"/>
      <c r="DF34" s="45"/>
      <c r="DG34" s="45"/>
      <c r="DH34" s="45"/>
      <c r="DI34" s="45"/>
      <c r="DJ34" s="45"/>
      <c r="DK34" s="45"/>
      <c r="DL34" s="45"/>
      <c r="DM34" s="45"/>
      <c r="DN34" s="45"/>
      <c r="DO34" s="45"/>
      <c r="DP34" s="45"/>
      <c r="DQ34" s="45"/>
      <c r="DR34" s="45"/>
      <c r="DS34" s="45"/>
      <c r="DT34" s="45"/>
      <c r="DU34" s="45"/>
      <c r="DV34" s="45"/>
      <c r="DW34" s="45" cm="1">
        <f t="array" ref="DW34">SUMPRODUCT(BQ34:DU34,--(BQ$2:DU$2=DW$2))</f>
        <v>0</v>
      </c>
      <c r="DX34" s="45" cm="1">
        <f t="array" ref="DX34">SUMPRODUCT(BR34:DV34,--(BR$2:DV$2=DX$2))</f>
        <v>0</v>
      </c>
      <c r="DY34" s="45"/>
      <c r="DZ34" s="45"/>
      <c r="EA34" s="45"/>
      <c r="EB34" s="45"/>
      <c r="EC34" s="45"/>
      <c r="ED34" s="45"/>
      <c r="EE34" s="45"/>
      <c r="EF34" s="45"/>
      <c r="EG34" s="45"/>
      <c r="EH34" s="45"/>
      <c r="EI34" s="45"/>
      <c r="EJ34" s="45"/>
      <c r="EK34" s="45"/>
      <c r="EL34" s="45"/>
      <c r="EM34" s="45"/>
      <c r="EN34" s="45"/>
      <c r="EO34" s="45"/>
      <c r="EP34" s="45"/>
      <c r="EQ34" s="45"/>
      <c r="ER34" s="45"/>
      <c r="ES34" s="45"/>
      <c r="ET34" s="45"/>
      <c r="EU34" s="45"/>
      <c r="EV34" s="45"/>
      <c r="EW34" s="45"/>
      <c r="EX34" s="45"/>
      <c r="EY34" s="45"/>
      <c r="EZ34" s="45"/>
      <c r="FA34" s="45"/>
      <c r="FB34" s="45"/>
      <c r="FC34" s="45"/>
      <c r="FD34" s="45"/>
      <c r="FE34" s="45"/>
      <c r="FF34" s="45"/>
      <c r="FG34" s="45"/>
      <c r="FH34" s="45"/>
      <c r="FI34" s="45"/>
      <c r="FJ34" s="45"/>
      <c r="FK34" s="45"/>
      <c r="FL34" s="45"/>
      <c r="FM34" s="45"/>
      <c r="FN34" s="45"/>
      <c r="FO34" s="45"/>
      <c r="FP34" s="45"/>
      <c r="FQ34" s="45"/>
      <c r="FR34" s="45"/>
      <c r="FS34" s="45"/>
      <c r="FT34" s="45"/>
      <c r="FU34" s="45"/>
      <c r="FV34" s="45"/>
      <c r="FW34" s="45"/>
      <c r="FX34" s="45"/>
      <c r="FY34" s="45"/>
      <c r="FZ34" s="45"/>
      <c r="GA34" s="45"/>
      <c r="GB34" s="45"/>
      <c r="GC34" s="45"/>
      <c r="GD34" s="45"/>
      <c r="GE34" s="45"/>
      <c r="GF34" s="45"/>
      <c r="GG34" s="45"/>
      <c r="GH34" s="45"/>
      <c r="GI34" s="45" cm="1">
        <f t="array" ref="GI34">SUMPRODUCT(DY34:GG34,--(DY$2:GG$2=GI$2))</f>
        <v>0</v>
      </c>
      <c r="GJ34" s="45" cm="1">
        <f t="array" ref="GJ34">SUMPRODUCT(DZ34:GH34,--(DZ$2:GH$2=GJ$2))</f>
        <v>0</v>
      </c>
      <c r="GK34" s="24"/>
      <c r="GL34" s="24"/>
      <c r="GM34" s="24"/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24"/>
      <c r="HD34" s="24"/>
      <c r="HE34" s="24"/>
      <c r="HF34" s="24"/>
      <c r="HG34" s="24"/>
      <c r="HH34" s="24"/>
      <c r="HI34" s="24"/>
      <c r="HJ34" s="24"/>
      <c r="HK34" s="24"/>
      <c r="HL34" s="24"/>
      <c r="HM34" s="24"/>
      <c r="HN34" s="24"/>
      <c r="HO34" s="24"/>
      <c r="HP34" s="24"/>
      <c r="HQ34" s="24"/>
      <c r="HR34" s="24"/>
      <c r="HS34" s="24"/>
      <c r="HT34" s="24"/>
      <c r="HU34" s="24"/>
      <c r="HV34" s="24"/>
      <c r="HW34" s="24"/>
      <c r="HX34" s="24"/>
      <c r="HY34" s="24"/>
      <c r="HZ34" s="24"/>
      <c r="IA34" s="24"/>
      <c r="IB34" s="24"/>
      <c r="IC34" s="24"/>
      <c r="ID34" s="24"/>
      <c r="IE34" s="24"/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45">
        <f t="shared" si="106"/>
        <v>0</v>
      </c>
      <c r="IT34" s="45">
        <f t="shared" si="107"/>
        <v>0</v>
      </c>
      <c r="IU34" s="45"/>
      <c r="IV34" s="45"/>
      <c r="IW34" s="45"/>
      <c r="IX34" s="45"/>
      <c r="IY34" s="45"/>
      <c r="IZ34" s="45"/>
      <c r="JA34" s="45"/>
      <c r="JB34" s="45"/>
      <c r="JC34" s="45"/>
      <c r="JD34" s="45"/>
      <c r="JE34" s="45"/>
      <c r="JF34" s="45"/>
      <c r="JG34" s="45"/>
      <c r="JH34" s="45"/>
      <c r="JI34" s="45"/>
      <c r="JJ34" s="45"/>
      <c r="JK34" s="45"/>
      <c r="JL34" s="45"/>
      <c r="JM34" s="45"/>
      <c r="JN34" s="45"/>
      <c r="JO34" s="45"/>
      <c r="JP34" s="45"/>
      <c r="JQ34" s="45"/>
      <c r="JR34" s="45"/>
      <c r="JS34" s="45"/>
      <c r="JT34" s="45"/>
      <c r="JU34" s="45"/>
      <c r="JV34" s="45"/>
      <c r="JW34" s="45"/>
      <c r="JX34" s="45"/>
      <c r="JY34" s="45"/>
      <c r="JZ34" s="45"/>
      <c r="KA34" s="45"/>
      <c r="KB34" s="45"/>
      <c r="KC34" s="45"/>
      <c r="KD34" s="45"/>
      <c r="KE34" s="45"/>
      <c r="KF34" s="45"/>
      <c r="KG34" s="45"/>
      <c r="KH34" s="45"/>
      <c r="KI34" s="45"/>
      <c r="KJ34" s="45"/>
      <c r="KK34" s="45"/>
      <c r="KL34" s="45"/>
      <c r="KM34" s="45"/>
      <c r="KN34" s="45"/>
      <c r="KO34" s="45"/>
      <c r="KP34" s="45"/>
      <c r="KQ34" s="45"/>
      <c r="KR34" s="45"/>
      <c r="KS34" s="45"/>
      <c r="KT34" s="45"/>
      <c r="KU34" s="45"/>
      <c r="KV34" s="45"/>
      <c r="KW34" s="45"/>
      <c r="KX34" s="45"/>
      <c r="KY34" s="45"/>
      <c r="KZ34" s="45"/>
      <c r="LA34" s="45"/>
      <c r="LB34" s="45"/>
      <c r="LC34" s="45"/>
      <c r="LD34" s="45"/>
      <c r="LE34" s="45">
        <f t="shared" si="108"/>
        <v>0</v>
      </c>
      <c r="LF34" s="45">
        <f t="shared" si="109"/>
        <v>0</v>
      </c>
      <c r="LG34" s="45"/>
      <c r="LH34" s="45"/>
      <c r="LI34" s="45"/>
      <c r="LJ34" s="45"/>
      <c r="LK34" s="45"/>
      <c r="LL34" s="45"/>
      <c r="LM34" s="45"/>
      <c r="LN34" s="45"/>
      <c r="LO34" s="45"/>
      <c r="LP34" s="45"/>
      <c r="LQ34" s="45"/>
      <c r="LR34" s="45"/>
      <c r="LS34" s="45"/>
      <c r="LT34" s="45"/>
      <c r="LU34" s="45"/>
      <c r="LV34" s="45"/>
      <c r="LW34" s="45"/>
      <c r="LX34" s="45"/>
      <c r="LY34" s="45"/>
      <c r="LZ34" s="45"/>
      <c r="MA34" s="45"/>
      <c r="MB34" s="45"/>
      <c r="MC34" s="45"/>
      <c r="MD34" s="45"/>
      <c r="ME34" s="45"/>
      <c r="MF34" s="45"/>
      <c r="MG34" s="45"/>
      <c r="MH34" s="45"/>
      <c r="MI34" s="45"/>
      <c r="MJ34" s="45"/>
      <c r="MK34" s="45"/>
      <c r="ML34" s="45"/>
      <c r="MM34" s="45"/>
      <c r="MN34" s="45"/>
      <c r="MO34" s="45"/>
      <c r="MP34" s="45"/>
      <c r="MQ34" s="45"/>
      <c r="MR34" s="45"/>
      <c r="MS34" s="45"/>
      <c r="MT34" s="45"/>
      <c r="MU34" s="45"/>
      <c r="MV34" s="45"/>
      <c r="MW34" s="45"/>
      <c r="MX34" s="45"/>
      <c r="MY34" s="45"/>
      <c r="MZ34" s="45"/>
      <c r="NA34" s="45"/>
      <c r="NB34" s="45"/>
      <c r="NC34" s="45"/>
      <c r="ND34" s="45"/>
      <c r="NE34" s="45"/>
      <c r="NF34" s="45"/>
      <c r="NG34" s="45"/>
      <c r="NH34" s="45"/>
      <c r="NI34" s="45"/>
      <c r="NJ34" s="45"/>
      <c r="NK34" s="45"/>
      <c r="NL34" s="45"/>
      <c r="NM34" s="45"/>
      <c r="NN34" s="45"/>
      <c r="NO34" s="45">
        <f t="shared" si="110"/>
        <v>0</v>
      </c>
      <c r="NP34" s="45">
        <f t="shared" si="111"/>
        <v>0</v>
      </c>
      <c r="NQ34" s="45"/>
      <c r="NR34" s="45"/>
      <c r="NS34" s="45"/>
      <c r="NT34" s="45"/>
      <c r="NU34" s="45"/>
      <c r="NV34" s="45"/>
      <c r="NW34" s="45"/>
      <c r="NX34" s="45"/>
      <c r="NY34" s="45"/>
      <c r="NZ34" s="45"/>
      <c r="OA34" s="45"/>
      <c r="OB34" s="45"/>
      <c r="OC34" s="45"/>
      <c r="OD34" s="45"/>
      <c r="OE34" s="45"/>
      <c r="OF34" s="45"/>
      <c r="OG34" s="45"/>
      <c r="OH34" s="45"/>
      <c r="OI34" s="45"/>
      <c r="OJ34" s="45"/>
      <c r="OK34" s="45"/>
      <c r="OL34" s="45"/>
      <c r="OM34" s="45"/>
      <c r="ON34" s="45"/>
      <c r="OO34" s="45"/>
      <c r="OP34" s="45"/>
      <c r="OQ34" s="45"/>
      <c r="OR34" s="45"/>
      <c r="OS34" s="45"/>
      <c r="OT34" s="45"/>
      <c r="OU34" s="45"/>
      <c r="OV34" s="45"/>
      <c r="OW34" s="45"/>
      <c r="OX34" s="45"/>
      <c r="OY34" s="45"/>
      <c r="OZ34" s="45"/>
      <c r="PA34" s="45"/>
      <c r="PB34" s="45"/>
      <c r="PC34" s="45"/>
      <c r="PD34" s="45"/>
      <c r="PE34" s="45"/>
      <c r="PF34" s="45"/>
      <c r="PG34" s="45"/>
      <c r="PH34" s="45"/>
      <c r="PI34" s="45"/>
      <c r="PJ34" s="45"/>
      <c r="PK34" s="45"/>
      <c r="PL34" s="45"/>
      <c r="PM34" s="45"/>
      <c r="PN34" s="45"/>
      <c r="PO34" s="45"/>
      <c r="PP34" s="45"/>
      <c r="PQ34" s="45"/>
      <c r="PR34" s="45"/>
      <c r="PS34" s="45"/>
      <c r="PT34" s="45"/>
      <c r="PU34" s="45"/>
      <c r="PV34" s="45"/>
      <c r="PW34" s="45"/>
      <c r="PX34" s="45"/>
      <c r="PY34" s="45"/>
      <c r="PZ34" s="45"/>
      <c r="QA34" s="45">
        <f t="shared" si="112"/>
        <v>0</v>
      </c>
      <c r="QB34" s="45">
        <f t="shared" si="113"/>
        <v>0</v>
      </c>
      <c r="QC34" s="45"/>
      <c r="QD34" s="45"/>
      <c r="QE34" s="45"/>
      <c r="QF34" s="45"/>
      <c r="QG34" s="45"/>
      <c r="QH34" s="45"/>
      <c r="QI34" s="45"/>
      <c r="QJ34" s="45"/>
      <c r="QK34" s="45"/>
      <c r="QL34" s="45"/>
      <c r="QM34" s="45"/>
      <c r="QN34" s="45"/>
      <c r="QO34" s="45"/>
      <c r="QP34" s="45"/>
      <c r="QQ34" s="45"/>
      <c r="QR34" s="45"/>
      <c r="QS34" s="45"/>
      <c r="QT34" s="45"/>
      <c r="QU34" s="45"/>
      <c r="QV34" s="45"/>
      <c r="QW34" s="45"/>
      <c r="QX34" s="45"/>
      <c r="QY34" s="45"/>
      <c r="QZ34" s="45"/>
      <c r="RA34" s="45"/>
      <c r="RB34" s="45"/>
      <c r="RC34" s="45"/>
      <c r="RD34" s="45"/>
      <c r="RE34" s="45"/>
      <c r="RF34" s="45"/>
      <c r="RG34" s="45"/>
      <c r="RH34" s="45"/>
      <c r="RI34" s="45"/>
      <c r="RJ34" s="45"/>
      <c r="RK34" s="45"/>
      <c r="RL34" s="45"/>
      <c r="RM34" s="45"/>
      <c r="RN34" s="45"/>
      <c r="RO34" s="45"/>
      <c r="RP34" s="45"/>
      <c r="RQ34" s="45"/>
      <c r="RR34" s="45"/>
      <c r="RS34" s="45"/>
      <c r="RT34" s="45"/>
      <c r="RU34" s="45"/>
      <c r="RV34" s="45"/>
      <c r="RW34" s="45"/>
      <c r="RX34" s="45"/>
      <c r="RY34" s="45"/>
      <c r="RZ34" s="45"/>
      <c r="SA34" s="45"/>
      <c r="SB34" s="45"/>
      <c r="SC34" s="45"/>
      <c r="SD34" s="45"/>
      <c r="SE34" s="45"/>
      <c r="SF34" s="45"/>
      <c r="SG34" s="45"/>
      <c r="SH34" s="45"/>
      <c r="SI34" s="45"/>
      <c r="SJ34" s="45"/>
      <c r="SK34" s="45"/>
      <c r="SL34" s="45"/>
      <c r="SM34" s="45">
        <f t="shared" si="114"/>
        <v>0</v>
      </c>
      <c r="SN34" s="45">
        <f t="shared" si="115"/>
        <v>0</v>
      </c>
      <c r="SO34" s="24"/>
      <c r="SP34" s="24"/>
      <c r="SQ34" s="24"/>
      <c r="SR34" s="24"/>
      <c r="SS34" s="24"/>
      <c r="ST34" s="24"/>
      <c r="SU34" s="24"/>
      <c r="SV34" s="24"/>
      <c r="SW34" s="24"/>
      <c r="SX34" s="24"/>
      <c r="SY34" s="24"/>
      <c r="SZ34" s="24"/>
      <c r="TA34" s="24"/>
      <c r="TB34" s="24"/>
      <c r="TC34" s="24"/>
      <c r="TD34" s="24"/>
      <c r="TE34" s="24"/>
      <c r="TF34" s="24"/>
      <c r="TG34" s="24"/>
      <c r="TH34" s="24"/>
      <c r="TI34" s="24"/>
      <c r="TJ34" s="24"/>
      <c r="TK34" s="24"/>
      <c r="TL34" s="24"/>
      <c r="TM34" s="24"/>
      <c r="TN34" s="24"/>
      <c r="TO34" s="24"/>
      <c r="TP34" s="24"/>
      <c r="TQ34" s="24"/>
      <c r="TR34" s="24"/>
      <c r="TS34" s="24"/>
      <c r="TT34" s="24"/>
      <c r="TU34" s="24"/>
      <c r="TV34" s="24"/>
      <c r="TW34" s="24"/>
      <c r="TX34" s="24"/>
      <c r="TY34" s="24"/>
      <c r="TZ34" s="24"/>
      <c r="UA34" s="24"/>
      <c r="UB34" s="24"/>
      <c r="UC34" s="24"/>
      <c r="UD34" s="24"/>
      <c r="UE34" s="24"/>
      <c r="UF34" s="24"/>
      <c r="UG34" s="24"/>
      <c r="UH34" s="24"/>
      <c r="UI34" s="24"/>
      <c r="UJ34" s="24"/>
      <c r="UK34" s="24"/>
      <c r="UL34" s="24"/>
      <c r="UM34" s="24"/>
      <c r="UN34" s="24"/>
      <c r="UO34" s="24"/>
      <c r="UP34" s="24"/>
      <c r="UQ34" s="24"/>
      <c r="UR34" s="24"/>
      <c r="US34" s="24"/>
      <c r="UT34" s="24"/>
      <c r="UU34" s="24"/>
      <c r="UV34" s="24"/>
      <c r="UW34" s="45">
        <f t="shared" si="116"/>
        <v>0</v>
      </c>
      <c r="UX34" s="45">
        <f t="shared" si="117"/>
        <v>0</v>
      </c>
      <c r="UY34" s="45"/>
      <c r="UZ34" s="45"/>
      <c r="VA34" s="45"/>
      <c r="VB34" s="45"/>
      <c r="VC34" s="45"/>
      <c r="VD34" s="45"/>
      <c r="VE34" s="45"/>
      <c r="VF34" s="45"/>
      <c r="VG34" s="45"/>
      <c r="VH34" s="45"/>
      <c r="VI34" s="45"/>
      <c r="VJ34" s="45"/>
      <c r="VK34" s="45"/>
      <c r="VL34" s="45"/>
      <c r="VM34" s="45"/>
      <c r="VN34" s="45"/>
      <c r="VO34" s="45"/>
      <c r="VP34" s="45"/>
      <c r="VQ34" s="45"/>
      <c r="VR34" s="45"/>
      <c r="VS34" s="45"/>
      <c r="VT34" s="45"/>
      <c r="VU34" s="45"/>
      <c r="VV34" s="45"/>
      <c r="VW34" s="45"/>
      <c r="VX34" s="45"/>
      <c r="VY34" s="45"/>
      <c r="VZ34" s="45"/>
      <c r="WA34" s="45"/>
      <c r="WB34" s="45"/>
      <c r="WC34" s="45"/>
      <c r="WD34" s="45"/>
      <c r="WE34" s="45"/>
      <c r="WF34" s="45"/>
      <c r="WG34" s="45"/>
      <c r="WH34" s="45"/>
      <c r="WI34" s="45"/>
      <c r="WJ34" s="45"/>
      <c r="WK34" s="45"/>
      <c r="WL34" s="45"/>
      <c r="WM34" s="45"/>
      <c r="WN34" s="45"/>
      <c r="WO34" s="45"/>
      <c r="WP34" s="45"/>
      <c r="WQ34" s="45"/>
      <c r="WR34" s="45"/>
      <c r="WS34" s="45"/>
      <c r="WT34" s="45"/>
      <c r="WU34" s="45"/>
      <c r="WV34" s="45"/>
      <c r="WW34" s="45"/>
      <c r="WX34" s="45"/>
      <c r="WY34" s="45"/>
      <c r="WZ34" s="45"/>
      <c r="XA34" s="45"/>
      <c r="XB34" s="45"/>
      <c r="XC34" s="45"/>
      <c r="XD34" s="45"/>
      <c r="XE34" s="45"/>
      <c r="XF34" s="45"/>
      <c r="XG34" s="45"/>
      <c r="XH34" s="45"/>
      <c r="XI34" s="45">
        <f t="shared" si="118"/>
        <v>0</v>
      </c>
      <c r="XJ34" s="45">
        <f t="shared" si="119"/>
        <v>0</v>
      </c>
      <c r="XK34" s="45"/>
      <c r="XL34" s="45"/>
      <c r="XM34" s="45"/>
      <c r="XN34" s="45"/>
      <c r="XO34" s="45"/>
      <c r="XP34" s="45"/>
      <c r="XQ34" s="45"/>
      <c r="XR34" s="45"/>
      <c r="XS34" s="45"/>
      <c r="XT34" s="45"/>
      <c r="XU34" s="45"/>
      <c r="XV34" s="45"/>
      <c r="XW34" s="45"/>
      <c r="XX34" s="45"/>
      <c r="XY34" s="45"/>
      <c r="XZ34" s="45"/>
      <c r="YA34" s="45"/>
      <c r="YB34" s="45"/>
      <c r="YC34" s="45"/>
      <c r="YD34" s="45"/>
      <c r="YE34" s="45"/>
      <c r="YF34" s="45"/>
      <c r="YG34" s="45"/>
      <c r="YH34" s="45"/>
      <c r="YI34" s="45"/>
      <c r="YJ34" s="45"/>
      <c r="YK34" s="45"/>
      <c r="YL34" s="45"/>
      <c r="YM34" s="45"/>
      <c r="YN34" s="45"/>
      <c r="YO34" s="45"/>
      <c r="YP34" s="45"/>
      <c r="YQ34" s="45"/>
      <c r="YR34" s="45"/>
      <c r="YS34" s="45"/>
      <c r="YT34" s="45"/>
      <c r="YU34" s="45"/>
      <c r="YV34" s="45"/>
      <c r="YW34" s="45"/>
      <c r="YX34" s="45"/>
      <c r="YY34" s="45"/>
      <c r="YZ34" s="45"/>
      <c r="ZA34" s="45"/>
      <c r="ZB34" s="45"/>
      <c r="ZC34" s="45"/>
      <c r="ZD34" s="45"/>
      <c r="ZE34" s="45"/>
      <c r="ZF34" s="45"/>
      <c r="ZG34" s="45"/>
      <c r="ZH34" s="45"/>
      <c r="ZI34" s="45"/>
      <c r="ZJ34" s="45"/>
      <c r="ZK34" s="45"/>
      <c r="ZL34" s="45"/>
      <c r="ZM34" s="45"/>
      <c r="ZN34" s="45"/>
      <c r="ZO34" s="45"/>
      <c r="ZP34" s="45"/>
      <c r="ZQ34" s="45"/>
      <c r="ZR34" s="45"/>
      <c r="ZS34" s="45">
        <f t="shared" si="120"/>
        <v>0</v>
      </c>
      <c r="ZT34" s="45">
        <f t="shared" si="121"/>
        <v>0</v>
      </c>
      <c r="ZU34" s="45"/>
      <c r="ZV34" s="45"/>
      <c r="ZW34" s="45"/>
      <c r="ZX34" s="45"/>
      <c r="ZY34" s="45"/>
      <c r="ZZ34" s="45"/>
      <c r="AAA34" s="45"/>
      <c r="AAB34" s="45"/>
      <c r="AAC34" s="45"/>
      <c r="AAD34" s="45"/>
      <c r="AAE34" s="45"/>
      <c r="AAF34" s="45"/>
      <c r="AAG34" s="45"/>
      <c r="AAH34" s="45"/>
      <c r="AAI34" s="45"/>
      <c r="AAJ34" s="45"/>
      <c r="AAK34" s="45"/>
      <c r="AAL34" s="45"/>
      <c r="AAM34" s="45"/>
      <c r="AAN34" s="45"/>
      <c r="AAO34" s="45"/>
      <c r="AAP34" s="45"/>
      <c r="AAQ34" s="45"/>
      <c r="AAR34" s="45"/>
      <c r="AAS34" s="45"/>
      <c r="AAT34" s="45"/>
      <c r="AAU34" s="45"/>
      <c r="AAV34" s="45"/>
      <c r="AAW34" s="45"/>
      <c r="AAX34" s="45"/>
      <c r="AAY34" s="45"/>
      <c r="AAZ34" s="45"/>
      <c r="ABA34" s="45"/>
      <c r="ABB34" s="45"/>
      <c r="ABC34" s="45"/>
      <c r="ABD34" s="45"/>
      <c r="ABE34" s="45"/>
      <c r="ABF34" s="45"/>
      <c r="ABG34" s="45"/>
      <c r="ABH34" s="45"/>
      <c r="ABI34" s="45"/>
      <c r="ABJ34" s="45"/>
      <c r="ABK34" s="45"/>
      <c r="ABL34" s="45"/>
      <c r="ABM34" s="45"/>
      <c r="ABN34" s="45"/>
      <c r="ABO34" s="45"/>
      <c r="ABP34" s="45"/>
      <c r="ABQ34" s="45"/>
      <c r="ABR34" s="45"/>
      <c r="ABS34" s="45"/>
      <c r="ABT34" s="45"/>
      <c r="ABU34" s="45"/>
      <c r="ABV34" s="45"/>
      <c r="ABW34" s="45"/>
      <c r="ABX34" s="45"/>
      <c r="ABY34" s="45"/>
      <c r="ABZ34" s="45"/>
      <c r="ACA34" s="45"/>
      <c r="ACB34" s="45"/>
      <c r="ACC34" s="45"/>
      <c r="ACD34" s="45"/>
      <c r="ACE34" s="45">
        <f t="shared" si="122"/>
        <v>0</v>
      </c>
      <c r="ACF34" s="45"/>
      <c r="ACG34" s="45">
        <f t="shared" si="123"/>
        <v>0</v>
      </c>
      <c r="ACH34" s="55"/>
      <c r="ACI34" s="71" t="s">
        <v>146</v>
      </c>
      <c r="ACJ34" s="71" t="s">
        <v>88</v>
      </c>
    </row>
    <row r="35" spans="1:764" ht="16.5" thickBot="1" x14ac:dyDescent="0.3">
      <c r="A35" s="163"/>
      <c r="B35" s="170" t="s">
        <v>37</v>
      </c>
      <c r="C35" s="171"/>
      <c r="D35" s="172"/>
      <c r="E35" s="48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>
        <f>SUM(BO25:BO34)</f>
        <v>5898.579999999999</v>
      </c>
      <c r="BP35" s="39">
        <f>SUM(BP25:BP34)</f>
        <v>5871.6000000000013</v>
      </c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>
        <f>SUM(DW25:DW34)</f>
        <v>6123.8099999999995</v>
      </c>
      <c r="DX35" s="39">
        <f>SUM(DX25:DX34)</f>
        <v>6135.3199999999988</v>
      </c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>
        <f>SUM(GI25:GI34)</f>
        <v>8122.7499999999991</v>
      </c>
      <c r="GJ35" s="39">
        <f>SUM(GJ25:GJ34)</f>
        <v>8113.0700000000006</v>
      </c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>
        <f>SUM(IS25:IS34)</f>
        <v>6863.33</v>
      </c>
      <c r="IT35" s="39">
        <f>SUM(IT25:IT34)</f>
        <v>6850.6399999999994</v>
      </c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  <c r="JP35" s="39"/>
      <c r="JQ35" s="39"/>
      <c r="JR35" s="39"/>
      <c r="JS35" s="39"/>
      <c r="JT35" s="39"/>
      <c r="JU35" s="39"/>
      <c r="JV35" s="39"/>
      <c r="JW35" s="39"/>
      <c r="JX35" s="39"/>
      <c r="JY35" s="39"/>
      <c r="JZ35" s="39"/>
      <c r="KA35" s="39"/>
      <c r="KB35" s="39"/>
      <c r="KC35" s="39"/>
      <c r="KD35" s="39"/>
      <c r="KE35" s="39"/>
      <c r="KF35" s="39"/>
      <c r="KG35" s="39"/>
      <c r="KH35" s="39"/>
      <c r="KI35" s="39"/>
      <c r="KJ35" s="39"/>
      <c r="KK35" s="39"/>
      <c r="KL35" s="39"/>
      <c r="KM35" s="39"/>
      <c r="KN35" s="39"/>
      <c r="KO35" s="39"/>
      <c r="KP35" s="39"/>
      <c r="KQ35" s="39"/>
      <c r="KR35" s="39"/>
      <c r="KS35" s="39"/>
      <c r="KT35" s="39"/>
      <c r="KU35" s="39"/>
      <c r="KV35" s="39"/>
      <c r="KW35" s="39"/>
      <c r="KX35" s="39"/>
      <c r="KY35" s="39"/>
      <c r="KZ35" s="39"/>
      <c r="LA35" s="39"/>
      <c r="LB35" s="39"/>
      <c r="LC35" s="39"/>
      <c r="LD35" s="39"/>
      <c r="LE35" s="39">
        <f>SUM(LE25:LE34)</f>
        <v>4053.61</v>
      </c>
      <c r="LF35" s="39">
        <f>SUM(LF25:LF34)</f>
        <v>4092.8599999999992</v>
      </c>
      <c r="LG35" s="39"/>
      <c r="LH35" s="39"/>
      <c r="LI35" s="39"/>
      <c r="LJ35" s="39"/>
      <c r="LK35" s="39"/>
      <c r="LL35" s="39"/>
      <c r="LM35" s="39"/>
      <c r="LN35" s="39"/>
      <c r="LO35" s="39"/>
      <c r="LP35" s="39"/>
      <c r="LQ35" s="39"/>
      <c r="LR35" s="39"/>
      <c r="LS35" s="39"/>
      <c r="LT35" s="39"/>
      <c r="LU35" s="39"/>
      <c r="LV35" s="39"/>
      <c r="LW35" s="39"/>
      <c r="LX35" s="39"/>
      <c r="LY35" s="39"/>
      <c r="LZ35" s="39"/>
      <c r="MA35" s="39"/>
      <c r="MB35" s="39"/>
      <c r="MC35" s="39"/>
      <c r="MD35" s="39"/>
      <c r="ME35" s="39"/>
      <c r="MF35" s="39"/>
      <c r="MG35" s="39"/>
      <c r="MH35" s="39"/>
      <c r="MI35" s="39"/>
      <c r="MJ35" s="39"/>
      <c r="MK35" s="39"/>
      <c r="ML35" s="39"/>
      <c r="MM35" s="39"/>
      <c r="MN35" s="39"/>
      <c r="MO35" s="39"/>
      <c r="MP35" s="39"/>
      <c r="MQ35" s="39"/>
      <c r="MR35" s="39"/>
      <c r="MS35" s="39"/>
      <c r="MT35" s="39"/>
      <c r="MU35" s="39"/>
      <c r="MV35" s="39"/>
      <c r="MW35" s="39"/>
      <c r="MX35" s="39"/>
      <c r="MY35" s="39"/>
      <c r="MZ35" s="39"/>
      <c r="NA35" s="39"/>
      <c r="NB35" s="39"/>
      <c r="NC35" s="39"/>
      <c r="ND35" s="39"/>
      <c r="NE35" s="39"/>
      <c r="NF35" s="39"/>
      <c r="NG35" s="39"/>
      <c r="NH35" s="39"/>
      <c r="NI35" s="39"/>
      <c r="NJ35" s="39"/>
      <c r="NK35" s="39"/>
      <c r="NL35" s="39"/>
      <c r="NM35" s="39"/>
      <c r="NN35" s="39"/>
      <c r="NO35" s="39">
        <f>SUM(NO25:NO34)</f>
        <v>0</v>
      </c>
      <c r="NP35" s="39">
        <f>SUM(NP25:NP34)</f>
        <v>0</v>
      </c>
      <c r="NQ35" s="39"/>
      <c r="NR35" s="39"/>
      <c r="NS35" s="39"/>
      <c r="NT35" s="39"/>
      <c r="NU35" s="39"/>
      <c r="NV35" s="39"/>
      <c r="NW35" s="39"/>
      <c r="NX35" s="39"/>
      <c r="NY35" s="39"/>
      <c r="NZ35" s="39"/>
      <c r="OA35" s="39"/>
      <c r="OB35" s="39"/>
      <c r="OC35" s="39"/>
      <c r="OD35" s="39"/>
      <c r="OE35" s="39"/>
      <c r="OF35" s="39"/>
      <c r="OG35" s="39"/>
      <c r="OH35" s="39"/>
      <c r="OI35" s="39"/>
      <c r="OJ35" s="39"/>
      <c r="OK35" s="39"/>
      <c r="OL35" s="39"/>
      <c r="OM35" s="39"/>
      <c r="ON35" s="39"/>
      <c r="OO35" s="39"/>
      <c r="OP35" s="39"/>
      <c r="OQ35" s="39"/>
      <c r="OR35" s="39"/>
      <c r="OS35" s="39"/>
      <c r="OT35" s="39"/>
      <c r="OU35" s="39"/>
      <c r="OV35" s="39"/>
      <c r="OW35" s="39"/>
      <c r="OX35" s="39"/>
      <c r="OY35" s="39"/>
      <c r="OZ35" s="39"/>
      <c r="PA35" s="39"/>
      <c r="PB35" s="39"/>
      <c r="PC35" s="39"/>
      <c r="PD35" s="39"/>
      <c r="PE35" s="39"/>
      <c r="PF35" s="39"/>
      <c r="PG35" s="39"/>
      <c r="PH35" s="39"/>
      <c r="PI35" s="39"/>
      <c r="PJ35" s="39"/>
      <c r="PK35" s="39"/>
      <c r="PL35" s="39"/>
      <c r="PM35" s="39"/>
      <c r="PN35" s="39"/>
      <c r="PO35" s="39"/>
      <c r="PP35" s="39"/>
      <c r="PQ35" s="39"/>
      <c r="PR35" s="39"/>
      <c r="PS35" s="39"/>
      <c r="PT35" s="39"/>
      <c r="PU35" s="39"/>
      <c r="PV35" s="39"/>
      <c r="PW35" s="39"/>
      <c r="PX35" s="39"/>
      <c r="PY35" s="39"/>
      <c r="PZ35" s="39"/>
      <c r="QA35" s="39">
        <f>SUM(QA25:QA34)</f>
        <v>0</v>
      </c>
      <c r="QB35" s="39">
        <f>SUM(QB25:QB34)</f>
        <v>0</v>
      </c>
      <c r="QC35" s="39"/>
      <c r="QD35" s="39"/>
      <c r="QE35" s="39"/>
      <c r="QF35" s="39"/>
      <c r="QG35" s="39"/>
      <c r="QH35" s="39"/>
      <c r="QI35" s="39"/>
      <c r="QJ35" s="39"/>
      <c r="QK35" s="39"/>
      <c r="QL35" s="39"/>
      <c r="QM35" s="39"/>
      <c r="QN35" s="39"/>
      <c r="QO35" s="39"/>
      <c r="QP35" s="39"/>
      <c r="QQ35" s="39"/>
      <c r="QR35" s="39"/>
      <c r="QS35" s="39"/>
      <c r="QT35" s="39"/>
      <c r="QU35" s="39"/>
      <c r="QV35" s="39"/>
      <c r="QW35" s="39"/>
      <c r="QX35" s="39"/>
      <c r="QY35" s="39"/>
      <c r="QZ35" s="39"/>
      <c r="RA35" s="39"/>
      <c r="RB35" s="39"/>
      <c r="RC35" s="39"/>
      <c r="RD35" s="39"/>
      <c r="RE35" s="39"/>
      <c r="RF35" s="39"/>
      <c r="RG35" s="39"/>
      <c r="RH35" s="39"/>
      <c r="RI35" s="39"/>
      <c r="RJ35" s="39"/>
      <c r="RK35" s="39"/>
      <c r="RL35" s="39"/>
      <c r="RM35" s="39"/>
      <c r="RN35" s="39"/>
      <c r="RO35" s="39"/>
      <c r="RP35" s="39"/>
      <c r="RQ35" s="39"/>
      <c r="RR35" s="39"/>
      <c r="RS35" s="39"/>
      <c r="RT35" s="39"/>
      <c r="RU35" s="39"/>
      <c r="RV35" s="39"/>
      <c r="RW35" s="39"/>
      <c r="RX35" s="39"/>
      <c r="RY35" s="39"/>
      <c r="RZ35" s="39"/>
      <c r="SA35" s="39"/>
      <c r="SB35" s="39"/>
      <c r="SC35" s="39"/>
      <c r="SD35" s="39"/>
      <c r="SE35" s="39"/>
      <c r="SF35" s="39"/>
      <c r="SG35" s="39"/>
      <c r="SH35" s="39"/>
      <c r="SI35" s="39"/>
      <c r="SJ35" s="39"/>
      <c r="SK35" s="39"/>
      <c r="SL35" s="39"/>
      <c r="SM35" s="39">
        <f>SUM(SM25:SM34)</f>
        <v>0</v>
      </c>
      <c r="SN35" s="39">
        <f>SUM(SN25:SN34)</f>
        <v>0</v>
      </c>
      <c r="SO35" s="39"/>
      <c r="SP35" s="39"/>
      <c r="SQ35" s="39"/>
      <c r="SR35" s="39"/>
      <c r="SS35" s="39"/>
      <c r="ST35" s="39"/>
      <c r="SU35" s="39"/>
      <c r="SV35" s="39"/>
      <c r="SW35" s="39"/>
      <c r="SX35" s="39"/>
      <c r="SY35" s="39"/>
      <c r="SZ35" s="39"/>
      <c r="TA35" s="39"/>
      <c r="TB35" s="39"/>
      <c r="TC35" s="39"/>
      <c r="TD35" s="39"/>
      <c r="TE35" s="39"/>
      <c r="TF35" s="39"/>
      <c r="TG35" s="39"/>
      <c r="TH35" s="39"/>
      <c r="TI35" s="39"/>
      <c r="TJ35" s="39"/>
      <c r="TK35" s="39"/>
      <c r="TL35" s="39"/>
      <c r="TM35" s="39"/>
      <c r="TN35" s="39"/>
      <c r="TO35" s="39"/>
      <c r="TP35" s="39"/>
      <c r="TQ35" s="39"/>
      <c r="TR35" s="39"/>
      <c r="TS35" s="39"/>
      <c r="TT35" s="39"/>
      <c r="TU35" s="39"/>
      <c r="TV35" s="39"/>
      <c r="TW35" s="39"/>
      <c r="TX35" s="39"/>
      <c r="TY35" s="39"/>
      <c r="TZ35" s="39"/>
      <c r="UA35" s="39"/>
      <c r="UB35" s="39"/>
      <c r="UC35" s="39"/>
      <c r="UD35" s="39"/>
      <c r="UE35" s="39"/>
      <c r="UF35" s="39"/>
      <c r="UG35" s="39"/>
      <c r="UH35" s="39"/>
      <c r="UI35" s="39"/>
      <c r="UJ35" s="39"/>
      <c r="UK35" s="39"/>
      <c r="UL35" s="39"/>
      <c r="UM35" s="39"/>
      <c r="UN35" s="39"/>
      <c r="UO35" s="39"/>
      <c r="UP35" s="39"/>
      <c r="UQ35" s="39"/>
      <c r="UR35" s="39"/>
      <c r="US35" s="39"/>
      <c r="UT35" s="39"/>
      <c r="UU35" s="39"/>
      <c r="UV35" s="39"/>
      <c r="UW35" s="39">
        <f>SUM(UW25:UW34)</f>
        <v>0</v>
      </c>
      <c r="UX35" s="39">
        <f>SUM(UX25:UX34)</f>
        <v>0</v>
      </c>
      <c r="UY35" s="39"/>
      <c r="UZ35" s="39"/>
      <c r="VA35" s="39"/>
      <c r="VB35" s="39"/>
      <c r="VC35" s="39"/>
      <c r="VD35" s="39"/>
      <c r="VE35" s="39"/>
      <c r="VF35" s="39"/>
      <c r="VG35" s="39"/>
      <c r="VH35" s="39"/>
      <c r="VI35" s="39"/>
      <c r="VJ35" s="39"/>
      <c r="VK35" s="39"/>
      <c r="VL35" s="39"/>
      <c r="VM35" s="39"/>
      <c r="VN35" s="39"/>
      <c r="VO35" s="39"/>
      <c r="VP35" s="39"/>
      <c r="VQ35" s="39"/>
      <c r="VR35" s="39"/>
      <c r="VS35" s="39"/>
      <c r="VT35" s="39"/>
      <c r="VU35" s="39"/>
      <c r="VV35" s="39"/>
      <c r="VW35" s="39"/>
      <c r="VX35" s="39"/>
      <c r="VY35" s="39"/>
      <c r="VZ35" s="39"/>
      <c r="WA35" s="39"/>
      <c r="WB35" s="39"/>
      <c r="WC35" s="39"/>
      <c r="WD35" s="39"/>
      <c r="WE35" s="39"/>
      <c r="WF35" s="39"/>
      <c r="WG35" s="39"/>
      <c r="WH35" s="39"/>
      <c r="WI35" s="39"/>
      <c r="WJ35" s="39"/>
      <c r="WK35" s="39"/>
      <c r="WL35" s="39"/>
      <c r="WM35" s="39"/>
      <c r="WN35" s="39"/>
      <c r="WO35" s="39"/>
      <c r="WP35" s="39"/>
      <c r="WQ35" s="39"/>
      <c r="WR35" s="39"/>
      <c r="WS35" s="39"/>
      <c r="WT35" s="39"/>
      <c r="WU35" s="39"/>
      <c r="WV35" s="39"/>
      <c r="WW35" s="39"/>
      <c r="WX35" s="39"/>
      <c r="WY35" s="39"/>
      <c r="WZ35" s="39"/>
      <c r="XA35" s="39"/>
      <c r="XB35" s="39"/>
      <c r="XC35" s="39"/>
      <c r="XD35" s="39"/>
      <c r="XE35" s="39"/>
      <c r="XF35" s="39"/>
      <c r="XG35" s="39"/>
      <c r="XH35" s="39"/>
      <c r="XI35" s="39">
        <f>SUM(XI25:XI34)</f>
        <v>0</v>
      </c>
      <c r="XJ35" s="39">
        <f>SUM(XJ25:XJ34)</f>
        <v>0</v>
      </c>
      <c r="XK35" s="39"/>
      <c r="XL35" s="39"/>
      <c r="XM35" s="39"/>
      <c r="XN35" s="39"/>
      <c r="XO35" s="39"/>
      <c r="XP35" s="39"/>
      <c r="XQ35" s="39"/>
      <c r="XR35" s="39"/>
      <c r="XS35" s="39"/>
      <c r="XT35" s="39"/>
      <c r="XU35" s="39"/>
      <c r="XV35" s="39"/>
      <c r="XW35" s="39"/>
      <c r="XX35" s="39"/>
      <c r="XY35" s="39"/>
      <c r="XZ35" s="39"/>
      <c r="YA35" s="39"/>
      <c r="YB35" s="39"/>
      <c r="YC35" s="39"/>
      <c r="YD35" s="39"/>
      <c r="YE35" s="39"/>
      <c r="YF35" s="39"/>
      <c r="YG35" s="39"/>
      <c r="YH35" s="39"/>
      <c r="YI35" s="39"/>
      <c r="YJ35" s="39"/>
      <c r="YK35" s="39"/>
      <c r="YL35" s="39"/>
      <c r="YM35" s="39"/>
      <c r="YN35" s="39"/>
      <c r="YO35" s="39"/>
      <c r="YP35" s="39"/>
      <c r="YQ35" s="39"/>
      <c r="YR35" s="39"/>
      <c r="YS35" s="39"/>
      <c r="YT35" s="39"/>
      <c r="YU35" s="39"/>
      <c r="YV35" s="39"/>
      <c r="YW35" s="39"/>
      <c r="YX35" s="39"/>
      <c r="YY35" s="39"/>
      <c r="YZ35" s="39"/>
      <c r="ZA35" s="39"/>
      <c r="ZB35" s="39"/>
      <c r="ZC35" s="39"/>
      <c r="ZD35" s="39"/>
      <c r="ZE35" s="39"/>
      <c r="ZF35" s="39"/>
      <c r="ZG35" s="39"/>
      <c r="ZH35" s="39"/>
      <c r="ZI35" s="39"/>
      <c r="ZJ35" s="39"/>
      <c r="ZK35" s="39"/>
      <c r="ZL35" s="39"/>
      <c r="ZM35" s="39"/>
      <c r="ZN35" s="39"/>
      <c r="ZO35" s="39"/>
      <c r="ZP35" s="39"/>
      <c r="ZQ35" s="39"/>
      <c r="ZR35" s="39"/>
      <c r="ZS35" s="39">
        <f>SUM(ZS25:ZS34)</f>
        <v>0</v>
      </c>
      <c r="ZT35" s="39">
        <f>SUM(ZT25:ZT34)</f>
        <v>0</v>
      </c>
      <c r="ZU35" s="39"/>
      <c r="ZV35" s="39"/>
      <c r="ZW35" s="39"/>
      <c r="ZX35" s="39"/>
      <c r="ZY35" s="39"/>
      <c r="ZZ35" s="39"/>
      <c r="AAA35" s="39"/>
      <c r="AAB35" s="39"/>
      <c r="AAC35" s="39"/>
      <c r="AAD35" s="39"/>
      <c r="AAE35" s="39"/>
      <c r="AAF35" s="39"/>
      <c r="AAG35" s="39"/>
      <c r="AAH35" s="39"/>
      <c r="AAI35" s="39"/>
      <c r="AAJ35" s="39"/>
      <c r="AAK35" s="39"/>
      <c r="AAL35" s="39"/>
      <c r="AAM35" s="39"/>
      <c r="AAN35" s="39"/>
      <c r="AAO35" s="39"/>
      <c r="AAP35" s="39"/>
      <c r="AAQ35" s="39"/>
      <c r="AAR35" s="39"/>
      <c r="AAS35" s="39"/>
      <c r="AAT35" s="39"/>
      <c r="AAU35" s="39"/>
      <c r="AAV35" s="39"/>
      <c r="AAW35" s="39"/>
      <c r="AAX35" s="39"/>
      <c r="AAY35" s="39"/>
      <c r="AAZ35" s="39"/>
      <c r="ABA35" s="39"/>
      <c r="ABB35" s="39"/>
      <c r="ABC35" s="39"/>
      <c r="ABD35" s="39"/>
      <c r="ABE35" s="39"/>
      <c r="ABF35" s="39"/>
      <c r="ABG35" s="39"/>
      <c r="ABH35" s="39"/>
      <c r="ABI35" s="39"/>
      <c r="ABJ35" s="39"/>
      <c r="ABK35" s="39"/>
      <c r="ABL35" s="39"/>
      <c r="ABM35" s="39"/>
      <c r="ABN35" s="39"/>
      <c r="ABO35" s="39"/>
      <c r="ABP35" s="39"/>
      <c r="ABQ35" s="39"/>
      <c r="ABR35" s="39"/>
      <c r="ABS35" s="39"/>
      <c r="ABT35" s="39"/>
      <c r="ABU35" s="39"/>
      <c r="ABV35" s="39"/>
      <c r="ABW35" s="39"/>
      <c r="ABX35" s="39"/>
      <c r="ABY35" s="39"/>
      <c r="ABZ35" s="39"/>
      <c r="ACA35" s="39"/>
      <c r="ACB35" s="39"/>
      <c r="ACC35" s="39"/>
      <c r="ACD35" s="39"/>
      <c r="ACE35" s="39">
        <f>SUM(ACE25:ACE34)</f>
        <v>0</v>
      </c>
      <c r="ACF35" s="39"/>
      <c r="ACG35" s="39">
        <f>SUM(ACG25:ACG34)</f>
        <v>31062.079999999998</v>
      </c>
      <c r="ACH35" s="40"/>
      <c r="ACI35" s="71" t="s">
        <v>223</v>
      </c>
      <c r="ACJ35" s="71" t="s">
        <v>37</v>
      </c>
    </row>
    <row r="36" spans="1:764" x14ac:dyDescent="0.25">
      <c r="A36" s="161">
        <v>4</v>
      </c>
      <c r="B36" s="151" t="s">
        <v>89</v>
      </c>
      <c r="C36" s="154" t="s">
        <v>3</v>
      </c>
      <c r="D36" s="49" t="s">
        <v>6</v>
      </c>
      <c r="E36" s="72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43" cm="1">
        <f t="array" ref="BO36">SUMPRODUCT(E36:BM36,--(E$2:BM$2=BO$2))</f>
        <v>0</v>
      </c>
      <c r="BP36" s="43" cm="1">
        <f t="array" ref="BP36">SUMPRODUCT(F36:BN36,--(F$2:BN$2=BP$2))</f>
        <v>0</v>
      </c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 cm="1">
        <f t="array" ref="DW36">SUMPRODUCT(BQ36:DU36,--(BQ$2:DU$2=DW$2))</f>
        <v>0</v>
      </c>
      <c r="DX36" s="43" cm="1">
        <f t="array" ref="DX36">SUMPRODUCT(BR36:DV36,--(BR$2:DV$2=DX$2))</f>
        <v>0</v>
      </c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 cm="1">
        <f t="array" ref="GI36">SUMPRODUCT(DY36:GG36,--(DY$2:GG$2=GI$2))</f>
        <v>0</v>
      </c>
      <c r="GJ36" s="43" cm="1">
        <f t="array" ref="GJ36">SUMPRODUCT(DZ36:GH36,--(DZ$2:GH$2=GJ$2))</f>
        <v>0</v>
      </c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>
        <f>GK36+GM36+GO36+GQ36+GS36+GU36+GW36+GY36+HA36+HC36+HE36+HG36+HI36+HK36+HM36+HO36+HQ36+HS36+HU36+HW36+HY36+IA36+IC36+IE36+IG36+II36+IK36+IM36+IO36+IQ36</f>
        <v>0</v>
      </c>
      <c r="IT36" s="43">
        <f>GL36+GN36+GP36+GR36+GT36+GV36+GX36+GZ36+HB36+HD36+HF36+HH36+HJ36+HL36+HN36+HP36+HR36+HT36+HV36+HX36+HZ36+IB36+ID36+IF36+IH36+IJ36+IL36+IN36+IP36+IR36</f>
        <v>0</v>
      </c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43"/>
      <c r="KI36" s="43"/>
      <c r="KJ36" s="43"/>
      <c r="KK36" s="43"/>
      <c r="KL36" s="43"/>
      <c r="KM36" s="43"/>
      <c r="KN36" s="43"/>
      <c r="KO36" s="43"/>
      <c r="KP36" s="43"/>
      <c r="KQ36" s="43"/>
      <c r="KR36" s="43"/>
      <c r="KS36" s="43"/>
      <c r="KT36" s="43"/>
      <c r="KU36" s="43"/>
      <c r="KV36" s="43"/>
      <c r="KW36" s="43"/>
      <c r="KX36" s="43"/>
      <c r="KY36" s="43"/>
      <c r="KZ36" s="43"/>
      <c r="LA36" s="43"/>
      <c r="LB36" s="43"/>
      <c r="LC36" s="43"/>
      <c r="LD36" s="43"/>
      <c r="LE36" s="43">
        <f>IU36+IW36+IY36+JA36+JC36+JE36+JG36+JI36+JK36+JM36+JO36+JQ36+JS36+JU36+JW36+JY36+KA36+KC36+KE36+KG36+KI36+KK36+KM36+KO36+KQ36+KS36+KU36+KW36+KY36+LA36+LC36</f>
        <v>0</v>
      </c>
      <c r="LF36" s="43">
        <f>IV36+IX36+IZ36+JB36+JD36+JF36+JH36+JJ36+JL36+JN36+JP36+JR36+JT36+JV36+JX36+JZ36+KB36+KD36+KF36+KH36+KJ36+KL36+KN36+KP36+KR36+KT36+KV36+KX36+KZ36+LB36+LD36</f>
        <v>0</v>
      </c>
      <c r="LG36" s="43"/>
      <c r="LH36" s="43"/>
      <c r="LI36" s="43"/>
      <c r="LJ36" s="43"/>
      <c r="LK36" s="43"/>
      <c r="LL36" s="43"/>
      <c r="LM36" s="43"/>
      <c r="LN36" s="43"/>
      <c r="LO36" s="43"/>
      <c r="LP36" s="43"/>
      <c r="LQ36" s="43"/>
      <c r="LR36" s="43"/>
      <c r="LS36" s="43"/>
      <c r="LT36" s="43"/>
      <c r="LU36" s="43"/>
      <c r="LV36" s="43"/>
      <c r="LW36" s="43"/>
      <c r="LX36" s="43"/>
      <c r="LY36" s="43"/>
      <c r="LZ36" s="43"/>
      <c r="MA36" s="43"/>
      <c r="MB36" s="43"/>
      <c r="MC36" s="43"/>
      <c r="MD36" s="43"/>
      <c r="ME36" s="43"/>
      <c r="MF36" s="43"/>
      <c r="MG36" s="43"/>
      <c r="MH36" s="43"/>
      <c r="MI36" s="43"/>
      <c r="MJ36" s="43"/>
      <c r="MK36" s="43"/>
      <c r="ML36" s="43"/>
      <c r="MM36" s="43"/>
      <c r="MN36" s="43"/>
      <c r="MO36" s="43"/>
      <c r="MP36" s="43"/>
      <c r="MQ36" s="43"/>
      <c r="MR36" s="43"/>
      <c r="MS36" s="43"/>
      <c r="MT36" s="43"/>
      <c r="MU36" s="43"/>
      <c r="MV36" s="43"/>
      <c r="MW36" s="43"/>
      <c r="MX36" s="43"/>
      <c r="MY36" s="43"/>
      <c r="MZ36" s="43"/>
      <c r="NA36" s="43"/>
      <c r="NB36" s="43"/>
      <c r="NC36" s="43"/>
      <c r="ND36" s="43"/>
      <c r="NE36" s="43"/>
      <c r="NF36" s="43"/>
      <c r="NG36" s="43"/>
      <c r="NH36" s="43"/>
      <c r="NI36" s="43"/>
      <c r="NJ36" s="43"/>
      <c r="NK36" s="43"/>
      <c r="NL36" s="43"/>
      <c r="NM36" s="43"/>
      <c r="NN36" s="43"/>
      <c r="NO36" s="43">
        <f>LG36+LI36+LK36+LM36+LO36+LQ36+LS36+LU36+LW36+LY36+MA36+MC36+ME36+MG36+MI36+MK36+MM36+MO36+MQ36+MS36+MU36+MW36+MY36+NA36+NC36+NE36+NG36+NI36+NK36+NM36</f>
        <v>0</v>
      </c>
      <c r="NP36" s="43">
        <f>LH36+LJ36+LL36+LN36+LP36+LR36+LT36+LV36+LX36+LZ36+MB36+MD36+MF36+MH36+MJ36+ML36+MN36+MP36+MR36+MT36+MV36+MX36+MZ36+NB36+ND36+NF36+NH36+NJ36+NL36+NN36</f>
        <v>0</v>
      </c>
      <c r="NQ36" s="43"/>
      <c r="NR36" s="43"/>
      <c r="NS36" s="43"/>
      <c r="NT36" s="43"/>
      <c r="NU36" s="43"/>
      <c r="NV36" s="43"/>
      <c r="NW36" s="43"/>
      <c r="NX36" s="43"/>
      <c r="NY36" s="43"/>
      <c r="NZ36" s="43"/>
      <c r="OA36" s="43"/>
      <c r="OB36" s="43"/>
      <c r="OC36" s="43"/>
      <c r="OD36" s="43"/>
      <c r="OE36" s="43"/>
      <c r="OF36" s="43"/>
      <c r="OG36" s="43"/>
      <c r="OH36" s="43"/>
      <c r="OI36" s="43"/>
      <c r="OJ36" s="43"/>
      <c r="OK36" s="43"/>
      <c r="OL36" s="43"/>
      <c r="OM36" s="43"/>
      <c r="ON36" s="43"/>
      <c r="OO36" s="43"/>
      <c r="OP36" s="43"/>
      <c r="OQ36" s="43"/>
      <c r="OR36" s="43"/>
      <c r="OS36" s="43"/>
      <c r="OT36" s="43"/>
      <c r="OU36" s="43"/>
      <c r="OV36" s="43"/>
      <c r="OW36" s="43"/>
      <c r="OX36" s="43"/>
      <c r="OY36" s="43"/>
      <c r="OZ36" s="43"/>
      <c r="PA36" s="43"/>
      <c r="PB36" s="43"/>
      <c r="PC36" s="43"/>
      <c r="PD36" s="43"/>
      <c r="PE36" s="43"/>
      <c r="PF36" s="43"/>
      <c r="PG36" s="43"/>
      <c r="PH36" s="43"/>
      <c r="PI36" s="43"/>
      <c r="PJ36" s="43"/>
      <c r="PK36" s="43"/>
      <c r="PL36" s="43"/>
      <c r="PM36" s="43"/>
      <c r="PN36" s="43"/>
      <c r="PO36" s="43"/>
      <c r="PP36" s="43"/>
      <c r="PQ36" s="43"/>
      <c r="PR36" s="43"/>
      <c r="PS36" s="43"/>
      <c r="PT36" s="43"/>
      <c r="PU36" s="43"/>
      <c r="PV36" s="43"/>
      <c r="PW36" s="43"/>
      <c r="PX36" s="43"/>
      <c r="PY36" s="43"/>
      <c r="PZ36" s="43"/>
      <c r="QA36" s="43">
        <f>NQ36+NS36+NU36+NW36+NY36+OA36+OC36+OE36+OG36+OI36+OK36+OM36+OO36+OQ36+OS36+OU36+OW36+OY36+PA36+PC36+PE36+PG36+PI36+PK36+PM36+PO36+PQ36+PS36+PU36+PW36+PY36</f>
        <v>0</v>
      </c>
      <c r="QB36" s="43">
        <f>NR36+NT36+NV36+NX36+NZ36+OB36+OD36+OF36+OH36+OJ36+OL36+ON36+OP36+OR36+OT36+OV36+OX36+OZ36+PB36+PD36+PF36+PH36+PJ36+PL36+PN36+PP36+PR36+PT36+PV36+PX36+PZ36</f>
        <v>0</v>
      </c>
      <c r="QC36" s="43"/>
      <c r="QD36" s="43"/>
      <c r="QE36" s="43"/>
      <c r="QF36" s="43"/>
      <c r="QG36" s="43"/>
      <c r="QH36" s="43"/>
      <c r="QI36" s="43"/>
      <c r="QJ36" s="43"/>
      <c r="QK36" s="43"/>
      <c r="QL36" s="43"/>
      <c r="QM36" s="43"/>
      <c r="QN36" s="43"/>
      <c r="QO36" s="43"/>
      <c r="QP36" s="43"/>
      <c r="QQ36" s="43"/>
      <c r="QR36" s="43"/>
      <c r="QS36" s="43"/>
      <c r="QT36" s="43"/>
      <c r="QU36" s="43"/>
      <c r="QV36" s="43"/>
      <c r="QW36" s="43"/>
      <c r="QX36" s="43"/>
      <c r="QY36" s="43"/>
      <c r="QZ36" s="43"/>
      <c r="RA36" s="43"/>
      <c r="RB36" s="43"/>
      <c r="RC36" s="43"/>
      <c r="RD36" s="43"/>
      <c r="RE36" s="43"/>
      <c r="RF36" s="43"/>
      <c r="RG36" s="43"/>
      <c r="RH36" s="43"/>
      <c r="RI36" s="43"/>
      <c r="RJ36" s="43"/>
      <c r="RK36" s="43"/>
      <c r="RL36" s="43"/>
      <c r="RM36" s="43"/>
      <c r="RN36" s="43"/>
      <c r="RO36" s="43"/>
      <c r="RP36" s="43"/>
      <c r="RQ36" s="43"/>
      <c r="RR36" s="43"/>
      <c r="RS36" s="43"/>
      <c r="RT36" s="43"/>
      <c r="RU36" s="43"/>
      <c r="RV36" s="43"/>
      <c r="RW36" s="43"/>
      <c r="RX36" s="43"/>
      <c r="RY36" s="43"/>
      <c r="RZ36" s="43"/>
      <c r="SA36" s="43"/>
      <c r="SB36" s="43"/>
      <c r="SC36" s="43"/>
      <c r="SD36" s="43"/>
      <c r="SE36" s="43"/>
      <c r="SF36" s="43"/>
      <c r="SG36" s="43"/>
      <c r="SH36" s="43"/>
      <c r="SI36" s="43"/>
      <c r="SJ36" s="43"/>
      <c r="SK36" s="43"/>
      <c r="SL36" s="43"/>
      <c r="SM36" s="43">
        <f>QC36+QE36+QG36+QI36+QK36+QM36+QO36+QQ36+QS36+QU36+QW36+QY36+RA36+RC36+RE36+RG36+RI36+RK36+RM36+RO36+RQ36+RS36+RU36+RW36+RY36+SA36+SC36+SE36+SG36+SI36+SK36</f>
        <v>0</v>
      </c>
      <c r="SN36" s="43">
        <f>QD36+QF36+QH36+QJ36+QL36+QN36+QP36+QR36+QT36+QV36+QX36+QZ36+RB36+RD36+RF36+RH36+RJ36+RL36+RN36+RP36+RR36+RT36+RV36+RX36+RZ36+SB36+SD36+SF36+SH36+SJ36+SL36</f>
        <v>0</v>
      </c>
      <c r="SO36" s="43"/>
      <c r="SP36" s="43"/>
      <c r="SQ36" s="43"/>
      <c r="SR36" s="43"/>
      <c r="SS36" s="43"/>
      <c r="ST36" s="43"/>
      <c r="SU36" s="43"/>
      <c r="SV36" s="43"/>
      <c r="SW36" s="43"/>
      <c r="SX36" s="43"/>
      <c r="SY36" s="43"/>
      <c r="SZ36" s="43"/>
      <c r="TA36" s="43"/>
      <c r="TB36" s="43"/>
      <c r="TC36" s="43"/>
      <c r="TD36" s="43"/>
      <c r="TE36" s="43"/>
      <c r="TF36" s="43"/>
      <c r="TG36" s="43"/>
      <c r="TH36" s="43"/>
      <c r="TI36" s="43"/>
      <c r="TJ36" s="43"/>
      <c r="TK36" s="43"/>
      <c r="TL36" s="43"/>
      <c r="TM36" s="43"/>
      <c r="TN36" s="43"/>
      <c r="TO36" s="43"/>
      <c r="TP36" s="43"/>
      <c r="TQ36" s="43"/>
      <c r="TR36" s="43"/>
      <c r="TS36" s="43"/>
      <c r="TT36" s="43"/>
      <c r="TU36" s="43"/>
      <c r="TV36" s="43"/>
      <c r="TW36" s="43"/>
      <c r="TX36" s="43"/>
      <c r="TY36" s="43"/>
      <c r="TZ36" s="43"/>
      <c r="UA36" s="43"/>
      <c r="UB36" s="43"/>
      <c r="UC36" s="43"/>
      <c r="UD36" s="43"/>
      <c r="UE36" s="43"/>
      <c r="UF36" s="43"/>
      <c r="UG36" s="43"/>
      <c r="UH36" s="43"/>
      <c r="UI36" s="43"/>
      <c r="UJ36" s="43"/>
      <c r="UK36" s="43"/>
      <c r="UL36" s="43"/>
      <c r="UM36" s="43"/>
      <c r="UN36" s="43"/>
      <c r="UO36" s="43"/>
      <c r="UP36" s="43"/>
      <c r="UQ36" s="43"/>
      <c r="UR36" s="43"/>
      <c r="US36" s="43"/>
      <c r="UT36" s="43"/>
      <c r="UU36" s="43"/>
      <c r="UV36" s="43"/>
      <c r="UW36" s="43">
        <f>SO36+SQ36+SS36+SU36+SW36+SY36+TA36+TC36+TE36+TG36+TI36+TK36+TM36+TO36+TQ36+TS36+TU36+TW36+TY36+UA36+UC36+UE36+UG36+UI36+UK36+UM36+UO36+UQ36+US36+UU36</f>
        <v>0</v>
      </c>
      <c r="UX36" s="43">
        <f>SP36+SR36+ST36+SV36+SX36+SZ36+TB36+TD36+TF36+TH36+TJ36+TL36+TN36+TP36+TR36+TT36+TV36+TX36+TZ36+UB36+UD36+UF36+UH36+UJ36+UL36+UN36+UP36+UR36+UT36+UV36</f>
        <v>0</v>
      </c>
      <c r="UY36" s="43"/>
      <c r="UZ36" s="43"/>
      <c r="VA36" s="43"/>
      <c r="VB36" s="43"/>
      <c r="VC36" s="43"/>
      <c r="VD36" s="43"/>
      <c r="VE36" s="43"/>
      <c r="VF36" s="43"/>
      <c r="VG36" s="43"/>
      <c r="VH36" s="43"/>
      <c r="VI36" s="43"/>
      <c r="VJ36" s="43"/>
      <c r="VK36" s="43"/>
      <c r="VL36" s="43"/>
      <c r="VM36" s="43"/>
      <c r="VN36" s="43"/>
      <c r="VO36" s="43"/>
      <c r="VP36" s="43"/>
      <c r="VQ36" s="43"/>
      <c r="VR36" s="43"/>
      <c r="VS36" s="43"/>
      <c r="VT36" s="43"/>
      <c r="VU36" s="43"/>
      <c r="VV36" s="43"/>
      <c r="VW36" s="43"/>
      <c r="VX36" s="43"/>
      <c r="VY36" s="43"/>
      <c r="VZ36" s="43"/>
      <c r="WA36" s="43"/>
      <c r="WB36" s="43"/>
      <c r="WC36" s="43"/>
      <c r="WD36" s="43"/>
      <c r="WE36" s="43"/>
      <c r="WF36" s="43"/>
      <c r="WG36" s="43"/>
      <c r="WH36" s="43"/>
      <c r="WI36" s="43"/>
      <c r="WJ36" s="43"/>
      <c r="WK36" s="43"/>
      <c r="WL36" s="43"/>
      <c r="WM36" s="43"/>
      <c r="WN36" s="43"/>
      <c r="WO36" s="43"/>
      <c r="WP36" s="43"/>
      <c r="WQ36" s="43"/>
      <c r="WR36" s="43"/>
      <c r="WS36" s="43"/>
      <c r="WT36" s="43"/>
      <c r="WU36" s="43"/>
      <c r="WV36" s="43"/>
      <c r="WW36" s="43"/>
      <c r="WX36" s="43"/>
      <c r="WY36" s="43"/>
      <c r="WZ36" s="43"/>
      <c r="XA36" s="43"/>
      <c r="XB36" s="43"/>
      <c r="XC36" s="43"/>
      <c r="XD36" s="43"/>
      <c r="XE36" s="43"/>
      <c r="XF36" s="43"/>
      <c r="XG36" s="43"/>
      <c r="XH36" s="43"/>
      <c r="XI36" s="43">
        <f>UY36+VA36+VC36+VE36+VG36+VI36+VK36+VM36+VO36+VQ36+VS36+VU36+VW36+VY36+WA36+WC36+WE36+WG36+WI36+WK36+WM36+WO36+WQ36+WS36+WU36+WW36+WY36+XA36+XC36+XE36+XG36</f>
        <v>0</v>
      </c>
      <c r="XJ36" s="43">
        <f>UZ36+VB36+VD36+VF36+VH36+VJ36+VL36+VN36+VP36+VR36+VT36+VV36+VX36+VZ36+WB36+WD36+WF36+WH36+WJ36+WL36+WN36+WP36+WR36+WT36+WV36+WX36+WZ36+XB36+XD36+XF36+XH36</f>
        <v>0</v>
      </c>
      <c r="XK36" s="43"/>
      <c r="XL36" s="43"/>
      <c r="XM36" s="43"/>
      <c r="XN36" s="43"/>
      <c r="XO36" s="43"/>
      <c r="XP36" s="43"/>
      <c r="XQ36" s="43"/>
      <c r="XR36" s="43"/>
      <c r="XS36" s="43"/>
      <c r="XT36" s="43"/>
      <c r="XU36" s="43"/>
      <c r="XV36" s="43"/>
      <c r="XW36" s="43"/>
      <c r="XX36" s="43"/>
      <c r="XY36" s="43"/>
      <c r="XZ36" s="43"/>
      <c r="YA36" s="43"/>
      <c r="YB36" s="43"/>
      <c r="YC36" s="43"/>
      <c r="YD36" s="43"/>
      <c r="YE36" s="43"/>
      <c r="YF36" s="43"/>
      <c r="YG36" s="43"/>
      <c r="YH36" s="43"/>
      <c r="YI36" s="43"/>
      <c r="YJ36" s="43"/>
      <c r="YK36" s="43"/>
      <c r="YL36" s="43"/>
      <c r="YM36" s="43"/>
      <c r="YN36" s="43"/>
      <c r="YO36" s="43"/>
      <c r="YP36" s="43"/>
      <c r="YQ36" s="43"/>
      <c r="YR36" s="43"/>
      <c r="YS36" s="43"/>
      <c r="YT36" s="43"/>
      <c r="YU36" s="43"/>
      <c r="YV36" s="43"/>
      <c r="YW36" s="43"/>
      <c r="YX36" s="43"/>
      <c r="YY36" s="43"/>
      <c r="YZ36" s="43"/>
      <c r="ZA36" s="43"/>
      <c r="ZB36" s="43"/>
      <c r="ZC36" s="43"/>
      <c r="ZD36" s="43"/>
      <c r="ZE36" s="43"/>
      <c r="ZF36" s="43"/>
      <c r="ZG36" s="43"/>
      <c r="ZH36" s="43"/>
      <c r="ZI36" s="43"/>
      <c r="ZJ36" s="43"/>
      <c r="ZK36" s="43"/>
      <c r="ZL36" s="43"/>
      <c r="ZM36" s="43"/>
      <c r="ZN36" s="43"/>
      <c r="ZO36" s="43"/>
      <c r="ZP36" s="43"/>
      <c r="ZQ36" s="43"/>
      <c r="ZR36" s="43"/>
      <c r="ZS36" s="43">
        <f>XK36+XM36+XO36+XQ36+XS36+XU36+XW36+XY36+YA36+YC36+YE36+YG36+YI36+YK36+YM36+YO36+YQ36+YS36+YU36+YW36+YY36+ZA36+ZC36+ZE36+ZG36+ZI36+ZK36+ZM36+ZO36+ZQ36</f>
        <v>0</v>
      </c>
      <c r="ZT36" s="43">
        <f>XL36+XN36+XP36+XR36+XT36+XV36+XX36+XZ36+YB36+YD36+YF36+YH36+YJ36+YL36+YN36+YP36+YR36+YT36+YV36+YX36+YZ36+ZB36+ZD36+ZF36+ZH36+ZJ36+ZL36+ZN36+ZP36+ZR36</f>
        <v>0</v>
      </c>
      <c r="ZU36" s="43"/>
      <c r="ZV36" s="43"/>
      <c r="ZW36" s="43"/>
      <c r="ZX36" s="43"/>
      <c r="ZY36" s="43"/>
      <c r="ZZ36" s="43"/>
      <c r="AAA36" s="43"/>
      <c r="AAB36" s="43"/>
      <c r="AAC36" s="43"/>
      <c r="AAD36" s="43"/>
      <c r="AAE36" s="43"/>
      <c r="AAF36" s="43"/>
      <c r="AAG36" s="43"/>
      <c r="AAH36" s="43"/>
      <c r="AAI36" s="43"/>
      <c r="AAJ36" s="43"/>
      <c r="AAK36" s="43"/>
      <c r="AAL36" s="43"/>
      <c r="AAM36" s="43"/>
      <c r="AAN36" s="43"/>
      <c r="AAO36" s="43"/>
      <c r="AAP36" s="43"/>
      <c r="AAQ36" s="43"/>
      <c r="AAR36" s="43"/>
      <c r="AAS36" s="43"/>
      <c r="AAT36" s="43"/>
      <c r="AAU36" s="43"/>
      <c r="AAV36" s="43"/>
      <c r="AAW36" s="43"/>
      <c r="AAX36" s="43"/>
      <c r="AAY36" s="43"/>
      <c r="AAZ36" s="43"/>
      <c r="ABA36" s="43"/>
      <c r="ABB36" s="43"/>
      <c r="ABC36" s="43"/>
      <c r="ABD36" s="43"/>
      <c r="ABE36" s="43"/>
      <c r="ABF36" s="43"/>
      <c r="ABG36" s="43"/>
      <c r="ABH36" s="43"/>
      <c r="ABI36" s="43"/>
      <c r="ABJ36" s="43"/>
      <c r="ABK36" s="43"/>
      <c r="ABL36" s="43"/>
      <c r="ABM36" s="43"/>
      <c r="ABN36" s="43"/>
      <c r="ABO36" s="43"/>
      <c r="ABP36" s="43"/>
      <c r="ABQ36" s="43"/>
      <c r="ABR36" s="43"/>
      <c r="ABS36" s="43"/>
      <c r="ABT36" s="43"/>
      <c r="ABU36" s="43"/>
      <c r="ABV36" s="43"/>
      <c r="ABW36" s="43"/>
      <c r="ABX36" s="43"/>
      <c r="ABY36" s="43"/>
      <c r="ABZ36" s="43"/>
      <c r="ACA36" s="43"/>
      <c r="ACB36" s="43"/>
      <c r="ACC36" s="43"/>
      <c r="ACD36" s="44"/>
      <c r="ACE36" s="43">
        <f>ZU36+ZW36+ZY36+AAA36+AAC36+AAE36+AAG36+AAI36+AAK36+AAM36+AAO36+AAQ36+AAS36+AAU36+AAW36+AAY36+ABA36+ABC36+ABE36+ABG36+ABI36+ABK36+ABM36+ABO36+ABQ36+ABS36+ABU36+ABW36+ABY36+ACA36+ACC36</f>
        <v>0</v>
      </c>
      <c r="ACF36" s="43"/>
      <c r="ACG36" s="43">
        <f>BO36+DW36+GI36+IS36+LE36+NO36+QA36+SM36+UW36+XI36+ZS36+ACE36</f>
        <v>0</v>
      </c>
      <c r="ACH36" s="54"/>
      <c r="ACI36" s="71" t="s">
        <v>152</v>
      </c>
      <c r="ACJ36" s="71" t="s">
        <v>89</v>
      </c>
    </row>
    <row r="37" spans="1:764" x14ac:dyDescent="0.25">
      <c r="A37" s="162"/>
      <c r="B37" s="152"/>
      <c r="C37" s="155"/>
      <c r="D37" s="50" t="s">
        <v>7</v>
      </c>
      <c r="E37" s="74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24" cm="1">
        <f t="array" ref="BO37">SUMPRODUCT(E37:BM37,--(E$2:BM$2=BO$2))</f>
        <v>0</v>
      </c>
      <c r="BP37" s="24" cm="1">
        <f t="array" ref="BP37">SUMPRODUCT(F37:BN37,--(F$2:BN$2=BP$2))</f>
        <v>0</v>
      </c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 cm="1">
        <f t="array" ref="DW37">SUMPRODUCT(BQ37:DU37,--(BQ$2:DU$2=DW$2))</f>
        <v>0</v>
      </c>
      <c r="DX37" s="24" cm="1">
        <f t="array" ref="DX37">SUMPRODUCT(BR37:DV37,--(BR$2:DV$2=DX$2))</f>
        <v>0</v>
      </c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  <c r="ES37" s="24"/>
      <c r="ET37" s="24"/>
      <c r="EU37" s="24"/>
      <c r="EV37" s="24"/>
      <c r="EW37" s="24"/>
      <c r="EX37" s="24"/>
      <c r="EY37" s="24"/>
      <c r="EZ37" s="24"/>
      <c r="FA37" s="24"/>
      <c r="FB37" s="24"/>
      <c r="FC37" s="24"/>
      <c r="FD37" s="24"/>
      <c r="FE37" s="24"/>
      <c r="FF37" s="24"/>
      <c r="FG37" s="24"/>
      <c r="FH37" s="24"/>
      <c r="FI37" s="24"/>
      <c r="FJ37" s="24"/>
      <c r="FK37" s="24"/>
      <c r="FL37" s="24"/>
      <c r="FM37" s="24"/>
      <c r="FN37" s="24"/>
      <c r="FO37" s="24"/>
      <c r="FP37" s="24"/>
      <c r="FQ37" s="24"/>
      <c r="FR37" s="24"/>
      <c r="FS37" s="24"/>
      <c r="FT37" s="24"/>
      <c r="FU37" s="24"/>
      <c r="FV37" s="24"/>
      <c r="FW37" s="24"/>
      <c r="FX37" s="24"/>
      <c r="FY37" s="24"/>
      <c r="FZ37" s="24"/>
      <c r="GA37" s="24"/>
      <c r="GB37" s="24"/>
      <c r="GC37" s="24"/>
      <c r="GD37" s="24"/>
      <c r="GE37" s="24"/>
      <c r="GF37" s="24"/>
      <c r="GG37" s="24"/>
      <c r="GH37" s="24"/>
      <c r="GI37" s="24" cm="1">
        <f t="array" ref="GI37">SUMPRODUCT(DY37:GG37,--(DY$2:GG$2=GI$2))</f>
        <v>0</v>
      </c>
      <c r="GJ37" s="24" cm="1">
        <f t="array" ref="GJ37">SUMPRODUCT(DZ37:GH37,--(DZ$2:GH$2=GJ$2))</f>
        <v>0</v>
      </c>
      <c r="GK37" s="24"/>
      <c r="GL37" s="24"/>
      <c r="GM37" s="24"/>
      <c r="GN37" s="24"/>
      <c r="GO37" s="24"/>
      <c r="GP37" s="24"/>
      <c r="GQ37" s="24"/>
      <c r="GR37" s="24"/>
      <c r="GS37" s="24"/>
      <c r="GT37" s="24"/>
      <c r="GU37" s="24"/>
      <c r="GV37" s="24"/>
      <c r="GW37" s="24"/>
      <c r="GX37" s="24"/>
      <c r="GY37" s="24"/>
      <c r="GZ37" s="24"/>
      <c r="HA37" s="24"/>
      <c r="HB37" s="24"/>
      <c r="HC37" s="24"/>
      <c r="HD37" s="24"/>
      <c r="HE37" s="24"/>
      <c r="HF37" s="24"/>
      <c r="HG37" s="24"/>
      <c r="HH37" s="24"/>
      <c r="HI37" s="24"/>
      <c r="HJ37" s="24"/>
      <c r="HK37" s="24"/>
      <c r="HL37" s="24"/>
      <c r="HM37" s="24"/>
      <c r="HN37" s="24"/>
      <c r="HO37" s="24"/>
      <c r="HP37" s="24"/>
      <c r="HQ37" s="24"/>
      <c r="HR37" s="24"/>
      <c r="HS37" s="24"/>
      <c r="HT37" s="24"/>
      <c r="HU37" s="24"/>
      <c r="HV37" s="24"/>
      <c r="HW37" s="24"/>
      <c r="HX37" s="24"/>
      <c r="HY37" s="24"/>
      <c r="HZ37" s="24"/>
      <c r="IA37" s="24"/>
      <c r="IB37" s="24"/>
      <c r="IC37" s="24"/>
      <c r="ID37" s="24"/>
      <c r="IE37" s="24"/>
      <c r="IF37" s="24"/>
      <c r="IG37" s="24"/>
      <c r="IH37" s="24"/>
      <c r="II37" s="24"/>
      <c r="IJ37" s="24"/>
      <c r="IK37" s="24"/>
      <c r="IL37" s="24"/>
      <c r="IM37" s="24"/>
      <c r="IN37" s="24"/>
      <c r="IO37" s="24"/>
      <c r="IP37" s="24"/>
      <c r="IQ37" s="24"/>
      <c r="IR37" s="24"/>
      <c r="IS37" s="24">
        <f t="shared" ref="IS37:IS45" si="124">GK37+GM37+GO37+GQ37+GS37+GU37+GW37+GY37+HA37+HC37+HE37+HG37+HI37+HK37+HM37+HO37+HQ37+HS37+HU37+HW37+HY37+IA37+IC37+IE37+IG37+II37+IK37+IM37+IO37+IQ37</f>
        <v>0</v>
      </c>
      <c r="IT37" s="24">
        <f t="shared" ref="IT37:IT45" si="125">GL37+GN37+GP37+GR37+GT37+GV37+GX37+GZ37+HB37+HD37+HF37+HH37+HJ37+HL37+HN37+HP37+HR37+HT37+HV37+HX37+HZ37+IB37+ID37+IF37+IH37+IJ37+IL37+IN37+IP37+IR37</f>
        <v>0</v>
      </c>
      <c r="IU37" s="24"/>
      <c r="IV37" s="24"/>
      <c r="IW37" s="24"/>
      <c r="IX37" s="24"/>
      <c r="IY37" s="24"/>
      <c r="IZ37" s="24"/>
      <c r="JA37" s="24"/>
      <c r="JB37" s="24"/>
      <c r="JC37" s="24"/>
      <c r="JD37" s="24"/>
      <c r="JE37" s="24"/>
      <c r="JF37" s="24"/>
      <c r="JG37" s="24"/>
      <c r="JH37" s="24"/>
      <c r="JI37" s="24"/>
      <c r="JJ37" s="24"/>
      <c r="JK37" s="24"/>
      <c r="JL37" s="24"/>
      <c r="JM37" s="24"/>
      <c r="JN37" s="24"/>
      <c r="JO37" s="24"/>
      <c r="JP37" s="24"/>
      <c r="JQ37" s="24"/>
      <c r="JR37" s="24"/>
      <c r="JS37" s="24"/>
      <c r="JT37" s="24"/>
      <c r="JU37" s="24"/>
      <c r="JV37" s="24"/>
      <c r="JW37" s="24"/>
      <c r="JX37" s="24"/>
      <c r="JY37" s="24"/>
      <c r="JZ37" s="24"/>
      <c r="KA37" s="24"/>
      <c r="KB37" s="24"/>
      <c r="KC37" s="24"/>
      <c r="KD37" s="24"/>
      <c r="KE37" s="24"/>
      <c r="KF37" s="24"/>
      <c r="KG37" s="24"/>
      <c r="KH37" s="24"/>
      <c r="KI37" s="24"/>
      <c r="KJ37" s="24"/>
      <c r="KK37" s="24"/>
      <c r="KL37" s="24"/>
      <c r="KM37" s="24"/>
      <c r="KN37" s="24"/>
      <c r="KO37" s="24"/>
      <c r="KP37" s="24"/>
      <c r="KQ37" s="24"/>
      <c r="KR37" s="24"/>
      <c r="KS37" s="24"/>
      <c r="KT37" s="24"/>
      <c r="KU37" s="24"/>
      <c r="KV37" s="24"/>
      <c r="KW37" s="24"/>
      <c r="KX37" s="24"/>
      <c r="KY37" s="24"/>
      <c r="KZ37" s="24"/>
      <c r="LA37" s="24"/>
      <c r="LB37" s="24"/>
      <c r="LC37" s="24"/>
      <c r="LD37" s="24"/>
      <c r="LE37" s="24">
        <f t="shared" ref="LE37:LE45" si="126">IU37+IW37+IY37+JA37+JC37+JE37+JG37+JI37+JK37+JM37+JO37+JQ37+JS37+JU37+JW37+JY37+KA37+KC37+KE37+KG37+KI37+KK37+KM37+KO37+KQ37+KS37+KU37+KW37+KY37+LA37+LC37</f>
        <v>0</v>
      </c>
      <c r="LF37" s="24">
        <f t="shared" ref="LF37:LF45" si="127">IV37+IX37+IZ37+JB37+JD37+JF37+JH37+JJ37+JL37+JN37+JP37+JR37+JT37+JV37+JX37+JZ37+KB37+KD37+KF37+KH37+KJ37+KL37+KN37+KP37+KR37+KT37+KV37+KX37+KZ37+LB37+LD37</f>
        <v>0</v>
      </c>
      <c r="LG37" s="24"/>
      <c r="LH37" s="24"/>
      <c r="LI37" s="24"/>
      <c r="LJ37" s="24"/>
      <c r="LK37" s="24"/>
      <c r="LL37" s="24"/>
      <c r="LM37" s="24"/>
      <c r="LN37" s="24"/>
      <c r="LO37" s="24"/>
      <c r="LP37" s="24"/>
      <c r="LQ37" s="24"/>
      <c r="LR37" s="24"/>
      <c r="LS37" s="24"/>
      <c r="LT37" s="24"/>
      <c r="LU37" s="24"/>
      <c r="LV37" s="24"/>
      <c r="LW37" s="24"/>
      <c r="LX37" s="24"/>
      <c r="LY37" s="24"/>
      <c r="LZ37" s="24"/>
      <c r="MA37" s="24"/>
      <c r="MB37" s="24"/>
      <c r="MC37" s="24"/>
      <c r="MD37" s="24"/>
      <c r="ME37" s="24"/>
      <c r="MF37" s="24"/>
      <c r="MG37" s="24"/>
      <c r="MH37" s="24"/>
      <c r="MI37" s="24"/>
      <c r="MJ37" s="24"/>
      <c r="MK37" s="24"/>
      <c r="ML37" s="24"/>
      <c r="MM37" s="24"/>
      <c r="MN37" s="24"/>
      <c r="MO37" s="24"/>
      <c r="MP37" s="24"/>
      <c r="MQ37" s="24"/>
      <c r="MR37" s="24"/>
      <c r="MS37" s="24"/>
      <c r="MT37" s="24"/>
      <c r="MU37" s="24"/>
      <c r="MV37" s="24"/>
      <c r="MW37" s="24"/>
      <c r="MX37" s="24"/>
      <c r="MY37" s="24"/>
      <c r="MZ37" s="24"/>
      <c r="NA37" s="24"/>
      <c r="NB37" s="24"/>
      <c r="NC37" s="24"/>
      <c r="ND37" s="24"/>
      <c r="NE37" s="24"/>
      <c r="NF37" s="24"/>
      <c r="NG37" s="24"/>
      <c r="NH37" s="24"/>
      <c r="NI37" s="24"/>
      <c r="NJ37" s="24"/>
      <c r="NK37" s="24"/>
      <c r="NL37" s="24"/>
      <c r="NM37" s="24"/>
      <c r="NN37" s="24"/>
      <c r="NO37" s="24">
        <f t="shared" ref="NO37:NO45" si="128">LG37+LI37+LK37+LM37+LO37+LQ37+LS37+LU37+LW37+LY37+MA37+MC37+ME37+MG37+MI37+MK37+MM37+MO37+MQ37+MS37+MU37+MW37+MY37+NA37+NC37+NE37+NG37+NI37+NK37+NM37</f>
        <v>0</v>
      </c>
      <c r="NP37" s="24">
        <f t="shared" ref="NP37:NP45" si="129">LH37+LJ37+LL37+LN37+LP37+LR37+LT37+LV37+LX37+LZ37+MB37+MD37+MF37+MH37+MJ37+ML37+MN37+MP37+MR37+MT37+MV37+MX37+MZ37+NB37+ND37+NF37+NH37+NJ37+NL37+NN37</f>
        <v>0</v>
      </c>
      <c r="NQ37" s="24"/>
      <c r="NR37" s="24"/>
      <c r="NS37" s="24"/>
      <c r="NT37" s="24"/>
      <c r="NU37" s="24"/>
      <c r="NV37" s="24"/>
      <c r="NW37" s="24"/>
      <c r="NX37" s="24"/>
      <c r="NY37" s="24"/>
      <c r="NZ37" s="24"/>
      <c r="OA37" s="24"/>
      <c r="OB37" s="24"/>
      <c r="OC37" s="24"/>
      <c r="OD37" s="24"/>
      <c r="OE37" s="24"/>
      <c r="OF37" s="24"/>
      <c r="OG37" s="24"/>
      <c r="OH37" s="24"/>
      <c r="OI37" s="24"/>
      <c r="OJ37" s="24"/>
      <c r="OK37" s="24"/>
      <c r="OL37" s="24"/>
      <c r="OM37" s="24"/>
      <c r="ON37" s="24"/>
      <c r="OO37" s="24"/>
      <c r="OP37" s="24"/>
      <c r="OQ37" s="24"/>
      <c r="OR37" s="24"/>
      <c r="OS37" s="24"/>
      <c r="OT37" s="24"/>
      <c r="OU37" s="24"/>
      <c r="OV37" s="24"/>
      <c r="OW37" s="24"/>
      <c r="OX37" s="24"/>
      <c r="OY37" s="24"/>
      <c r="OZ37" s="24"/>
      <c r="PA37" s="24"/>
      <c r="PB37" s="24"/>
      <c r="PC37" s="24"/>
      <c r="PD37" s="24"/>
      <c r="PE37" s="24"/>
      <c r="PF37" s="24"/>
      <c r="PG37" s="24"/>
      <c r="PH37" s="24"/>
      <c r="PI37" s="24"/>
      <c r="PJ37" s="24"/>
      <c r="PK37" s="24"/>
      <c r="PL37" s="24"/>
      <c r="PM37" s="24"/>
      <c r="PN37" s="24"/>
      <c r="PO37" s="24"/>
      <c r="PP37" s="24"/>
      <c r="PQ37" s="24"/>
      <c r="PR37" s="24"/>
      <c r="PS37" s="24"/>
      <c r="PT37" s="24"/>
      <c r="PU37" s="24"/>
      <c r="PV37" s="24"/>
      <c r="PW37" s="24"/>
      <c r="PX37" s="24"/>
      <c r="PY37" s="24"/>
      <c r="PZ37" s="24"/>
      <c r="QA37" s="24">
        <f t="shared" ref="QA37:QA45" si="130">NQ37+NS37+NU37+NW37+NY37+OA37+OC37+OE37+OG37+OI37+OK37+OM37+OO37+OQ37+OS37+OU37+OW37+OY37+PA37+PC37+PE37+PG37+PI37+PK37+PM37+PO37+PQ37+PS37+PU37+PW37+PY37</f>
        <v>0</v>
      </c>
      <c r="QB37" s="24">
        <f t="shared" ref="QB37:QB45" si="131">NR37+NT37+NV37+NX37+NZ37+OB37+OD37+OF37+OH37+OJ37+OL37+ON37+OP37+OR37+OT37+OV37+OX37+OZ37+PB37+PD37+PF37+PH37+PJ37+PL37+PN37+PP37+PR37+PT37+PV37+PX37+PZ37</f>
        <v>0</v>
      </c>
      <c r="QC37" s="24"/>
      <c r="QD37" s="24"/>
      <c r="QE37" s="24"/>
      <c r="QF37" s="24"/>
      <c r="QG37" s="24"/>
      <c r="QH37" s="24"/>
      <c r="QI37" s="24"/>
      <c r="QJ37" s="24"/>
      <c r="QK37" s="24"/>
      <c r="QL37" s="24"/>
      <c r="QM37" s="24"/>
      <c r="QN37" s="24"/>
      <c r="QO37" s="24"/>
      <c r="QP37" s="24"/>
      <c r="QQ37" s="24"/>
      <c r="QR37" s="24"/>
      <c r="QS37" s="24"/>
      <c r="QT37" s="24"/>
      <c r="QU37" s="24"/>
      <c r="QV37" s="24"/>
      <c r="QW37" s="24"/>
      <c r="QX37" s="24"/>
      <c r="QY37" s="24"/>
      <c r="QZ37" s="24"/>
      <c r="RA37" s="24"/>
      <c r="RB37" s="24"/>
      <c r="RC37" s="24"/>
      <c r="RD37" s="24"/>
      <c r="RE37" s="24"/>
      <c r="RF37" s="24"/>
      <c r="RG37" s="24"/>
      <c r="RH37" s="24"/>
      <c r="RI37" s="24"/>
      <c r="RJ37" s="24"/>
      <c r="RK37" s="24"/>
      <c r="RL37" s="24"/>
      <c r="RM37" s="24"/>
      <c r="RN37" s="24"/>
      <c r="RO37" s="24"/>
      <c r="RP37" s="24"/>
      <c r="RQ37" s="24"/>
      <c r="RR37" s="24"/>
      <c r="RS37" s="24"/>
      <c r="RT37" s="24"/>
      <c r="RU37" s="24"/>
      <c r="RV37" s="24"/>
      <c r="RW37" s="24"/>
      <c r="RX37" s="24"/>
      <c r="RY37" s="24"/>
      <c r="RZ37" s="24"/>
      <c r="SA37" s="24"/>
      <c r="SB37" s="24"/>
      <c r="SC37" s="24"/>
      <c r="SD37" s="24"/>
      <c r="SE37" s="24"/>
      <c r="SF37" s="24"/>
      <c r="SG37" s="24"/>
      <c r="SH37" s="24"/>
      <c r="SI37" s="24"/>
      <c r="SJ37" s="24"/>
      <c r="SK37" s="24"/>
      <c r="SL37" s="24"/>
      <c r="SM37" s="24">
        <f t="shared" ref="SM37:SM45" si="132">QC37+QE37+QG37+QI37+QK37+QM37+QO37+QQ37+QS37+QU37+QW37+QY37+RA37+RC37+RE37+RG37+RI37+RK37+RM37+RO37+RQ37+RS37+RU37+RW37+RY37+SA37+SC37+SE37+SG37+SI37+SK37</f>
        <v>0</v>
      </c>
      <c r="SN37" s="24">
        <f t="shared" ref="SN37:SN45" si="133">QD37+QF37+QH37+QJ37+QL37+QN37+QP37+QR37+QT37+QV37+QX37+QZ37+RB37+RD37+RF37+RH37+RJ37+RL37+RN37+RP37+RR37+RT37+RV37+RX37+RZ37+SB37+SD37+SF37+SH37+SJ37+SL37</f>
        <v>0</v>
      </c>
      <c r="SO37" s="24"/>
      <c r="SP37" s="24"/>
      <c r="SQ37" s="24"/>
      <c r="SR37" s="24"/>
      <c r="SS37" s="24"/>
      <c r="ST37" s="24"/>
      <c r="SU37" s="24"/>
      <c r="SV37" s="24"/>
      <c r="SW37" s="24"/>
      <c r="SX37" s="24"/>
      <c r="SY37" s="24"/>
      <c r="SZ37" s="24"/>
      <c r="TA37" s="24"/>
      <c r="TB37" s="24"/>
      <c r="TC37" s="24"/>
      <c r="TD37" s="24"/>
      <c r="TE37" s="24"/>
      <c r="TF37" s="24"/>
      <c r="TG37" s="24"/>
      <c r="TH37" s="24"/>
      <c r="TI37" s="24"/>
      <c r="TJ37" s="24"/>
      <c r="TK37" s="24"/>
      <c r="TL37" s="24"/>
      <c r="TM37" s="24"/>
      <c r="TN37" s="24"/>
      <c r="TO37" s="24"/>
      <c r="TP37" s="24"/>
      <c r="TQ37" s="24"/>
      <c r="TR37" s="24"/>
      <c r="TS37" s="24"/>
      <c r="TT37" s="24"/>
      <c r="TU37" s="24"/>
      <c r="TV37" s="24"/>
      <c r="TW37" s="24"/>
      <c r="TX37" s="24"/>
      <c r="TY37" s="24"/>
      <c r="TZ37" s="24"/>
      <c r="UA37" s="24"/>
      <c r="UB37" s="24"/>
      <c r="UC37" s="24"/>
      <c r="UD37" s="24"/>
      <c r="UE37" s="24"/>
      <c r="UF37" s="24"/>
      <c r="UG37" s="24"/>
      <c r="UH37" s="24"/>
      <c r="UI37" s="24"/>
      <c r="UJ37" s="24"/>
      <c r="UK37" s="24"/>
      <c r="UL37" s="24"/>
      <c r="UM37" s="24"/>
      <c r="UN37" s="24"/>
      <c r="UO37" s="24"/>
      <c r="UP37" s="24"/>
      <c r="UQ37" s="24"/>
      <c r="UR37" s="24"/>
      <c r="US37" s="24"/>
      <c r="UT37" s="24"/>
      <c r="UU37" s="24"/>
      <c r="UV37" s="24"/>
      <c r="UW37" s="24">
        <f t="shared" ref="UW37:UW45" si="134">SO37+SQ37+SS37+SU37+SW37+SY37+TA37+TC37+TE37+TG37+TI37+TK37+TM37+TO37+TQ37+TS37+TU37+TW37+TY37+UA37+UC37+UE37+UG37+UI37+UK37+UM37+UO37+UQ37+US37+UU37</f>
        <v>0</v>
      </c>
      <c r="UX37" s="24">
        <f t="shared" ref="UX37:UX45" si="135">SP37+SR37+ST37+SV37+SX37+SZ37+TB37+TD37+TF37+TH37+TJ37+TL37+TN37+TP37+TR37+TT37+TV37+TX37+TZ37+UB37+UD37+UF37+UH37+UJ37+UL37+UN37+UP37+UR37+UT37+UV37</f>
        <v>0</v>
      </c>
      <c r="UY37" s="24"/>
      <c r="UZ37" s="24"/>
      <c r="VA37" s="24"/>
      <c r="VB37" s="24"/>
      <c r="VC37" s="24"/>
      <c r="VD37" s="24"/>
      <c r="VE37" s="24"/>
      <c r="VF37" s="24"/>
      <c r="VG37" s="24"/>
      <c r="VH37" s="24"/>
      <c r="VI37" s="24"/>
      <c r="VJ37" s="24"/>
      <c r="VK37" s="24"/>
      <c r="VL37" s="24"/>
      <c r="VM37" s="24"/>
      <c r="VN37" s="24"/>
      <c r="VO37" s="24"/>
      <c r="VP37" s="24"/>
      <c r="VQ37" s="24"/>
      <c r="VR37" s="24"/>
      <c r="VS37" s="24"/>
      <c r="VT37" s="24"/>
      <c r="VU37" s="24"/>
      <c r="VV37" s="24"/>
      <c r="VW37" s="24"/>
      <c r="VX37" s="24"/>
      <c r="VY37" s="24"/>
      <c r="VZ37" s="24"/>
      <c r="WA37" s="24"/>
      <c r="WB37" s="24"/>
      <c r="WC37" s="24"/>
      <c r="WD37" s="24"/>
      <c r="WE37" s="24"/>
      <c r="WF37" s="24"/>
      <c r="WG37" s="24"/>
      <c r="WH37" s="24"/>
      <c r="WI37" s="24"/>
      <c r="WJ37" s="24"/>
      <c r="WK37" s="24"/>
      <c r="WL37" s="24"/>
      <c r="WM37" s="24"/>
      <c r="WN37" s="24"/>
      <c r="WO37" s="24"/>
      <c r="WP37" s="24"/>
      <c r="WQ37" s="24"/>
      <c r="WR37" s="24"/>
      <c r="WS37" s="24"/>
      <c r="WT37" s="24"/>
      <c r="WU37" s="24"/>
      <c r="WV37" s="24"/>
      <c r="WW37" s="24"/>
      <c r="WX37" s="24"/>
      <c r="WY37" s="24"/>
      <c r="WZ37" s="24"/>
      <c r="XA37" s="24"/>
      <c r="XB37" s="24"/>
      <c r="XC37" s="24"/>
      <c r="XD37" s="24"/>
      <c r="XE37" s="24"/>
      <c r="XF37" s="24"/>
      <c r="XG37" s="24"/>
      <c r="XH37" s="24"/>
      <c r="XI37" s="24">
        <f t="shared" ref="XI37:XI45" si="136">UY37+VA37+VC37+VE37+VG37+VI37+VK37+VM37+VO37+VQ37+VS37+VU37+VW37+VY37+WA37+WC37+WE37+WG37+WI37+WK37+WM37+WO37+WQ37+WS37+WU37+WW37+WY37+XA37+XC37+XE37+XG37</f>
        <v>0</v>
      </c>
      <c r="XJ37" s="24">
        <f t="shared" ref="XJ37:XJ45" si="137">UZ37+VB37+VD37+VF37+VH37+VJ37+VL37+VN37+VP37+VR37+VT37+VV37+VX37+VZ37+WB37+WD37+WF37+WH37+WJ37+WL37+WN37+WP37+WR37+WT37+WV37+WX37+WZ37+XB37+XD37+XF37+XH37</f>
        <v>0</v>
      </c>
      <c r="XK37" s="24"/>
      <c r="XL37" s="24"/>
      <c r="XM37" s="24"/>
      <c r="XN37" s="24"/>
      <c r="XO37" s="24"/>
      <c r="XP37" s="24"/>
      <c r="XQ37" s="24"/>
      <c r="XR37" s="24"/>
      <c r="XS37" s="24"/>
      <c r="XT37" s="24"/>
      <c r="XU37" s="24"/>
      <c r="XV37" s="24"/>
      <c r="XW37" s="24"/>
      <c r="XX37" s="24"/>
      <c r="XY37" s="24"/>
      <c r="XZ37" s="24"/>
      <c r="YA37" s="24"/>
      <c r="YB37" s="24"/>
      <c r="YC37" s="24"/>
      <c r="YD37" s="24"/>
      <c r="YE37" s="24"/>
      <c r="YF37" s="24"/>
      <c r="YG37" s="24"/>
      <c r="YH37" s="24"/>
      <c r="YI37" s="24"/>
      <c r="YJ37" s="24"/>
      <c r="YK37" s="24"/>
      <c r="YL37" s="24"/>
      <c r="YM37" s="24"/>
      <c r="YN37" s="24"/>
      <c r="YO37" s="24"/>
      <c r="YP37" s="24"/>
      <c r="YQ37" s="24"/>
      <c r="YR37" s="24"/>
      <c r="YS37" s="24"/>
      <c r="YT37" s="24"/>
      <c r="YU37" s="24"/>
      <c r="YV37" s="24"/>
      <c r="YW37" s="24"/>
      <c r="YX37" s="24"/>
      <c r="YY37" s="24"/>
      <c r="YZ37" s="24"/>
      <c r="ZA37" s="24"/>
      <c r="ZB37" s="24"/>
      <c r="ZC37" s="24"/>
      <c r="ZD37" s="24"/>
      <c r="ZE37" s="24"/>
      <c r="ZF37" s="24"/>
      <c r="ZG37" s="24"/>
      <c r="ZH37" s="24"/>
      <c r="ZI37" s="24"/>
      <c r="ZJ37" s="24"/>
      <c r="ZK37" s="24"/>
      <c r="ZL37" s="24"/>
      <c r="ZM37" s="24"/>
      <c r="ZN37" s="24"/>
      <c r="ZO37" s="24"/>
      <c r="ZP37" s="24"/>
      <c r="ZQ37" s="24"/>
      <c r="ZR37" s="24"/>
      <c r="ZS37" s="24">
        <f t="shared" ref="ZS37:ZS45" si="138">XK37+XM37+XO37+XQ37+XS37+XU37+XW37+XY37+YA37+YC37+YE37+YG37+YI37+YK37+YM37+YO37+YQ37+YS37+YU37+YW37+YY37+ZA37+ZC37+ZE37+ZG37+ZI37+ZK37+ZM37+ZO37+ZQ37</f>
        <v>0</v>
      </c>
      <c r="ZT37" s="24">
        <f t="shared" ref="ZT37:ZT45" si="139">XL37+XN37+XP37+XR37+XT37+XV37+XX37+XZ37+YB37+YD37+YF37+YH37+YJ37+YL37+YN37+YP37+YR37+YT37+YV37+YX37+YZ37+ZB37+ZD37+ZF37+ZH37+ZJ37+ZL37+ZN37+ZP37+ZR37</f>
        <v>0</v>
      </c>
      <c r="ZU37" s="24"/>
      <c r="ZV37" s="24"/>
      <c r="ZW37" s="24"/>
      <c r="ZX37" s="24"/>
      <c r="ZY37" s="24"/>
      <c r="ZZ37" s="24"/>
      <c r="AAA37" s="24"/>
      <c r="AAB37" s="24"/>
      <c r="AAC37" s="24"/>
      <c r="AAD37" s="24"/>
      <c r="AAE37" s="24"/>
      <c r="AAF37" s="24"/>
      <c r="AAG37" s="24"/>
      <c r="AAH37" s="24"/>
      <c r="AAI37" s="24"/>
      <c r="AAJ37" s="24"/>
      <c r="AAK37" s="24"/>
      <c r="AAL37" s="24"/>
      <c r="AAM37" s="24"/>
      <c r="AAN37" s="24"/>
      <c r="AAO37" s="24"/>
      <c r="AAP37" s="24"/>
      <c r="AAQ37" s="24"/>
      <c r="AAR37" s="24"/>
      <c r="AAS37" s="24"/>
      <c r="AAT37" s="24"/>
      <c r="AAU37" s="24"/>
      <c r="AAV37" s="24"/>
      <c r="AAW37" s="24"/>
      <c r="AAX37" s="24"/>
      <c r="AAY37" s="24"/>
      <c r="AAZ37" s="24"/>
      <c r="ABA37" s="24"/>
      <c r="ABB37" s="24"/>
      <c r="ABC37" s="24"/>
      <c r="ABD37" s="24"/>
      <c r="ABE37" s="24"/>
      <c r="ABF37" s="24"/>
      <c r="ABG37" s="24"/>
      <c r="ABH37" s="24"/>
      <c r="ABI37" s="24"/>
      <c r="ABJ37" s="24"/>
      <c r="ABK37" s="24"/>
      <c r="ABL37" s="24"/>
      <c r="ABM37" s="24"/>
      <c r="ABN37" s="24"/>
      <c r="ABO37" s="24"/>
      <c r="ABP37" s="24"/>
      <c r="ABQ37" s="24"/>
      <c r="ABR37" s="24"/>
      <c r="ABS37" s="24"/>
      <c r="ABT37" s="24"/>
      <c r="ABU37" s="24"/>
      <c r="ABV37" s="24"/>
      <c r="ABW37" s="24"/>
      <c r="ABX37" s="24"/>
      <c r="ABY37" s="24"/>
      <c r="ABZ37" s="24"/>
      <c r="ACA37" s="24"/>
      <c r="ACB37" s="24"/>
      <c r="ACC37" s="24"/>
      <c r="ACD37" s="24"/>
      <c r="ACE37" s="24">
        <f t="shared" ref="ACE37:ACE45" si="140">ZU37+ZW37+ZY37+AAA37+AAC37+AAE37+AAG37+AAI37+AAK37+AAM37+AAO37+AAQ37+AAS37+AAU37+AAW37+AAY37+ABA37+ABC37+ABE37+ABG37+ABI37+ABK37+ABM37+ABO37+ABQ37+ABS37+ABU37+ABW37+ABY37+ACA37+ACC37</f>
        <v>0</v>
      </c>
      <c r="ACF37" s="24"/>
      <c r="ACG37" s="24">
        <f t="shared" ref="ACG37:ACG45" si="141">BO37+DW37+GI37+IS37+LE37+NO37+QA37+SM37+UW37+XI37+ZS37+ACE37</f>
        <v>0</v>
      </c>
      <c r="ACH37" s="25"/>
      <c r="ACI37" s="71" t="s">
        <v>153</v>
      </c>
      <c r="ACJ37" s="71" t="s">
        <v>89</v>
      </c>
    </row>
    <row r="38" spans="1:764" x14ac:dyDescent="0.25">
      <c r="A38" s="162"/>
      <c r="B38" s="152"/>
      <c r="C38" s="155"/>
      <c r="D38" s="50" t="s">
        <v>4</v>
      </c>
      <c r="E38" s="74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24" cm="1">
        <f t="array" ref="BO38">SUMPRODUCT(E38:BM38,--(E$2:BM$2=BO$2))</f>
        <v>0</v>
      </c>
      <c r="BP38" s="24" cm="1">
        <f t="array" ref="BP38">SUMPRODUCT(F38:BN38,--(F$2:BN$2=BP$2))</f>
        <v>0</v>
      </c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 cm="1">
        <f t="array" ref="DW38">SUMPRODUCT(BQ38:DU38,--(BQ$2:DU$2=DW$2))</f>
        <v>0</v>
      </c>
      <c r="DX38" s="24" cm="1">
        <f t="array" ref="DX38">SUMPRODUCT(BR38:DV38,--(BR$2:DV$2=DX$2))</f>
        <v>0</v>
      </c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/>
      <c r="EV38" s="24"/>
      <c r="EW38" s="24"/>
      <c r="EX38" s="24"/>
      <c r="EY38" s="24"/>
      <c r="EZ38" s="24"/>
      <c r="FA38" s="24"/>
      <c r="FB38" s="24"/>
      <c r="FC38" s="24"/>
      <c r="FD38" s="24"/>
      <c r="FE38" s="24"/>
      <c r="FF38" s="24"/>
      <c r="FG38" s="24"/>
      <c r="FH38" s="24"/>
      <c r="FI38" s="24"/>
      <c r="FJ38" s="24"/>
      <c r="FK38" s="24"/>
      <c r="FL38" s="24"/>
      <c r="FM38" s="24"/>
      <c r="FN38" s="24"/>
      <c r="FO38" s="24"/>
      <c r="FP38" s="24"/>
      <c r="FQ38" s="24"/>
      <c r="FR38" s="24"/>
      <c r="FS38" s="24"/>
      <c r="FT38" s="24"/>
      <c r="FU38" s="24"/>
      <c r="FV38" s="24"/>
      <c r="FW38" s="24"/>
      <c r="FX38" s="24"/>
      <c r="FY38" s="24"/>
      <c r="FZ38" s="24"/>
      <c r="GA38" s="24"/>
      <c r="GB38" s="24"/>
      <c r="GC38" s="24"/>
      <c r="GD38" s="24"/>
      <c r="GE38" s="24"/>
      <c r="GF38" s="24"/>
      <c r="GG38" s="24"/>
      <c r="GH38" s="24"/>
      <c r="GI38" s="24" cm="1">
        <f t="array" ref="GI38">SUMPRODUCT(DY38:GG38,--(DY$2:GG$2=GI$2))</f>
        <v>0</v>
      </c>
      <c r="GJ38" s="24" cm="1">
        <f t="array" ref="GJ38">SUMPRODUCT(DZ38:GH38,--(DZ$2:GH$2=GJ$2))</f>
        <v>0</v>
      </c>
      <c r="GK38" s="24"/>
      <c r="GL38" s="24"/>
      <c r="GM38" s="24"/>
      <c r="GN38" s="24"/>
      <c r="GO38" s="24"/>
      <c r="GP38" s="24"/>
      <c r="GQ38" s="24"/>
      <c r="GR38" s="24"/>
      <c r="GS38" s="24"/>
      <c r="GT38" s="24"/>
      <c r="GU38" s="24"/>
      <c r="GV38" s="24"/>
      <c r="GW38" s="24"/>
      <c r="GX38" s="24"/>
      <c r="GY38" s="24"/>
      <c r="GZ38" s="24"/>
      <c r="HA38" s="24"/>
      <c r="HB38" s="24"/>
      <c r="HC38" s="24"/>
      <c r="HD38" s="24"/>
      <c r="HE38" s="24"/>
      <c r="HF38" s="24"/>
      <c r="HG38" s="24"/>
      <c r="HH38" s="24"/>
      <c r="HI38" s="24"/>
      <c r="HJ38" s="24"/>
      <c r="HK38" s="24"/>
      <c r="HL38" s="24"/>
      <c r="HM38" s="24"/>
      <c r="HN38" s="24"/>
      <c r="HO38" s="24"/>
      <c r="HP38" s="24"/>
      <c r="HQ38" s="24"/>
      <c r="HR38" s="24"/>
      <c r="HS38" s="24"/>
      <c r="HT38" s="24"/>
      <c r="HU38" s="24"/>
      <c r="HV38" s="24"/>
      <c r="HW38" s="24"/>
      <c r="HX38" s="24"/>
      <c r="HY38" s="24"/>
      <c r="HZ38" s="24"/>
      <c r="IA38" s="24"/>
      <c r="IB38" s="24"/>
      <c r="IC38" s="24"/>
      <c r="ID38" s="24"/>
      <c r="IE38" s="24"/>
      <c r="IF38" s="24"/>
      <c r="IG38" s="24"/>
      <c r="IH38" s="24"/>
      <c r="II38" s="24"/>
      <c r="IJ38" s="24"/>
      <c r="IK38" s="24"/>
      <c r="IL38" s="24"/>
      <c r="IM38" s="24"/>
      <c r="IN38" s="24"/>
      <c r="IO38" s="24"/>
      <c r="IP38" s="24"/>
      <c r="IQ38" s="24"/>
      <c r="IR38" s="24"/>
      <c r="IS38" s="24">
        <f t="shared" si="124"/>
        <v>0</v>
      </c>
      <c r="IT38" s="24">
        <f t="shared" si="125"/>
        <v>0</v>
      </c>
      <c r="IU38" s="24"/>
      <c r="IV38" s="24"/>
      <c r="IW38" s="24"/>
      <c r="IX38" s="24"/>
      <c r="IY38" s="24"/>
      <c r="IZ38" s="24"/>
      <c r="JA38" s="24"/>
      <c r="JB38" s="24"/>
      <c r="JC38" s="24"/>
      <c r="JD38" s="24"/>
      <c r="JE38" s="24"/>
      <c r="JF38" s="24"/>
      <c r="JG38" s="24"/>
      <c r="JH38" s="24"/>
      <c r="JI38" s="24"/>
      <c r="JJ38" s="24"/>
      <c r="JK38" s="24"/>
      <c r="JL38" s="24"/>
      <c r="JM38" s="24"/>
      <c r="JN38" s="24"/>
      <c r="JO38" s="24"/>
      <c r="JP38" s="24"/>
      <c r="JQ38" s="24"/>
      <c r="JR38" s="24"/>
      <c r="JS38" s="24"/>
      <c r="JT38" s="24"/>
      <c r="JU38" s="24"/>
      <c r="JV38" s="24"/>
      <c r="JW38" s="24"/>
      <c r="JX38" s="24"/>
      <c r="JY38" s="24"/>
      <c r="JZ38" s="24"/>
      <c r="KA38" s="24"/>
      <c r="KB38" s="24"/>
      <c r="KC38" s="24"/>
      <c r="KD38" s="24"/>
      <c r="KE38" s="24"/>
      <c r="KF38" s="24"/>
      <c r="KG38" s="24"/>
      <c r="KH38" s="24"/>
      <c r="KI38" s="24"/>
      <c r="KJ38" s="24"/>
      <c r="KK38" s="24"/>
      <c r="KL38" s="24"/>
      <c r="KM38" s="24"/>
      <c r="KN38" s="24"/>
      <c r="KO38" s="24"/>
      <c r="KP38" s="24"/>
      <c r="KQ38" s="24"/>
      <c r="KR38" s="24"/>
      <c r="KS38" s="24"/>
      <c r="KT38" s="24"/>
      <c r="KU38" s="24"/>
      <c r="KV38" s="24"/>
      <c r="KW38" s="24"/>
      <c r="KX38" s="24"/>
      <c r="KY38" s="24"/>
      <c r="KZ38" s="24"/>
      <c r="LA38" s="24"/>
      <c r="LB38" s="24"/>
      <c r="LC38" s="24"/>
      <c r="LD38" s="24"/>
      <c r="LE38" s="24">
        <f t="shared" si="126"/>
        <v>0</v>
      </c>
      <c r="LF38" s="24">
        <f t="shared" si="127"/>
        <v>0</v>
      </c>
      <c r="LG38" s="24"/>
      <c r="LH38" s="24"/>
      <c r="LI38" s="24"/>
      <c r="LJ38" s="24"/>
      <c r="LK38" s="24"/>
      <c r="LL38" s="24"/>
      <c r="LM38" s="24"/>
      <c r="LN38" s="24"/>
      <c r="LO38" s="24"/>
      <c r="LP38" s="24"/>
      <c r="LQ38" s="24"/>
      <c r="LR38" s="24"/>
      <c r="LS38" s="24"/>
      <c r="LT38" s="24"/>
      <c r="LU38" s="24"/>
      <c r="LV38" s="24"/>
      <c r="LW38" s="24"/>
      <c r="LX38" s="24"/>
      <c r="LY38" s="24"/>
      <c r="LZ38" s="24"/>
      <c r="MA38" s="24"/>
      <c r="MB38" s="24"/>
      <c r="MC38" s="24"/>
      <c r="MD38" s="24"/>
      <c r="ME38" s="24"/>
      <c r="MF38" s="24"/>
      <c r="MG38" s="24"/>
      <c r="MH38" s="24"/>
      <c r="MI38" s="24"/>
      <c r="MJ38" s="24"/>
      <c r="MK38" s="24"/>
      <c r="ML38" s="24"/>
      <c r="MM38" s="24"/>
      <c r="MN38" s="24"/>
      <c r="MO38" s="24"/>
      <c r="MP38" s="24"/>
      <c r="MQ38" s="24"/>
      <c r="MR38" s="24"/>
      <c r="MS38" s="24"/>
      <c r="MT38" s="24"/>
      <c r="MU38" s="24"/>
      <c r="MV38" s="24"/>
      <c r="MW38" s="24"/>
      <c r="MX38" s="24"/>
      <c r="MY38" s="24"/>
      <c r="MZ38" s="24"/>
      <c r="NA38" s="24"/>
      <c r="NB38" s="24"/>
      <c r="NC38" s="24"/>
      <c r="ND38" s="24"/>
      <c r="NE38" s="24"/>
      <c r="NF38" s="24"/>
      <c r="NG38" s="24"/>
      <c r="NH38" s="24"/>
      <c r="NI38" s="24"/>
      <c r="NJ38" s="24"/>
      <c r="NK38" s="24"/>
      <c r="NL38" s="24"/>
      <c r="NM38" s="24"/>
      <c r="NN38" s="24"/>
      <c r="NO38" s="24">
        <f t="shared" si="128"/>
        <v>0</v>
      </c>
      <c r="NP38" s="24">
        <f t="shared" si="129"/>
        <v>0</v>
      </c>
      <c r="NQ38" s="24"/>
      <c r="NR38" s="24"/>
      <c r="NS38" s="24"/>
      <c r="NT38" s="24"/>
      <c r="NU38" s="24"/>
      <c r="NV38" s="24"/>
      <c r="NW38" s="24"/>
      <c r="NX38" s="24"/>
      <c r="NY38" s="24"/>
      <c r="NZ38" s="24"/>
      <c r="OA38" s="24"/>
      <c r="OB38" s="24"/>
      <c r="OC38" s="24"/>
      <c r="OD38" s="24"/>
      <c r="OE38" s="24"/>
      <c r="OF38" s="24"/>
      <c r="OG38" s="24"/>
      <c r="OH38" s="24"/>
      <c r="OI38" s="24"/>
      <c r="OJ38" s="24"/>
      <c r="OK38" s="24"/>
      <c r="OL38" s="24"/>
      <c r="OM38" s="24"/>
      <c r="ON38" s="24"/>
      <c r="OO38" s="24"/>
      <c r="OP38" s="24"/>
      <c r="OQ38" s="24"/>
      <c r="OR38" s="24"/>
      <c r="OS38" s="24"/>
      <c r="OT38" s="24"/>
      <c r="OU38" s="24"/>
      <c r="OV38" s="24"/>
      <c r="OW38" s="24"/>
      <c r="OX38" s="24"/>
      <c r="OY38" s="24"/>
      <c r="OZ38" s="24"/>
      <c r="PA38" s="24"/>
      <c r="PB38" s="24"/>
      <c r="PC38" s="24"/>
      <c r="PD38" s="24"/>
      <c r="PE38" s="24"/>
      <c r="PF38" s="24"/>
      <c r="PG38" s="24"/>
      <c r="PH38" s="24"/>
      <c r="PI38" s="24"/>
      <c r="PJ38" s="24"/>
      <c r="PK38" s="24"/>
      <c r="PL38" s="24"/>
      <c r="PM38" s="24"/>
      <c r="PN38" s="24"/>
      <c r="PO38" s="24"/>
      <c r="PP38" s="24"/>
      <c r="PQ38" s="24"/>
      <c r="PR38" s="24"/>
      <c r="PS38" s="24"/>
      <c r="PT38" s="24"/>
      <c r="PU38" s="24"/>
      <c r="PV38" s="24"/>
      <c r="PW38" s="24"/>
      <c r="PX38" s="24"/>
      <c r="PY38" s="24"/>
      <c r="PZ38" s="24"/>
      <c r="QA38" s="24">
        <f t="shared" si="130"/>
        <v>0</v>
      </c>
      <c r="QB38" s="24">
        <f t="shared" si="131"/>
        <v>0</v>
      </c>
      <c r="QC38" s="24"/>
      <c r="QD38" s="24"/>
      <c r="QE38" s="24"/>
      <c r="QF38" s="24"/>
      <c r="QG38" s="24"/>
      <c r="QH38" s="24"/>
      <c r="QI38" s="24"/>
      <c r="QJ38" s="24"/>
      <c r="QK38" s="24"/>
      <c r="QL38" s="24"/>
      <c r="QM38" s="24"/>
      <c r="QN38" s="24"/>
      <c r="QO38" s="24"/>
      <c r="QP38" s="24"/>
      <c r="QQ38" s="24"/>
      <c r="QR38" s="24"/>
      <c r="QS38" s="24"/>
      <c r="QT38" s="24"/>
      <c r="QU38" s="24"/>
      <c r="QV38" s="24"/>
      <c r="QW38" s="24"/>
      <c r="QX38" s="24"/>
      <c r="QY38" s="24"/>
      <c r="QZ38" s="24"/>
      <c r="RA38" s="24"/>
      <c r="RB38" s="24"/>
      <c r="RC38" s="24"/>
      <c r="RD38" s="24"/>
      <c r="RE38" s="24"/>
      <c r="RF38" s="24"/>
      <c r="RG38" s="24"/>
      <c r="RH38" s="24"/>
      <c r="RI38" s="24"/>
      <c r="RJ38" s="24"/>
      <c r="RK38" s="24"/>
      <c r="RL38" s="24"/>
      <c r="RM38" s="24"/>
      <c r="RN38" s="24"/>
      <c r="RO38" s="24"/>
      <c r="RP38" s="24"/>
      <c r="RQ38" s="24"/>
      <c r="RR38" s="24"/>
      <c r="RS38" s="24"/>
      <c r="RT38" s="24"/>
      <c r="RU38" s="24"/>
      <c r="RV38" s="24"/>
      <c r="RW38" s="24"/>
      <c r="RX38" s="24"/>
      <c r="RY38" s="24"/>
      <c r="RZ38" s="24"/>
      <c r="SA38" s="24"/>
      <c r="SB38" s="24"/>
      <c r="SC38" s="24"/>
      <c r="SD38" s="24"/>
      <c r="SE38" s="24"/>
      <c r="SF38" s="24"/>
      <c r="SG38" s="24"/>
      <c r="SH38" s="24"/>
      <c r="SI38" s="24"/>
      <c r="SJ38" s="24"/>
      <c r="SK38" s="24"/>
      <c r="SL38" s="24"/>
      <c r="SM38" s="24">
        <f t="shared" si="132"/>
        <v>0</v>
      </c>
      <c r="SN38" s="24">
        <f t="shared" si="133"/>
        <v>0</v>
      </c>
      <c r="SO38" s="24"/>
      <c r="SP38" s="24"/>
      <c r="SQ38" s="24"/>
      <c r="SR38" s="24"/>
      <c r="SS38" s="24"/>
      <c r="ST38" s="24"/>
      <c r="SU38" s="24"/>
      <c r="SV38" s="24"/>
      <c r="SW38" s="24"/>
      <c r="SX38" s="24"/>
      <c r="SY38" s="24"/>
      <c r="SZ38" s="24"/>
      <c r="TA38" s="24"/>
      <c r="TB38" s="24"/>
      <c r="TC38" s="24"/>
      <c r="TD38" s="24"/>
      <c r="TE38" s="24"/>
      <c r="TF38" s="24"/>
      <c r="TG38" s="24"/>
      <c r="TH38" s="24"/>
      <c r="TI38" s="24"/>
      <c r="TJ38" s="24"/>
      <c r="TK38" s="24"/>
      <c r="TL38" s="24"/>
      <c r="TM38" s="24"/>
      <c r="TN38" s="24"/>
      <c r="TO38" s="24"/>
      <c r="TP38" s="24"/>
      <c r="TQ38" s="24"/>
      <c r="TR38" s="24"/>
      <c r="TS38" s="24"/>
      <c r="TT38" s="24"/>
      <c r="TU38" s="24"/>
      <c r="TV38" s="24"/>
      <c r="TW38" s="24"/>
      <c r="TX38" s="24"/>
      <c r="TY38" s="24"/>
      <c r="TZ38" s="24"/>
      <c r="UA38" s="24"/>
      <c r="UB38" s="24"/>
      <c r="UC38" s="24"/>
      <c r="UD38" s="24"/>
      <c r="UE38" s="24"/>
      <c r="UF38" s="24"/>
      <c r="UG38" s="24"/>
      <c r="UH38" s="24"/>
      <c r="UI38" s="24"/>
      <c r="UJ38" s="24"/>
      <c r="UK38" s="24"/>
      <c r="UL38" s="24"/>
      <c r="UM38" s="24"/>
      <c r="UN38" s="24"/>
      <c r="UO38" s="24"/>
      <c r="UP38" s="24"/>
      <c r="UQ38" s="24"/>
      <c r="UR38" s="24"/>
      <c r="US38" s="24"/>
      <c r="UT38" s="24"/>
      <c r="UU38" s="24"/>
      <c r="UV38" s="24"/>
      <c r="UW38" s="24">
        <f t="shared" si="134"/>
        <v>0</v>
      </c>
      <c r="UX38" s="24">
        <f t="shared" si="135"/>
        <v>0</v>
      </c>
      <c r="UY38" s="24"/>
      <c r="UZ38" s="24"/>
      <c r="VA38" s="24"/>
      <c r="VB38" s="24"/>
      <c r="VC38" s="24"/>
      <c r="VD38" s="24"/>
      <c r="VE38" s="24"/>
      <c r="VF38" s="24"/>
      <c r="VG38" s="24"/>
      <c r="VH38" s="24"/>
      <c r="VI38" s="24"/>
      <c r="VJ38" s="24"/>
      <c r="VK38" s="24"/>
      <c r="VL38" s="24"/>
      <c r="VM38" s="24"/>
      <c r="VN38" s="24"/>
      <c r="VO38" s="24"/>
      <c r="VP38" s="24"/>
      <c r="VQ38" s="24"/>
      <c r="VR38" s="24"/>
      <c r="VS38" s="24"/>
      <c r="VT38" s="24"/>
      <c r="VU38" s="24"/>
      <c r="VV38" s="24"/>
      <c r="VW38" s="24"/>
      <c r="VX38" s="24"/>
      <c r="VY38" s="24"/>
      <c r="VZ38" s="24"/>
      <c r="WA38" s="24"/>
      <c r="WB38" s="24"/>
      <c r="WC38" s="24"/>
      <c r="WD38" s="24"/>
      <c r="WE38" s="24"/>
      <c r="WF38" s="24"/>
      <c r="WG38" s="24"/>
      <c r="WH38" s="24"/>
      <c r="WI38" s="24"/>
      <c r="WJ38" s="24"/>
      <c r="WK38" s="24"/>
      <c r="WL38" s="24"/>
      <c r="WM38" s="24"/>
      <c r="WN38" s="24"/>
      <c r="WO38" s="24"/>
      <c r="WP38" s="24"/>
      <c r="WQ38" s="24"/>
      <c r="WR38" s="24"/>
      <c r="WS38" s="24"/>
      <c r="WT38" s="24"/>
      <c r="WU38" s="24"/>
      <c r="WV38" s="24"/>
      <c r="WW38" s="24"/>
      <c r="WX38" s="24"/>
      <c r="WY38" s="24"/>
      <c r="WZ38" s="24"/>
      <c r="XA38" s="24"/>
      <c r="XB38" s="24"/>
      <c r="XC38" s="24"/>
      <c r="XD38" s="24"/>
      <c r="XE38" s="24"/>
      <c r="XF38" s="24"/>
      <c r="XG38" s="24"/>
      <c r="XH38" s="24"/>
      <c r="XI38" s="24">
        <f t="shared" si="136"/>
        <v>0</v>
      </c>
      <c r="XJ38" s="24">
        <f t="shared" si="137"/>
        <v>0</v>
      </c>
      <c r="XK38" s="24"/>
      <c r="XL38" s="24"/>
      <c r="XM38" s="24"/>
      <c r="XN38" s="24"/>
      <c r="XO38" s="24"/>
      <c r="XP38" s="24"/>
      <c r="XQ38" s="24"/>
      <c r="XR38" s="24"/>
      <c r="XS38" s="24"/>
      <c r="XT38" s="24"/>
      <c r="XU38" s="24"/>
      <c r="XV38" s="24"/>
      <c r="XW38" s="24"/>
      <c r="XX38" s="24"/>
      <c r="XY38" s="24"/>
      <c r="XZ38" s="24"/>
      <c r="YA38" s="24"/>
      <c r="YB38" s="24"/>
      <c r="YC38" s="24"/>
      <c r="YD38" s="24"/>
      <c r="YE38" s="24"/>
      <c r="YF38" s="24"/>
      <c r="YG38" s="24"/>
      <c r="YH38" s="24"/>
      <c r="YI38" s="24"/>
      <c r="YJ38" s="24"/>
      <c r="YK38" s="24"/>
      <c r="YL38" s="24"/>
      <c r="YM38" s="24"/>
      <c r="YN38" s="24"/>
      <c r="YO38" s="24"/>
      <c r="YP38" s="24"/>
      <c r="YQ38" s="24"/>
      <c r="YR38" s="24"/>
      <c r="YS38" s="24"/>
      <c r="YT38" s="24"/>
      <c r="YU38" s="24"/>
      <c r="YV38" s="24"/>
      <c r="YW38" s="24"/>
      <c r="YX38" s="24"/>
      <c r="YY38" s="24"/>
      <c r="YZ38" s="24"/>
      <c r="ZA38" s="24"/>
      <c r="ZB38" s="24"/>
      <c r="ZC38" s="24"/>
      <c r="ZD38" s="24"/>
      <c r="ZE38" s="24"/>
      <c r="ZF38" s="24"/>
      <c r="ZG38" s="24"/>
      <c r="ZH38" s="24"/>
      <c r="ZI38" s="24"/>
      <c r="ZJ38" s="24"/>
      <c r="ZK38" s="24"/>
      <c r="ZL38" s="24"/>
      <c r="ZM38" s="24"/>
      <c r="ZN38" s="24"/>
      <c r="ZO38" s="24"/>
      <c r="ZP38" s="24"/>
      <c r="ZQ38" s="24"/>
      <c r="ZR38" s="24"/>
      <c r="ZS38" s="24">
        <f t="shared" si="138"/>
        <v>0</v>
      </c>
      <c r="ZT38" s="24">
        <f t="shared" si="139"/>
        <v>0</v>
      </c>
      <c r="ZU38" s="24"/>
      <c r="ZV38" s="24"/>
      <c r="ZW38" s="24"/>
      <c r="ZX38" s="24"/>
      <c r="ZY38" s="24"/>
      <c r="ZZ38" s="24"/>
      <c r="AAA38" s="24"/>
      <c r="AAB38" s="24"/>
      <c r="AAC38" s="24"/>
      <c r="AAD38" s="24"/>
      <c r="AAE38" s="24"/>
      <c r="AAF38" s="24"/>
      <c r="AAG38" s="24"/>
      <c r="AAH38" s="24"/>
      <c r="AAI38" s="24"/>
      <c r="AAJ38" s="24"/>
      <c r="AAK38" s="24"/>
      <c r="AAL38" s="24"/>
      <c r="AAM38" s="24"/>
      <c r="AAN38" s="24"/>
      <c r="AAO38" s="24"/>
      <c r="AAP38" s="24"/>
      <c r="AAQ38" s="24"/>
      <c r="AAR38" s="24"/>
      <c r="AAS38" s="24"/>
      <c r="AAT38" s="24"/>
      <c r="AAU38" s="24"/>
      <c r="AAV38" s="24"/>
      <c r="AAW38" s="24"/>
      <c r="AAX38" s="24"/>
      <c r="AAY38" s="24"/>
      <c r="AAZ38" s="24"/>
      <c r="ABA38" s="24"/>
      <c r="ABB38" s="24"/>
      <c r="ABC38" s="24"/>
      <c r="ABD38" s="24"/>
      <c r="ABE38" s="24"/>
      <c r="ABF38" s="24"/>
      <c r="ABG38" s="24"/>
      <c r="ABH38" s="24"/>
      <c r="ABI38" s="24"/>
      <c r="ABJ38" s="24"/>
      <c r="ABK38" s="24"/>
      <c r="ABL38" s="24"/>
      <c r="ABM38" s="24"/>
      <c r="ABN38" s="24"/>
      <c r="ABO38" s="24"/>
      <c r="ABP38" s="24"/>
      <c r="ABQ38" s="24"/>
      <c r="ABR38" s="24"/>
      <c r="ABS38" s="24"/>
      <c r="ABT38" s="24"/>
      <c r="ABU38" s="24"/>
      <c r="ABV38" s="24"/>
      <c r="ABW38" s="24"/>
      <c r="ABX38" s="24"/>
      <c r="ABY38" s="24"/>
      <c r="ABZ38" s="24"/>
      <c r="ACA38" s="24"/>
      <c r="ACB38" s="24"/>
      <c r="ACC38" s="24"/>
      <c r="ACD38" s="24"/>
      <c r="ACE38" s="24">
        <f t="shared" si="140"/>
        <v>0</v>
      </c>
      <c r="ACF38" s="24"/>
      <c r="ACG38" s="24">
        <f t="shared" si="141"/>
        <v>0</v>
      </c>
      <c r="ACH38" s="25"/>
      <c r="ACI38" s="71" t="s">
        <v>154</v>
      </c>
      <c r="ACJ38" s="71" t="s">
        <v>89</v>
      </c>
    </row>
    <row r="39" spans="1:764" x14ac:dyDescent="0.25">
      <c r="A39" s="162"/>
      <c r="B39" s="152"/>
      <c r="C39" s="155"/>
      <c r="D39" s="50" t="s">
        <v>8</v>
      </c>
      <c r="E39" s="74">
        <v>45.75</v>
      </c>
      <c r="F39" s="75">
        <v>46.239999999999995</v>
      </c>
      <c r="G39" s="75">
        <v>35.799999999999997</v>
      </c>
      <c r="H39" s="75">
        <v>39.68</v>
      </c>
      <c r="I39" s="75">
        <v>39</v>
      </c>
      <c r="J39" s="75">
        <v>39.42</v>
      </c>
      <c r="K39" s="75">
        <v>38.700000000000003</v>
      </c>
      <c r="L39" s="75">
        <v>39.119999999999997</v>
      </c>
      <c r="M39" s="75">
        <v>46.9</v>
      </c>
      <c r="N39" s="75">
        <v>47.379999999999995</v>
      </c>
      <c r="O39" s="75">
        <v>119.35</v>
      </c>
      <c r="P39" s="75">
        <v>120.78</v>
      </c>
      <c r="Q39" s="75">
        <v>42.25</v>
      </c>
      <c r="R39" s="75">
        <v>42.74</v>
      </c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24" cm="1">
        <f t="array" ref="BO39">SUMPRODUCT(E39:BM39,--(E$2:BM$2=BO$2))</f>
        <v>367.75</v>
      </c>
      <c r="BP39" s="24" cm="1">
        <f t="array" ref="BP39">SUMPRODUCT(F39:BN39,--(F$2:BN$2=BP$2))</f>
        <v>375.36</v>
      </c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 cm="1">
        <f t="array" ref="DW39">SUMPRODUCT(BQ39:DU39,--(BQ$2:DU$2=DW$2))</f>
        <v>0</v>
      </c>
      <c r="DX39" s="24" cm="1">
        <f t="array" ref="DX39">SUMPRODUCT(BR39:DV39,--(BR$2:DV$2=DX$2))</f>
        <v>0</v>
      </c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  <c r="FU39" s="24"/>
      <c r="FV39" s="24"/>
      <c r="FW39" s="24"/>
      <c r="FX39" s="24"/>
      <c r="FY39" s="24"/>
      <c r="FZ39" s="24"/>
      <c r="GA39" s="24"/>
      <c r="GB39" s="24"/>
      <c r="GC39" s="24"/>
      <c r="GD39" s="24"/>
      <c r="GE39" s="24"/>
      <c r="GF39" s="24"/>
      <c r="GG39" s="24"/>
      <c r="GH39" s="24"/>
      <c r="GI39" s="24" cm="1">
        <f t="array" ref="GI39">SUMPRODUCT(DY39:GG39,--(DY$2:GG$2=GI$2))</f>
        <v>0</v>
      </c>
      <c r="GJ39" s="24" cm="1">
        <f t="array" ref="GJ39">SUMPRODUCT(DZ39:GH39,--(DZ$2:GH$2=GJ$2))</f>
        <v>0</v>
      </c>
      <c r="GK39" s="24"/>
      <c r="GL39" s="24"/>
      <c r="GM39" s="24"/>
      <c r="GN39" s="24"/>
      <c r="GO39" s="24"/>
      <c r="GP39" s="24"/>
      <c r="GQ39" s="24"/>
      <c r="GR39" s="24"/>
      <c r="GS39" s="24"/>
      <c r="GT39" s="24"/>
      <c r="GU39" s="24"/>
      <c r="GV39" s="24"/>
      <c r="GW39" s="24"/>
      <c r="GX39" s="24"/>
      <c r="GY39" s="24"/>
      <c r="GZ39" s="24"/>
      <c r="HA39" s="24"/>
      <c r="HB39" s="24"/>
      <c r="HC39" s="24"/>
      <c r="HD39" s="24"/>
      <c r="HE39" s="24"/>
      <c r="HF39" s="24"/>
      <c r="HG39" s="24"/>
      <c r="HH39" s="24"/>
      <c r="HI39" s="24"/>
      <c r="HJ39" s="24"/>
      <c r="HK39" s="24"/>
      <c r="HL39" s="24"/>
      <c r="HM39" s="24"/>
      <c r="HN39" s="24"/>
      <c r="HO39" s="24"/>
      <c r="HP39" s="24"/>
      <c r="HQ39" s="24"/>
      <c r="HR39" s="24"/>
      <c r="HS39" s="24"/>
      <c r="HT39" s="24"/>
      <c r="HU39" s="24"/>
      <c r="HV39" s="24"/>
      <c r="HW39" s="24"/>
      <c r="HX39" s="24"/>
      <c r="HY39" s="24"/>
      <c r="HZ39" s="24"/>
      <c r="IA39" s="24"/>
      <c r="IB39" s="24"/>
      <c r="IC39" s="24"/>
      <c r="ID39" s="24"/>
      <c r="IE39" s="24"/>
      <c r="IF39" s="24"/>
      <c r="IG39" s="24"/>
      <c r="IH39" s="24"/>
      <c r="II39" s="24"/>
      <c r="IJ39" s="24"/>
      <c r="IK39" s="24"/>
      <c r="IL39" s="24"/>
      <c r="IM39" s="24"/>
      <c r="IN39" s="24"/>
      <c r="IO39" s="24"/>
      <c r="IP39" s="24"/>
      <c r="IQ39" s="24"/>
      <c r="IR39" s="24"/>
      <c r="IS39" s="24">
        <f t="shared" si="124"/>
        <v>0</v>
      </c>
      <c r="IT39" s="24">
        <f t="shared" si="125"/>
        <v>0</v>
      </c>
      <c r="IU39" s="24"/>
      <c r="IV39" s="24"/>
      <c r="IW39" s="24"/>
      <c r="IX39" s="24"/>
      <c r="IY39" s="24"/>
      <c r="IZ39" s="24"/>
      <c r="JA39" s="24"/>
      <c r="JB39" s="24"/>
      <c r="JC39" s="24"/>
      <c r="JD39" s="24"/>
      <c r="JE39" s="24"/>
      <c r="JF39" s="24"/>
      <c r="JG39" s="24"/>
      <c r="JH39" s="24"/>
      <c r="JI39" s="24"/>
      <c r="JJ39" s="24"/>
      <c r="JK39" s="24"/>
      <c r="JL39" s="24"/>
      <c r="JM39" s="24"/>
      <c r="JN39" s="24"/>
      <c r="JO39" s="24"/>
      <c r="JP39" s="24"/>
      <c r="JQ39" s="24"/>
      <c r="JR39" s="24"/>
      <c r="JS39" s="24"/>
      <c r="JT39" s="24"/>
      <c r="JU39" s="24"/>
      <c r="JV39" s="24"/>
      <c r="JW39" s="24"/>
      <c r="JX39" s="24"/>
      <c r="JY39" s="24"/>
      <c r="JZ39" s="24"/>
      <c r="KA39" s="24"/>
      <c r="KB39" s="24"/>
      <c r="KC39" s="24"/>
      <c r="KD39" s="24"/>
      <c r="KE39" s="24"/>
      <c r="KF39" s="24"/>
      <c r="KG39" s="24"/>
      <c r="KH39" s="24"/>
      <c r="KI39" s="24"/>
      <c r="KJ39" s="24"/>
      <c r="KK39" s="24"/>
      <c r="KL39" s="24"/>
      <c r="KM39" s="24"/>
      <c r="KN39" s="24"/>
      <c r="KO39" s="24"/>
      <c r="KP39" s="24"/>
      <c r="KQ39" s="24"/>
      <c r="KR39" s="24"/>
      <c r="KS39" s="24"/>
      <c r="KT39" s="24"/>
      <c r="KU39" s="24"/>
      <c r="KV39" s="24"/>
      <c r="KW39" s="24"/>
      <c r="KX39" s="24"/>
      <c r="KY39" s="24"/>
      <c r="KZ39" s="24"/>
      <c r="LA39" s="24"/>
      <c r="LB39" s="24"/>
      <c r="LC39" s="24"/>
      <c r="LD39" s="24"/>
      <c r="LE39" s="24">
        <f t="shared" si="126"/>
        <v>0</v>
      </c>
      <c r="LF39" s="24">
        <f t="shared" si="127"/>
        <v>0</v>
      </c>
      <c r="LG39" s="24"/>
      <c r="LH39" s="24"/>
      <c r="LI39" s="24"/>
      <c r="LJ39" s="24"/>
      <c r="LK39" s="24"/>
      <c r="LL39" s="24"/>
      <c r="LM39" s="24"/>
      <c r="LN39" s="24"/>
      <c r="LO39" s="24"/>
      <c r="LP39" s="24"/>
      <c r="LQ39" s="24"/>
      <c r="LR39" s="24"/>
      <c r="LS39" s="24"/>
      <c r="LT39" s="24"/>
      <c r="LU39" s="24"/>
      <c r="LV39" s="24"/>
      <c r="LW39" s="24"/>
      <c r="LX39" s="24"/>
      <c r="LY39" s="24"/>
      <c r="LZ39" s="24"/>
      <c r="MA39" s="24"/>
      <c r="MB39" s="24"/>
      <c r="MC39" s="24"/>
      <c r="MD39" s="24"/>
      <c r="ME39" s="24"/>
      <c r="MF39" s="24"/>
      <c r="MG39" s="24"/>
      <c r="MH39" s="24"/>
      <c r="MI39" s="24"/>
      <c r="MJ39" s="24"/>
      <c r="MK39" s="24"/>
      <c r="ML39" s="24"/>
      <c r="MM39" s="24"/>
      <c r="MN39" s="24"/>
      <c r="MO39" s="24"/>
      <c r="MP39" s="24"/>
      <c r="MQ39" s="24"/>
      <c r="MR39" s="24"/>
      <c r="MS39" s="24"/>
      <c r="MT39" s="24"/>
      <c r="MU39" s="24"/>
      <c r="MV39" s="24"/>
      <c r="MW39" s="24"/>
      <c r="MX39" s="24"/>
      <c r="MY39" s="24"/>
      <c r="MZ39" s="24"/>
      <c r="NA39" s="24"/>
      <c r="NB39" s="24"/>
      <c r="NC39" s="24"/>
      <c r="ND39" s="24"/>
      <c r="NE39" s="24"/>
      <c r="NF39" s="24"/>
      <c r="NG39" s="24"/>
      <c r="NH39" s="24"/>
      <c r="NI39" s="24"/>
      <c r="NJ39" s="24"/>
      <c r="NK39" s="24"/>
      <c r="NL39" s="24"/>
      <c r="NM39" s="24"/>
      <c r="NN39" s="24"/>
      <c r="NO39" s="24">
        <f t="shared" si="128"/>
        <v>0</v>
      </c>
      <c r="NP39" s="24">
        <f t="shared" si="129"/>
        <v>0</v>
      </c>
      <c r="NQ39" s="24"/>
      <c r="NR39" s="24"/>
      <c r="NS39" s="24"/>
      <c r="NT39" s="24"/>
      <c r="NU39" s="24"/>
      <c r="NV39" s="24"/>
      <c r="NW39" s="24"/>
      <c r="NX39" s="24"/>
      <c r="NY39" s="24"/>
      <c r="NZ39" s="24"/>
      <c r="OA39" s="24"/>
      <c r="OB39" s="24"/>
      <c r="OC39" s="24"/>
      <c r="OD39" s="24"/>
      <c r="OE39" s="24"/>
      <c r="OF39" s="24"/>
      <c r="OG39" s="24"/>
      <c r="OH39" s="24"/>
      <c r="OI39" s="24"/>
      <c r="OJ39" s="24"/>
      <c r="OK39" s="24"/>
      <c r="OL39" s="24"/>
      <c r="OM39" s="24"/>
      <c r="ON39" s="24"/>
      <c r="OO39" s="24"/>
      <c r="OP39" s="24"/>
      <c r="OQ39" s="24"/>
      <c r="OR39" s="24"/>
      <c r="OS39" s="24"/>
      <c r="OT39" s="24"/>
      <c r="OU39" s="24"/>
      <c r="OV39" s="24"/>
      <c r="OW39" s="24"/>
      <c r="OX39" s="24"/>
      <c r="OY39" s="24"/>
      <c r="OZ39" s="24"/>
      <c r="PA39" s="24"/>
      <c r="PB39" s="24"/>
      <c r="PC39" s="24"/>
      <c r="PD39" s="24"/>
      <c r="PE39" s="24"/>
      <c r="PF39" s="24"/>
      <c r="PG39" s="24"/>
      <c r="PH39" s="24"/>
      <c r="PI39" s="24"/>
      <c r="PJ39" s="24"/>
      <c r="PK39" s="24"/>
      <c r="PL39" s="24"/>
      <c r="PM39" s="24"/>
      <c r="PN39" s="24"/>
      <c r="PO39" s="24"/>
      <c r="PP39" s="24"/>
      <c r="PQ39" s="24"/>
      <c r="PR39" s="24"/>
      <c r="PS39" s="24"/>
      <c r="PT39" s="24"/>
      <c r="PU39" s="24"/>
      <c r="PV39" s="24"/>
      <c r="PW39" s="24"/>
      <c r="PX39" s="24"/>
      <c r="PY39" s="24"/>
      <c r="PZ39" s="24"/>
      <c r="QA39" s="24">
        <f t="shared" si="130"/>
        <v>0</v>
      </c>
      <c r="QB39" s="24">
        <f t="shared" si="131"/>
        <v>0</v>
      </c>
      <c r="QC39" s="24"/>
      <c r="QD39" s="24"/>
      <c r="QE39" s="24"/>
      <c r="QF39" s="24"/>
      <c r="QG39" s="24"/>
      <c r="QH39" s="24"/>
      <c r="QI39" s="24"/>
      <c r="QJ39" s="24"/>
      <c r="QK39" s="24"/>
      <c r="QL39" s="24"/>
      <c r="QM39" s="24"/>
      <c r="QN39" s="24"/>
      <c r="QO39" s="24"/>
      <c r="QP39" s="24"/>
      <c r="QQ39" s="24"/>
      <c r="QR39" s="24"/>
      <c r="QS39" s="24"/>
      <c r="QT39" s="24"/>
      <c r="QU39" s="24"/>
      <c r="QV39" s="24"/>
      <c r="QW39" s="24"/>
      <c r="QX39" s="24"/>
      <c r="QY39" s="24"/>
      <c r="QZ39" s="24"/>
      <c r="RA39" s="24"/>
      <c r="RB39" s="24"/>
      <c r="RC39" s="24"/>
      <c r="RD39" s="24"/>
      <c r="RE39" s="24"/>
      <c r="RF39" s="24"/>
      <c r="RG39" s="24"/>
      <c r="RH39" s="24"/>
      <c r="RI39" s="24"/>
      <c r="RJ39" s="24"/>
      <c r="RK39" s="24"/>
      <c r="RL39" s="24"/>
      <c r="RM39" s="24"/>
      <c r="RN39" s="24"/>
      <c r="RO39" s="24"/>
      <c r="RP39" s="24"/>
      <c r="RQ39" s="24"/>
      <c r="RR39" s="24"/>
      <c r="RS39" s="24"/>
      <c r="RT39" s="24"/>
      <c r="RU39" s="24"/>
      <c r="RV39" s="24"/>
      <c r="RW39" s="24"/>
      <c r="RX39" s="24"/>
      <c r="RY39" s="24"/>
      <c r="RZ39" s="24"/>
      <c r="SA39" s="24"/>
      <c r="SB39" s="24"/>
      <c r="SC39" s="24"/>
      <c r="SD39" s="24"/>
      <c r="SE39" s="24"/>
      <c r="SF39" s="24"/>
      <c r="SG39" s="24"/>
      <c r="SH39" s="24"/>
      <c r="SI39" s="24"/>
      <c r="SJ39" s="24"/>
      <c r="SK39" s="24"/>
      <c r="SL39" s="24"/>
      <c r="SM39" s="24">
        <f t="shared" si="132"/>
        <v>0</v>
      </c>
      <c r="SN39" s="24">
        <f t="shared" si="133"/>
        <v>0</v>
      </c>
      <c r="SO39" s="24"/>
      <c r="SP39" s="24"/>
      <c r="SQ39" s="24"/>
      <c r="SR39" s="24"/>
      <c r="SS39" s="24"/>
      <c r="ST39" s="24"/>
      <c r="SU39" s="24"/>
      <c r="SV39" s="24"/>
      <c r="SW39" s="24"/>
      <c r="SX39" s="24"/>
      <c r="SY39" s="24"/>
      <c r="SZ39" s="24"/>
      <c r="TA39" s="24"/>
      <c r="TB39" s="24"/>
      <c r="TC39" s="24"/>
      <c r="TD39" s="24"/>
      <c r="TE39" s="24"/>
      <c r="TF39" s="24"/>
      <c r="TG39" s="24"/>
      <c r="TH39" s="24"/>
      <c r="TI39" s="24"/>
      <c r="TJ39" s="24"/>
      <c r="TK39" s="24"/>
      <c r="TL39" s="24"/>
      <c r="TM39" s="24"/>
      <c r="TN39" s="24"/>
      <c r="TO39" s="24"/>
      <c r="TP39" s="24"/>
      <c r="TQ39" s="24"/>
      <c r="TR39" s="24"/>
      <c r="TS39" s="24"/>
      <c r="TT39" s="24"/>
      <c r="TU39" s="24"/>
      <c r="TV39" s="24"/>
      <c r="TW39" s="24"/>
      <c r="TX39" s="24"/>
      <c r="TY39" s="24"/>
      <c r="TZ39" s="24"/>
      <c r="UA39" s="24"/>
      <c r="UB39" s="24"/>
      <c r="UC39" s="24"/>
      <c r="UD39" s="24"/>
      <c r="UE39" s="24"/>
      <c r="UF39" s="24"/>
      <c r="UG39" s="24"/>
      <c r="UH39" s="24"/>
      <c r="UI39" s="24"/>
      <c r="UJ39" s="24"/>
      <c r="UK39" s="24"/>
      <c r="UL39" s="24"/>
      <c r="UM39" s="24"/>
      <c r="UN39" s="24"/>
      <c r="UO39" s="24"/>
      <c r="UP39" s="24"/>
      <c r="UQ39" s="24"/>
      <c r="UR39" s="24"/>
      <c r="US39" s="24"/>
      <c r="UT39" s="24"/>
      <c r="UU39" s="24"/>
      <c r="UV39" s="24"/>
      <c r="UW39" s="24">
        <f t="shared" si="134"/>
        <v>0</v>
      </c>
      <c r="UX39" s="24">
        <f t="shared" si="135"/>
        <v>0</v>
      </c>
      <c r="UY39" s="24"/>
      <c r="UZ39" s="24"/>
      <c r="VA39" s="24"/>
      <c r="VB39" s="24"/>
      <c r="VC39" s="24"/>
      <c r="VD39" s="24"/>
      <c r="VE39" s="24"/>
      <c r="VF39" s="24"/>
      <c r="VG39" s="24"/>
      <c r="VH39" s="24"/>
      <c r="VI39" s="24"/>
      <c r="VJ39" s="24"/>
      <c r="VK39" s="24"/>
      <c r="VL39" s="24"/>
      <c r="VM39" s="24"/>
      <c r="VN39" s="24"/>
      <c r="VO39" s="24"/>
      <c r="VP39" s="24"/>
      <c r="VQ39" s="24"/>
      <c r="VR39" s="24"/>
      <c r="VS39" s="24"/>
      <c r="VT39" s="24"/>
      <c r="VU39" s="24"/>
      <c r="VV39" s="24"/>
      <c r="VW39" s="24"/>
      <c r="VX39" s="24"/>
      <c r="VY39" s="24"/>
      <c r="VZ39" s="24"/>
      <c r="WA39" s="24"/>
      <c r="WB39" s="24"/>
      <c r="WC39" s="24"/>
      <c r="WD39" s="24"/>
      <c r="WE39" s="24"/>
      <c r="WF39" s="24"/>
      <c r="WG39" s="24"/>
      <c r="WH39" s="24"/>
      <c r="WI39" s="24"/>
      <c r="WJ39" s="24"/>
      <c r="WK39" s="24"/>
      <c r="WL39" s="24"/>
      <c r="WM39" s="24"/>
      <c r="WN39" s="24"/>
      <c r="WO39" s="24"/>
      <c r="WP39" s="24"/>
      <c r="WQ39" s="24"/>
      <c r="WR39" s="24"/>
      <c r="WS39" s="24"/>
      <c r="WT39" s="24"/>
      <c r="WU39" s="24"/>
      <c r="WV39" s="24"/>
      <c r="WW39" s="24"/>
      <c r="WX39" s="24"/>
      <c r="WY39" s="24"/>
      <c r="WZ39" s="24"/>
      <c r="XA39" s="24"/>
      <c r="XB39" s="24"/>
      <c r="XC39" s="24"/>
      <c r="XD39" s="24"/>
      <c r="XE39" s="24"/>
      <c r="XF39" s="24"/>
      <c r="XG39" s="24"/>
      <c r="XH39" s="24"/>
      <c r="XI39" s="24">
        <f t="shared" si="136"/>
        <v>0</v>
      </c>
      <c r="XJ39" s="24">
        <f t="shared" si="137"/>
        <v>0</v>
      </c>
      <c r="XK39" s="24"/>
      <c r="XL39" s="24"/>
      <c r="XM39" s="24"/>
      <c r="XN39" s="24"/>
      <c r="XO39" s="24"/>
      <c r="XP39" s="24"/>
      <c r="XQ39" s="24"/>
      <c r="XR39" s="24"/>
      <c r="XS39" s="24"/>
      <c r="XT39" s="24"/>
      <c r="XU39" s="24"/>
      <c r="XV39" s="24"/>
      <c r="XW39" s="24"/>
      <c r="XX39" s="24"/>
      <c r="XY39" s="24"/>
      <c r="XZ39" s="24"/>
      <c r="YA39" s="24"/>
      <c r="YB39" s="24"/>
      <c r="YC39" s="24"/>
      <c r="YD39" s="24"/>
      <c r="YE39" s="24"/>
      <c r="YF39" s="24"/>
      <c r="YG39" s="24"/>
      <c r="YH39" s="24"/>
      <c r="YI39" s="24"/>
      <c r="YJ39" s="24"/>
      <c r="YK39" s="24"/>
      <c r="YL39" s="24"/>
      <c r="YM39" s="24"/>
      <c r="YN39" s="24"/>
      <c r="YO39" s="24"/>
      <c r="YP39" s="24"/>
      <c r="YQ39" s="24"/>
      <c r="YR39" s="24"/>
      <c r="YS39" s="24"/>
      <c r="YT39" s="24"/>
      <c r="YU39" s="24"/>
      <c r="YV39" s="24"/>
      <c r="YW39" s="24"/>
      <c r="YX39" s="24"/>
      <c r="YY39" s="24"/>
      <c r="YZ39" s="24"/>
      <c r="ZA39" s="24"/>
      <c r="ZB39" s="24"/>
      <c r="ZC39" s="24"/>
      <c r="ZD39" s="24"/>
      <c r="ZE39" s="24"/>
      <c r="ZF39" s="24"/>
      <c r="ZG39" s="24"/>
      <c r="ZH39" s="24"/>
      <c r="ZI39" s="24"/>
      <c r="ZJ39" s="24"/>
      <c r="ZK39" s="24"/>
      <c r="ZL39" s="24"/>
      <c r="ZM39" s="24"/>
      <c r="ZN39" s="24"/>
      <c r="ZO39" s="24"/>
      <c r="ZP39" s="24"/>
      <c r="ZQ39" s="24"/>
      <c r="ZR39" s="24"/>
      <c r="ZS39" s="24">
        <f t="shared" si="138"/>
        <v>0</v>
      </c>
      <c r="ZT39" s="24">
        <f t="shared" si="139"/>
        <v>0</v>
      </c>
      <c r="ZU39" s="24"/>
      <c r="ZV39" s="24"/>
      <c r="ZW39" s="24"/>
      <c r="ZX39" s="24"/>
      <c r="ZY39" s="24"/>
      <c r="ZZ39" s="24"/>
      <c r="AAA39" s="24"/>
      <c r="AAB39" s="24"/>
      <c r="AAC39" s="24"/>
      <c r="AAD39" s="24"/>
      <c r="AAE39" s="24"/>
      <c r="AAF39" s="24"/>
      <c r="AAG39" s="24"/>
      <c r="AAH39" s="24"/>
      <c r="AAI39" s="24"/>
      <c r="AAJ39" s="24"/>
      <c r="AAK39" s="24"/>
      <c r="AAL39" s="24"/>
      <c r="AAM39" s="24"/>
      <c r="AAN39" s="24"/>
      <c r="AAO39" s="24"/>
      <c r="AAP39" s="24"/>
      <c r="AAQ39" s="24"/>
      <c r="AAR39" s="24"/>
      <c r="AAS39" s="24"/>
      <c r="AAT39" s="24"/>
      <c r="AAU39" s="24"/>
      <c r="AAV39" s="24"/>
      <c r="AAW39" s="24"/>
      <c r="AAX39" s="24"/>
      <c r="AAY39" s="24"/>
      <c r="AAZ39" s="24"/>
      <c r="ABA39" s="24"/>
      <c r="ABB39" s="24"/>
      <c r="ABC39" s="24"/>
      <c r="ABD39" s="24"/>
      <c r="ABE39" s="24"/>
      <c r="ABF39" s="24"/>
      <c r="ABG39" s="24"/>
      <c r="ABH39" s="24"/>
      <c r="ABI39" s="24"/>
      <c r="ABJ39" s="24"/>
      <c r="ABK39" s="24"/>
      <c r="ABL39" s="24"/>
      <c r="ABM39" s="24"/>
      <c r="ABN39" s="24"/>
      <c r="ABO39" s="24"/>
      <c r="ABP39" s="24"/>
      <c r="ABQ39" s="24"/>
      <c r="ABR39" s="24"/>
      <c r="ABS39" s="24"/>
      <c r="ABT39" s="24"/>
      <c r="ABU39" s="24"/>
      <c r="ABV39" s="24"/>
      <c r="ABW39" s="24"/>
      <c r="ABX39" s="24"/>
      <c r="ABY39" s="24"/>
      <c r="ABZ39" s="24"/>
      <c r="ACA39" s="24"/>
      <c r="ACB39" s="24"/>
      <c r="ACC39" s="24"/>
      <c r="ACD39" s="24"/>
      <c r="ACE39" s="24">
        <f t="shared" si="140"/>
        <v>0</v>
      </c>
      <c r="ACF39" s="24"/>
      <c r="ACG39" s="24">
        <f t="shared" si="141"/>
        <v>367.75</v>
      </c>
      <c r="ACH39" s="25"/>
      <c r="ACI39" s="71" t="s">
        <v>155</v>
      </c>
      <c r="ACJ39" s="71" t="s">
        <v>89</v>
      </c>
    </row>
    <row r="40" spans="1:764" x14ac:dyDescent="0.25">
      <c r="A40" s="162"/>
      <c r="B40" s="152"/>
      <c r="C40" s="156"/>
      <c r="D40" s="51" t="s">
        <v>9</v>
      </c>
      <c r="E40" s="74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24" cm="1">
        <f t="array" ref="BO40">SUMPRODUCT(E40:BM40,--(E$2:BM$2=BO$2))</f>
        <v>0</v>
      </c>
      <c r="BP40" s="24" cm="1">
        <f t="array" ref="BP40">SUMPRODUCT(F40:BN40,--(F$2:BN$2=BP$2))</f>
        <v>0</v>
      </c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 cm="1">
        <f t="array" ref="DW40">SUMPRODUCT(BQ40:DU40,--(BQ$2:DU$2=DW$2))</f>
        <v>0</v>
      </c>
      <c r="DX40" s="24" cm="1">
        <f t="array" ref="DX40">SUMPRODUCT(BR40:DV40,--(BR$2:DV$2=DX$2))</f>
        <v>0</v>
      </c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/>
      <c r="EV40" s="24"/>
      <c r="EW40" s="24"/>
      <c r="EX40" s="24"/>
      <c r="EY40" s="24"/>
      <c r="EZ40" s="24"/>
      <c r="FA40" s="24"/>
      <c r="FB40" s="24"/>
      <c r="FC40" s="24"/>
      <c r="FD40" s="24"/>
      <c r="FE40" s="24"/>
      <c r="FF40" s="24"/>
      <c r="FG40" s="24"/>
      <c r="FH40" s="24"/>
      <c r="FI40" s="24"/>
      <c r="FJ40" s="24"/>
      <c r="FK40" s="24"/>
      <c r="FL40" s="24"/>
      <c r="FM40" s="24"/>
      <c r="FN40" s="24"/>
      <c r="FO40" s="24"/>
      <c r="FP40" s="24"/>
      <c r="FQ40" s="24"/>
      <c r="FR40" s="24"/>
      <c r="FS40" s="24"/>
      <c r="FT40" s="24"/>
      <c r="FU40" s="24"/>
      <c r="FV40" s="24"/>
      <c r="FW40" s="24"/>
      <c r="FX40" s="24"/>
      <c r="FY40" s="24"/>
      <c r="FZ40" s="24"/>
      <c r="GA40" s="24"/>
      <c r="GB40" s="24"/>
      <c r="GC40" s="24"/>
      <c r="GD40" s="24"/>
      <c r="GE40" s="24"/>
      <c r="GF40" s="24"/>
      <c r="GG40" s="24"/>
      <c r="GH40" s="24"/>
      <c r="GI40" s="24" cm="1">
        <f t="array" ref="GI40">SUMPRODUCT(DY40:GG40,--(DY$2:GG$2=GI$2))</f>
        <v>0</v>
      </c>
      <c r="GJ40" s="24" cm="1">
        <f t="array" ref="GJ40">SUMPRODUCT(DZ40:GH40,--(DZ$2:GH$2=GJ$2))</f>
        <v>0</v>
      </c>
      <c r="GK40" s="24"/>
      <c r="GL40" s="24"/>
      <c r="GM40" s="24"/>
      <c r="GN40" s="24"/>
      <c r="GO40" s="24"/>
      <c r="GP40" s="24"/>
      <c r="GQ40" s="24"/>
      <c r="GR40" s="24"/>
      <c r="GS40" s="24"/>
      <c r="GT40" s="24"/>
      <c r="GU40" s="24"/>
      <c r="GV40" s="24"/>
      <c r="GW40" s="24"/>
      <c r="GX40" s="24"/>
      <c r="GY40" s="24"/>
      <c r="GZ40" s="24"/>
      <c r="HA40" s="24"/>
      <c r="HB40" s="24"/>
      <c r="HC40" s="24"/>
      <c r="HD40" s="24"/>
      <c r="HE40" s="24"/>
      <c r="HF40" s="24"/>
      <c r="HG40" s="24"/>
      <c r="HH40" s="24"/>
      <c r="HI40" s="24"/>
      <c r="HJ40" s="24"/>
      <c r="HK40" s="24"/>
      <c r="HL40" s="24"/>
      <c r="HM40" s="24"/>
      <c r="HN40" s="24"/>
      <c r="HO40" s="24"/>
      <c r="HP40" s="24"/>
      <c r="HQ40" s="24"/>
      <c r="HR40" s="24"/>
      <c r="HS40" s="24"/>
      <c r="HT40" s="24"/>
      <c r="HU40" s="24"/>
      <c r="HV40" s="24"/>
      <c r="HW40" s="24"/>
      <c r="HX40" s="24"/>
      <c r="HY40" s="24"/>
      <c r="HZ40" s="24"/>
      <c r="IA40" s="24"/>
      <c r="IB40" s="24"/>
      <c r="IC40" s="24"/>
      <c r="ID40" s="24"/>
      <c r="IE40" s="24"/>
      <c r="IF40" s="24"/>
      <c r="IG40" s="24"/>
      <c r="IH40" s="24"/>
      <c r="II40" s="24"/>
      <c r="IJ40" s="24"/>
      <c r="IK40" s="24"/>
      <c r="IL40" s="24"/>
      <c r="IM40" s="24"/>
      <c r="IN40" s="24"/>
      <c r="IO40" s="24"/>
      <c r="IP40" s="24"/>
      <c r="IQ40" s="24"/>
      <c r="IR40" s="24"/>
      <c r="IS40" s="24">
        <f t="shared" si="124"/>
        <v>0</v>
      </c>
      <c r="IT40" s="24">
        <f t="shared" si="125"/>
        <v>0</v>
      </c>
      <c r="IU40" s="24"/>
      <c r="IV40" s="24"/>
      <c r="IW40" s="24"/>
      <c r="IX40" s="24"/>
      <c r="IY40" s="24"/>
      <c r="IZ40" s="24"/>
      <c r="JA40" s="24"/>
      <c r="JB40" s="24"/>
      <c r="JC40" s="24"/>
      <c r="JD40" s="24"/>
      <c r="JE40" s="24"/>
      <c r="JF40" s="24"/>
      <c r="JG40" s="24"/>
      <c r="JH40" s="24"/>
      <c r="JI40" s="24"/>
      <c r="JJ40" s="24"/>
      <c r="JK40" s="24"/>
      <c r="JL40" s="24"/>
      <c r="JM40" s="24"/>
      <c r="JN40" s="24"/>
      <c r="JO40" s="24"/>
      <c r="JP40" s="24"/>
      <c r="JQ40" s="24"/>
      <c r="JR40" s="24"/>
      <c r="JS40" s="24"/>
      <c r="JT40" s="24"/>
      <c r="JU40" s="24"/>
      <c r="JV40" s="24"/>
      <c r="JW40" s="24"/>
      <c r="JX40" s="24"/>
      <c r="JY40" s="24"/>
      <c r="JZ40" s="24"/>
      <c r="KA40" s="24"/>
      <c r="KB40" s="24"/>
      <c r="KC40" s="24"/>
      <c r="KD40" s="24"/>
      <c r="KE40" s="24"/>
      <c r="KF40" s="24"/>
      <c r="KG40" s="24"/>
      <c r="KH40" s="24"/>
      <c r="KI40" s="24"/>
      <c r="KJ40" s="24"/>
      <c r="KK40" s="24"/>
      <c r="KL40" s="24"/>
      <c r="KM40" s="24"/>
      <c r="KN40" s="24"/>
      <c r="KO40" s="24"/>
      <c r="KP40" s="24"/>
      <c r="KQ40" s="24"/>
      <c r="KR40" s="24"/>
      <c r="KS40" s="24"/>
      <c r="KT40" s="24"/>
      <c r="KU40" s="24"/>
      <c r="KV40" s="24"/>
      <c r="KW40" s="24"/>
      <c r="KX40" s="24"/>
      <c r="KY40" s="24"/>
      <c r="KZ40" s="24"/>
      <c r="LA40" s="24"/>
      <c r="LB40" s="24"/>
      <c r="LC40" s="24"/>
      <c r="LD40" s="24"/>
      <c r="LE40" s="24">
        <f t="shared" si="126"/>
        <v>0</v>
      </c>
      <c r="LF40" s="24">
        <f t="shared" si="127"/>
        <v>0</v>
      </c>
      <c r="LG40" s="24"/>
      <c r="LH40" s="24"/>
      <c r="LI40" s="24"/>
      <c r="LJ40" s="24"/>
      <c r="LK40" s="24"/>
      <c r="LL40" s="24"/>
      <c r="LM40" s="24"/>
      <c r="LN40" s="24"/>
      <c r="LO40" s="24"/>
      <c r="LP40" s="24"/>
      <c r="LQ40" s="24"/>
      <c r="LR40" s="24"/>
      <c r="LS40" s="24"/>
      <c r="LT40" s="24"/>
      <c r="LU40" s="24"/>
      <c r="LV40" s="24"/>
      <c r="LW40" s="24"/>
      <c r="LX40" s="24"/>
      <c r="LY40" s="24"/>
      <c r="LZ40" s="24"/>
      <c r="MA40" s="24"/>
      <c r="MB40" s="24"/>
      <c r="MC40" s="24"/>
      <c r="MD40" s="24"/>
      <c r="ME40" s="24"/>
      <c r="MF40" s="24"/>
      <c r="MG40" s="24"/>
      <c r="MH40" s="24"/>
      <c r="MI40" s="24"/>
      <c r="MJ40" s="24"/>
      <c r="MK40" s="24"/>
      <c r="ML40" s="24"/>
      <c r="MM40" s="24"/>
      <c r="MN40" s="24"/>
      <c r="MO40" s="24"/>
      <c r="MP40" s="24"/>
      <c r="MQ40" s="24"/>
      <c r="MR40" s="24"/>
      <c r="MS40" s="24"/>
      <c r="MT40" s="24"/>
      <c r="MU40" s="24"/>
      <c r="MV40" s="24"/>
      <c r="MW40" s="24"/>
      <c r="MX40" s="24"/>
      <c r="MY40" s="24"/>
      <c r="MZ40" s="24"/>
      <c r="NA40" s="24"/>
      <c r="NB40" s="24"/>
      <c r="NC40" s="24"/>
      <c r="ND40" s="24"/>
      <c r="NE40" s="24"/>
      <c r="NF40" s="24"/>
      <c r="NG40" s="24"/>
      <c r="NH40" s="24"/>
      <c r="NI40" s="24"/>
      <c r="NJ40" s="24"/>
      <c r="NK40" s="24"/>
      <c r="NL40" s="24"/>
      <c r="NM40" s="24"/>
      <c r="NN40" s="24"/>
      <c r="NO40" s="24">
        <f t="shared" si="128"/>
        <v>0</v>
      </c>
      <c r="NP40" s="24">
        <f t="shared" si="129"/>
        <v>0</v>
      </c>
      <c r="NQ40" s="24"/>
      <c r="NR40" s="24"/>
      <c r="NS40" s="24"/>
      <c r="NT40" s="24"/>
      <c r="NU40" s="24"/>
      <c r="NV40" s="24"/>
      <c r="NW40" s="24"/>
      <c r="NX40" s="24"/>
      <c r="NY40" s="24"/>
      <c r="NZ40" s="24"/>
      <c r="OA40" s="24"/>
      <c r="OB40" s="24"/>
      <c r="OC40" s="24"/>
      <c r="OD40" s="24"/>
      <c r="OE40" s="24"/>
      <c r="OF40" s="24"/>
      <c r="OG40" s="24"/>
      <c r="OH40" s="24"/>
      <c r="OI40" s="24"/>
      <c r="OJ40" s="24"/>
      <c r="OK40" s="24"/>
      <c r="OL40" s="24"/>
      <c r="OM40" s="24"/>
      <c r="ON40" s="24"/>
      <c r="OO40" s="24"/>
      <c r="OP40" s="24"/>
      <c r="OQ40" s="24"/>
      <c r="OR40" s="24"/>
      <c r="OS40" s="24"/>
      <c r="OT40" s="24"/>
      <c r="OU40" s="24"/>
      <c r="OV40" s="24"/>
      <c r="OW40" s="24"/>
      <c r="OX40" s="24"/>
      <c r="OY40" s="24"/>
      <c r="OZ40" s="24"/>
      <c r="PA40" s="24"/>
      <c r="PB40" s="24"/>
      <c r="PC40" s="24"/>
      <c r="PD40" s="24"/>
      <c r="PE40" s="24"/>
      <c r="PF40" s="24"/>
      <c r="PG40" s="24"/>
      <c r="PH40" s="24"/>
      <c r="PI40" s="24"/>
      <c r="PJ40" s="24"/>
      <c r="PK40" s="24"/>
      <c r="PL40" s="24"/>
      <c r="PM40" s="24"/>
      <c r="PN40" s="24"/>
      <c r="PO40" s="24"/>
      <c r="PP40" s="24"/>
      <c r="PQ40" s="24"/>
      <c r="PR40" s="24"/>
      <c r="PS40" s="24"/>
      <c r="PT40" s="24"/>
      <c r="PU40" s="24"/>
      <c r="PV40" s="24"/>
      <c r="PW40" s="24"/>
      <c r="PX40" s="24"/>
      <c r="PY40" s="24"/>
      <c r="PZ40" s="24"/>
      <c r="QA40" s="24">
        <f t="shared" si="130"/>
        <v>0</v>
      </c>
      <c r="QB40" s="24">
        <f t="shared" si="131"/>
        <v>0</v>
      </c>
      <c r="QC40" s="24"/>
      <c r="QD40" s="24"/>
      <c r="QE40" s="24"/>
      <c r="QF40" s="24"/>
      <c r="QG40" s="24"/>
      <c r="QH40" s="24"/>
      <c r="QI40" s="24"/>
      <c r="QJ40" s="24"/>
      <c r="QK40" s="24"/>
      <c r="QL40" s="24"/>
      <c r="QM40" s="24"/>
      <c r="QN40" s="24"/>
      <c r="QO40" s="24"/>
      <c r="QP40" s="24"/>
      <c r="QQ40" s="24"/>
      <c r="QR40" s="24"/>
      <c r="QS40" s="24"/>
      <c r="QT40" s="24"/>
      <c r="QU40" s="24"/>
      <c r="QV40" s="24"/>
      <c r="QW40" s="24"/>
      <c r="QX40" s="24"/>
      <c r="QY40" s="24"/>
      <c r="QZ40" s="24"/>
      <c r="RA40" s="24"/>
      <c r="RB40" s="24"/>
      <c r="RC40" s="24"/>
      <c r="RD40" s="24"/>
      <c r="RE40" s="24"/>
      <c r="RF40" s="24"/>
      <c r="RG40" s="24"/>
      <c r="RH40" s="24"/>
      <c r="RI40" s="24"/>
      <c r="RJ40" s="24"/>
      <c r="RK40" s="24"/>
      <c r="RL40" s="24"/>
      <c r="RM40" s="24"/>
      <c r="RN40" s="24"/>
      <c r="RO40" s="24"/>
      <c r="RP40" s="24"/>
      <c r="RQ40" s="24"/>
      <c r="RR40" s="24"/>
      <c r="RS40" s="24"/>
      <c r="RT40" s="24"/>
      <c r="RU40" s="24"/>
      <c r="RV40" s="24"/>
      <c r="RW40" s="24"/>
      <c r="RX40" s="24"/>
      <c r="RY40" s="24"/>
      <c r="RZ40" s="24"/>
      <c r="SA40" s="24"/>
      <c r="SB40" s="24"/>
      <c r="SC40" s="24"/>
      <c r="SD40" s="24"/>
      <c r="SE40" s="24"/>
      <c r="SF40" s="24"/>
      <c r="SG40" s="24"/>
      <c r="SH40" s="24"/>
      <c r="SI40" s="24"/>
      <c r="SJ40" s="24"/>
      <c r="SK40" s="24"/>
      <c r="SL40" s="24"/>
      <c r="SM40" s="24">
        <f t="shared" si="132"/>
        <v>0</v>
      </c>
      <c r="SN40" s="24">
        <f t="shared" si="133"/>
        <v>0</v>
      </c>
      <c r="SO40" s="24"/>
      <c r="SP40" s="24"/>
      <c r="SQ40" s="24"/>
      <c r="SR40" s="24"/>
      <c r="SS40" s="24"/>
      <c r="ST40" s="24"/>
      <c r="SU40" s="24"/>
      <c r="SV40" s="24"/>
      <c r="SW40" s="24"/>
      <c r="SX40" s="24"/>
      <c r="SY40" s="24"/>
      <c r="SZ40" s="24"/>
      <c r="TA40" s="24"/>
      <c r="TB40" s="24"/>
      <c r="TC40" s="24"/>
      <c r="TD40" s="24"/>
      <c r="TE40" s="24"/>
      <c r="TF40" s="24"/>
      <c r="TG40" s="24"/>
      <c r="TH40" s="24"/>
      <c r="TI40" s="24"/>
      <c r="TJ40" s="24"/>
      <c r="TK40" s="24"/>
      <c r="TL40" s="24"/>
      <c r="TM40" s="24"/>
      <c r="TN40" s="24"/>
      <c r="TO40" s="24"/>
      <c r="TP40" s="24"/>
      <c r="TQ40" s="24"/>
      <c r="TR40" s="24"/>
      <c r="TS40" s="24"/>
      <c r="TT40" s="24"/>
      <c r="TU40" s="24"/>
      <c r="TV40" s="24"/>
      <c r="TW40" s="24"/>
      <c r="TX40" s="24"/>
      <c r="TY40" s="24"/>
      <c r="TZ40" s="24"/>
      <c r="UA40" s="24"/>
      <c r="UB40" s="24"/>
      <c r="UC40" s="24"/>
      <c r="UD40" s="24"/>
      <c r="UE40" s="24"/>
      <c r="UF40" s="24"/>
      <c r="UG40" s="24"/>
      <c r="UH40" s="24"/>
      <c r="UI40" s="24"/>
      <c r="UJ40" s="24"/>
      <c r="UK40" s="24"/>
      <c r="UL40" s="24"/>
      <c r="UM40" s="24"/>
      <c r="UN40" s="24"/>
      <c r="UO40" s="24"/>
      <c r="UP40" s="24"/>
      <c r="UQ40" s="24"/>
      <c r="UR40" s="24"/>
      <c r="US40" s="24"/>
      <c r="UT40" s="24"/>
      <c r="UU40" s="24"/>
      <c r="UV40" s="24"/>
      <c r="UW40" s="24">
        <f t="shared" si="134"/>
        <v>0</v>
      </c>
      <c r="UX40" s="24">
        <f t="shared" si="135"/>
        <v>0</v>
      </c>
      <c r="UY40" s="24"/>
      <c r="UZ40" s="24"/>
      <c r="VA40" s="24"/>
      <c r="VB40" s="24"/>
      <c r="VC40" s="24"/>
      <c r="VD40" s="24"/>
      <c r="VE40" s="24"/>
      <c r="VF40" s="24"/>
      <c r="VG40" s="24"/>
      <c r="VH40" s="24"/>
      <c r="VI40" s="24"/>
      <c r="VJ40" s="24"/>
      <c r="VK40" s="24"/>
      <c r="VL40" s="24"/>
      <c r="VM40" s="24"/>
      <c r="VN40" s="24"/>
      <c r="VO40" s="24"/>
      <c r="VP40" s="24"/>
      <c r="VQ40" s="24"/>
      <c r="VR40" s="24"/>
      <c r="VS40" s="24"/>
      <c r="VT40" s="24"/>
      <c r="VU40" s="24"/>
      <c r="VV40" s="24"/>
      <c r="VW40" s="24"/>
      <c r="VX40" s="24"/>
      <c r="VY40" s="24"/>
      <c r="VZ40" s="24"/>
      <c r="WA40" s="24"/>
      <c r="WB40" s="24"/>
      <c r="WC40" s="24"/>
      <c r="WD40" s="24"/>
      <c r="WE40" s="24"/>
      <c r="WF40" s="24"/>
      <c r="WG40" s="24"/>
      <c r="WH40" s="24"/>
      <c r="WI40" s="24"/>
      <c r="WJ40" s="24"/>
      <c r="WK40" s="24"/>
      <c r="WL40" s="24"/>
      <c r="WM40" s="24"/>
      <c r="WN40" s="24"/>
      <c r="WO40" s="24"/>
      <c r="WP40" s="24"/>
      <c r="WQ40" s="24"/>
      <c r="WR40" s="24"/>
      <c r="WS40" s="24"/>
      <c r="WT40" s="24"/>
      <c r="WU40" s="24"/>
      <c r="WV40" s="24"/>
      <c r="WW40" s="24"/>
      <c r="WX40" s="24"/>
      <c r="WY40" s="24"/>
      <c r="WZ40" s="24"/>
      <c r="XA40" s="24"/>
      <c r="XB40" s="24"/>
      <c r="XC40" s="24"/>
      <c r="XD40" s="24"/>
      <c r="XE40" s="24"/>
      <c r="XF40" s="24"/>
      <c r="XG40" s="24"/>
      <c r="XH40" s="24"/>
      <c r="XI40" s="24">
        <f t="shared" si="136"/>
        <v>0</v>
      </c>
      <c r="XJ40" s="24">
        <f t="shared" si="137"/>
        <v>0</v>
      </c>
      <c r="XK40" s="24"/>
      <c r="XL40" s="24"/>
      <c r="XM40" s="24"/>
      <c r="XN40" s="24"/>
      <c r="XO40" s="24"/>
      <c r="XP40" s="24"/>
      <c r="XQ40" s="24"/>
      <c r="XR40" s="24"/>
      <c r="XS40" s="24"/>
      <c r="XT40" s="24"/>
      <c r="XU40" s="24"/>
      <c r="XV40" s="24"/>
      <c r="XW40" s="24"/>
      <c r="XX40" s="24"/>
      <c r="XY40" s="24"/>
      <c r="XZ40" s="24"/>
      <c r="YA40" s="24"/>
      <c r="YB40" s="24"/>
      <c r="YC40" s="24"/>
      <c r="YD40" s="24"/>
      <c r="YE40" s="24"/>
      <c r="YF40" s="24"/>
      <c r="YG40" s="24"/>
      <c r="YH40" s="24"/>
      <c r="YI40" s="24"/>
      <c r="YJ40" s="24"/>
      <c r="YK40" s="24"/>
      <c r="YL40" s="24"/>
      <c r="YM40" s="24"/>
      <c r="YN40" s="24"/>
      <c r="YO40" s="24"/>
      <c r="YP40" s="24"/>
      <c r="YQ40" s="24"/>
      <c r="YR40" s="24"/>
      <c r="YS40" s="24"/>
      <c r="YT40" s="24"/>
      <c r="YU40" s="24"/>
      <c r="YV40" s="24"/>
      <c r="YW40" s="24"/>
      <c r="YX40" s="24"/>
      <c r="YY40" s="24"/>
      <c r="YZ40" s="24"/>
      <c r="ZA40" s="24"/>
      <c r="ZB40" s="24"/>
      <c r="ZC40" s="24"/>
      <c r="ZD40" s="24"/>
      <c r="ZE40" s="24"/>
      <c r="ZF40" s="24"/>
      <c r="ZG40" s="24"/>
      <c r="ZH40" s="24"/>
      <c r="ZI40" s="24"/>
      <c r="ZJ40" s="24"/>
      <c r="ZK40" s="24"/>
      <c r="ZL40" s="24"/>
      <c r="ZM40" s="24"/>
      <c r="ZN40" s="24"/>
      <c r="ZO40" s="24"/>
      <c r="ZP40" s="24"/>
      <c r="ZQ40" s="24"/>
      <c r="ZR40" s="24"/>
      <c r="ZS40" s="24">
        <f t="shared" si="138"/>
        <v>0</v>
      </c>
      <c r="ZT40" s="24">
        <f t="shared" si="139"/>
        <v>0</v>
      </c>
      <c r="ZU40" s="24"/>
      <c r="ZV40" s="24"/>
      <c r="ZW40" s="24"/>
      <c r="ZX40" s="24"/>
      <c r="ZY40" s="24"/>
      <c r="ZZ40" s="24"/>
      <c r="AAA40" s="24"/>
      <c r="AAB40" s="24"/>
      <c r="AAC40" s="24"/>
      <c r="AAD40" s="24"/>
      <c r="AAE40" s="24"/>
      <c r="AAF40" s="24"/>
      <c r="AAG40" s="24"/>
      <c r="AAH40" s="24"/>
      <c r="AAI40" s="24"/>
      <c r="AAJ40" s="24"/>
      <c r="AAK40" s="24"/>
      <c r="AAL40" s="24"/>
      <c r="AAM40" s="24"/>
      <c r="AAN40" s="24"/>
      <c r="AAO40" s="24"/>
      <c r="AAP40" s="24"/>
      <c r="AAQ40" s="24"/>
      <c r="AAR40" s="24"/>
      <c r="AAS40" s="24"/>
      <c r="AAT40" s="24"/>
      <c r="AAU40" s="24"/>
      <c r="AAV40" s="24"/>
      <c r="AAW40" s="24"/>
      <c r="AAX40" s="24"/>
      <c r="AAY40" s="24"/>
      <c r="AAZ40" s="24"/>
      <c r="ABA40" s="24"/>
      <c r="ABB40" s="24"/>
      <c r="ABC40" s="24"/>
      <c r="ABD40" s="24"/>
      <c r="ABE40" s="24"/>
      <c r="ABF40" s="24"/>
      <c r="ABG40" s="24"/>
      <c r="ABH40" s="24"/>
      <c r="ABI40" s="24"/>
      <c r="ABJ40" s="24"/>
      <c r="ABK40" s="24"/>
      <c r="ABL40" s="24"/>
      <c r="ABM40" s="24"/>
      <c r="ABN40" s="24"/>
      <c r="ABO40" s="24"/>
      <c r="ABP40" s="24"/>
      <c r="ABQ40" s="24"/>
      <c r="ABR40" s="24"/>
      <c r="ABS40" s="24"/>
      <c r="ABT40" s="24"/>
      <c r="ABU40" s="24"/>
      <c r="ABV40" s="24"/>
      <c r="ABW40" s="24"/>
      <c r="ABX40" s="24"/>
      <c r="ABY40" s="24"/>
      <c r="ABZ40" s="24"/>
      <c r="ACA40" s="24"/>
      <c r="ACB40" s="24"/>
      <c r="ACC40" s="24"/>
      <c r="ACD40" s="24"/>
      <c r="ACE40" s="24">
        <f t="shared" si="140"/>
        <v>0</v>
      </c>
      <c r="ACF40" s="24"/>
      <c r="ACG40" s="24">
        <f t="shared" si="141"/>
        <v>0</v>
      </c>
      <c r="ACH40" s="25"/>
      <c r="ACI40" s="71" t="s">
        <v>156</v>
      </c>
      <c r="ACJ40" s="71" t="s">
        <v>89</v>
      </c>
    </row>
    <row r="41" spans="1:764" x14ac:dyDescent="0.25">
      <c r="A41" s="162"/>
      <c r="B41" s="152"/>
      <c r="C41" s="157" t="s">
        <v>2</v>
      </c>
      <c r="D41" s="50" t="s">
        <v>6</v>
      </c>
      <c r="E41" s="74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24" cm="1">
        <f t="array" ref="BO41">SUMPRODUCT(E41:BM41,--(E$2:BM$2=BO$2))</f>
        <v>0</v>
      </c>
      <c r="BP41" s="24" cm="1">
        <f t="array" ref="BP41">SUMPRODUCT(F41:BN41,--(F$2:BN$2=BP$2))</f>
        <v>0</v>
      </c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 cm="1">
        <f t="array" ref="DW41">SUMPRODUCT(BQ41:DU41,--(BQ$2:DU$2=DW$2))</f>
        <v>0</v>
      </c>
      <c r="DX41" s="24" cm="1">
        <f t="array" ref="DX41">SUMPRODUCT(BR41:DV41,--(BR$2:DV$2=DX$2))</f>
        <v>0</v>
      </c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24"/>
      <c r="EV41" s="24"/>
      <c r="EW41" s="24"/>
      <c r="EX41" s="24"/>
      <c r="EY41" s="24"/>
      <c r="EZ41" s="24"/>
      <c r="FA41" s="24"/>
      <c r="FB41" s="24"/>
      <c r="FC41" s="24"/>
      <c r="FD41" s="24"/>
      <c r="FE41" s="24"/>
      <c r="FF41" s="24"/>
      <c r="FG41" s="24"/>
      <c r="FH41" s="24"/>
      <c r="FI41" s="24"/>
      <c r="FJ41" s="24"/>
      <c r="FK41" s="24"/>
      <c r="FL41" s="24"/>
      <c r="FM41" s="24"/>
      <c r="FN41" s="24"/>
      <c r="FO41" s="24"/>
      <c r="FP41" s="24"/>
      <c r="FQ41" s="24"/>
      <c r="FR41" s="24"/>
      <c r="FS41" s="24"/>
      <c r="FT41" s="24"/>
      <c r="FU41" s="24"/>
      <c r="FV41" s="24"/>
      <c r="FW41" s="24"/>
      <c r="FX41" s="24"/>
      <c r="FY41" s="24"/>
      <c r="FZ41" s="24"/>
      <c r="GA41" s="24"/>
      <c r="GB41" s="24"/>
      <c r="GC41" s="24"/>
      <c r="GD41" s="24"/>
      <c r="GE41" s="24"/>
      <c r="GF41" s="24"/>
      <c r="GG41" s="24"/>
      <c r="GH41" s="24"/>
      <c r="GI41" s="24" cm="1">
        <f t="array" ref="GI41">SUMPRODUCT(DY41:GG41,--(DY$2:GG$2=GI$2))</f>
        <v>0</v>
      </c>
      <c r="GJ41" s="24" cm="1">
        <f t="array" ref="GJ41">SUMPRODUCT(DZ41:GH41,--(DZ$2:GH$2=GJ$2))</f>
        <v>0</v>
      </c>
      <c r="GK41" s="24"/>
      <c r="GL41" s="24"/>
      <c r="GM41" s="24"/>
      <c r="GN41" s="24"/>
      <c r="GO41" s="24"/>
      <c r="GP41" s="24"/>
      <c r="GQ41" s="24"/>
      <c r="GR41" s="24"/>
      <c r="GS41" s="24"/>
      <c r="GT41" s="24"/>
      <c r="GU41" s="24"/>
      <c r="GV41" s="24"/>
      <c r="GW41" s="24"/>
      <c r="GX41" s="24"/>
      <c r="GY41" s="24"/>
      <c r="GZ41" s="24"/>
      <c r="HA41" s="24"/>
      <c r="HB41" s="24"/>
      <c r="HC41" s="24"/>
      <c r="HD41" s="24"/>
      <c r="HE41" s="24"/>
      <c r="HF41" s="24"/>
      <c r="HG41" s="24"/>
      <c r="HH41" s="24"/>
      <c r="HI41" s="24"/>
      <c r="HJ41" s="24"/>
      <c r="HK41" s="24"/>
      <c r="HL41" s="24"/>
      <c r="HM41" s="24"/>
      <c r="HN41" s="24"/>
      <c r="HO41" s="24"/>
      <c r="HP41" s="24"/>
      <c r="HQ41" s="24"/>
      <c r="HR41" s="24"/>
      <c r="HS41" s="24"/>
      <c r="HT41" s="24"/>
      <c r="HU41" s="24"/>
      <c r="HV41" s="24"/>
      <c r="HW41" s="24"/>
      <c r="HX41" s="24"/>
      <c r="HY41" s="24"/>
      <c r="HZ41" s="24"/>
      <c r="IA41" s="24"/>
      <c r="IB41" s="24"/>
      <c r="IC41" s="24"/>
      <c r="ID41" s="24"/>
      <c r="IE41" s="24"/>
      <c r="IF41" s="24"/>
      <c r="IG41" s="24"/>
      <c r="IH41" s="24"/>
      <c r="II41" s="24"/>
      <c r="IJ41" s="24"/>
      <c r="IK41" s="24"/>
      <c r="IL41" s="24"/>
      <c r="IM41" s="24"/>
      <c r="IN41" s="24"/>
      <c r="IO41" s="24"/>
      <c r="IP41" s="24"/>
      <c r="IQ41" s="24"/>
      <c r="IR41" s="24"/>
      <c r="IS41" s="24">
        <f t="shared" si="124"/>
        <v>0</v>
      </c>
      <c r="IT41" s="24">
        <f t="shared" si="125"/>
        <v>0</v>
      </c>
      <c r="IU41" s="24"/>
      <c r="IV41" s="24"/>
      <c r="IW41" s="24"/>
      <c r="IX41" s="24"/>
      <c r="IY41" s="24"/>
      <c r="IZ41" s="24"/>
      <c r="JA41" s="24"/>
      <c r="JB41" s="24"/>
      <c r="JC41" s="24"/>
      <c r="JD41" s="24"/>
      <c r="JE41" s="24"/>
      <c r="JF41" s="24"/>
      <c r="JG41" s="24"/>
      <c r="JH41" s="24"/>
      <c r="JI41" s="24"/>
      <c r="JJ41" s="24"/>
      <c r="JK41" s="24"/>
      <c r="JL41" s="24"/>
      <c r="JM41" s="24"/>
      <c r="JN41" s="24"/>
      <c r="JO41" s="24"/>
      <c r="JP41" s="24"/>
      <c r="JQ41" s="24"/>
      <c r="JR41" s="24"/>
      <c r="JS41" s="24"/>
      <c r="JT41" s="24"/>
      <c r="JU41" s="24"/>
      <c r="JV41" s="24"/>
      <c r="JW41" s="24"/>
      <c r="JX41" s="24"/>
      <c r="JY41" s="24"/>
      <c r="JZ41" s="24"/>
      <c r="KA41" s="24"/>
      <c r="KB41" s="24"/>
      <c r="KC41" s="24"/>
      <c r="KD41" s="24"/>
      <c r="KE41" s="24"/>
      <c r="KF41" s="24"/>
      <c r="KG41" s="24"/>
      <c r="KH41" s="24"/>
      <c r="KI41" s="24"/>
      <c r="KJ41" s="24"/>
      <c r="KK41" s="24"/>
      <c r="KL41" s="24"/>
      <c r="KM41" s="24"/>
      <c r="KN41" s="24"/>
      <c r="KO41" s="24"/>
      <c r="KP41" s="24"/>
      <c r="KQ41" s="24"/>
      <c r="KR41" s="24"/>
      <c r="KS41" s="24"/>
      <c r="KT41" s="24"/>
      <c r="KU41" s="24"/>
      <c r="KV41" s="24"/>
      <c r="KW41" s="24"/>
      <c r="KX41" s="24"/>
      <c r="KY41" s="24"/>
      <c r="KZ41" s="24"/>
      <c r="LA41" s="24"/>
      <c r="LB41" s="24"/>
      <c r="LC41" s="24"/>
      <c r="LD41" s="24"/>
      <c r="LE41" s="24">
        <f t="shared" si="126"/>
        <v>0</v>
      </c>
      <c r="LF41" s="24">
        <f t="shared" si="127"/>
        <v>0</v>
      </c>
      <c r="LG41" s="24"/>
      <c r="LH41" s="24"/>
      <c r="LI41" s="24"/>
      <c r="LJ41" s="24"/>
      <c r="LK41" s="24"/>
      <c r="LL41" s="24"/>
      <c r="LM41" s="24"/>
      <c r="LN41" s="24"/>
      <c r="LO41" s="24"/>
      <c r="LP41" s="24"/>
      <c r="LQ41" s="24"/>
      <c r="LR41" s="24"/>
      <c r="LS41" s="24"/>
      <c r="LT41" s="24"/>
      <c r="LU41" s="24"/>
      <c r="LV41" s="24"/>
      <c r="LW41" s="24"/>
      <c r="LX41" s="24"/>
      <c r="LY41" s="24"/>
      <c r="LZ41" s="24"/>
      <c r="MA41" s="24"/>
      <c r="MB41" s="24"/>
      <c r="MC41" s="24"/>
      <c r="MD41" s="24"/>
      <c r="ME41" s="24"/>
      <c r="MF41" s="24"/>
      <c r="MG41" s="24"/>
      <c r="MH41" s="24"/>
      <c r="MI41" s="24"/>
      <c r="MJ41" s="24"/>
      <c r="MK41" s="24"/>
      <c r="ML41" s="24"/>
      <c r="MM41" s="24"/>
      <c r="MN41" s="24"/>
      <c r="MO41" s="24"/>
      <c r="MP41" s="24"/>
      <c r="MQ41" s="24"/>
      <c r="MR41" s="24"/>
      <c r="MS41" s="24"/>
      <c r="MT41" s="24"/>
      <c r="MU41" s="24"/>
      <c r="MV41" s="24"/>
      <c r="MW41" s="24"/>
      <c r="MX41" s="24"/>
      <c r="MY41" s="24"/>
      <c r="MZ41" s="24"/>
      <c r="NA41" s="24"/>
      <c r="NB41" s="24"/>
      <c r="NC41" s="24"/>
      <c r="ND41" s="24"/>
      <c r="NE41" s="24"/>
      <c r="NF41" s="24"/>
      <c r="NG41" s="24"/>
      <c r="NH41" s="24"/>
      <c r="NI41" s="24"/>
      <c r="NJ41" s="24"/>
      <c r="NK41" s="24"/>
      <c r="NL41" s="24"/>
      <c r="NM41" s="24"/>
      <c r="NN41" s="24"/>
      <c r="NO41" s="24">
        <f t="shared" si="128"/>
        <v>0</v>
      </c>
      <c r="NP41" s="24">
        <f t="shared" si="129"/>
        <v>0</v>
      </c>
      <c r="NQ41" s="24"/>
      <c r="NR41" s="24"/>
      <c r="NS41" s="24"/>
      <c r="NT41" s="24"/>
      <c r="NU41" s="24"/>
      <c r="NV41" s="24"/>
      <c r="NW41" s="24"/>
      <c r="NX41" s="24"/>
      <c r="NY41" s="24"/>
      <c r="NZ41" s="24"/>
      <c r="OA41" s="24"/>
      <c r="OB41" s="24"/>
      <c r="OC41" s="24"/>
      <c r="OD41" s="24"/>
      <c r="OE41" s="24"/>
      <c r="OF41" s="24"/>
      <c r="OG41" s="24"/>
      <c r="OH41" s="24"/>
      <c r="OI41" s="24"/>
      <c r="OJ41" s="24"/>
      <c r="OK41" s="24"/>
      <c r="OL41" s="24"/>
      <c r="OM41" s="24"/>
      <c r="ON41" s="24"/>
      <c r="OO41" s="24"/>
      <c r="OP41" s="24"/>
      <c r="OQ41" s="24"/>
      <c r="OR41" s="24"/>
      <c r="OS41" s="24"/>
      <c r="OT41" s="24"/>
      <c r="OU41" s="24"/>
      <c r="OV41" s="24"/>
      <c r="OW41" s="24"/>
      <c r="OX41" s="24"/>
      <c r="OY41" s="24"/>
      <c r="OZ41" s="24"/>
      <c r="PA41" s="24"/>
      <c r="PB41" s="24"/>
      <c r="PC41" s="24"/>
      <c r="PD41" s="24"/>
      <c r="PE41" s="24"/>
      <c r="PF41" s="24"/>
      <c r="PG41" s="24"/>
      <c r="PH41" s="24"/>
      <c r="PI41" s="24"/>
      <c r="PJ41" s="24"/>
      <c r="PK41" s="24"/>
      <c r="PL41" s="24"/>
      <c r="PM41" s="24"/>
      <c r="PN41" s="24"/>
      <c r="PO41" s="24"/>
      <c r="PP41" s="24"/>
      <c r="PQ41" s="24"/>
      <c r="PR41" s="24"/>
      <c r="PS41" s="24"/>
      <c r="PT41" s="24"/>
      <c r="PU41" s="24"/>
      <c r="PV41" s="24"/>
      <c r="PW41" s="24"/>
      <c r="PX41" s="24"/>
      <c r="PY41" s="24"/>
      <c r="PZ41" s="24"/>
      <c r="QA41" s="24">
        <f t="shared" si="130"/>
        <v>0</v>
      </c>
      <c r="QB41" s="24">
        <f t="shared" si="131"/>
        <v>0</v>
      </c>
      <c r="QC41" s="24"/>
      <c r="QD41" s="24"/>
      <c r="QE41" s="24"/>
      <c r="QF41" s="24"/>
      <c r="QG41" s="24"/>
      <c r="QH41" s="24"/>
      <c r="QI41" s="24"/>
      <c r="QJ41" s="24"/>
      <c r="QK41" s="24"/>
      <c r="QL41" s="24"/>
      <c r="QM41" s="24"/>
      <c r="QN41" s="24"/>
      <c r="QO41" s="24"/>
      <c r="QP41" s="24"/>
      <c r="QQ41" s="24"/>
      <c r="QR41" s="24"/>
      <c r="QS41" s="24"/>
      <c r="QT41" s="24"/>
      <c r="QU41" s="24"/>
      <c r="QV41" s="24"/>
      <c r="QW41" s="24"/>
      <c r="QX41" s="24"/>
      <c r="QY41" s="24"/>
      <c r="QZ41" s="24"/>
      <c r="RA41" s="24"/>
      <c r="RB41" s="24"/>
      <c r="RC41" s="24"/>
      <c r="RD41" s="24"/>
      <c r="RE41" s="24"/>
      <c r="RF41" s="24"/>
      <c r="RG41" s="24"/>
      <c r="RH41" s="24"/>
      <c r="RI41" s="24"/>
      <c r="RJ41" s="24"/>
      <c r="RK41" s="24"/>
      <c r="RL41" s="24"/>
      <c r="RM41" s="24"/>
      <c r="RN41" s="24"/>
      <c r="RO41" s="24"/>
      <c r="RP41" s="24"/>
      <c r="RQ41" s="24"/>
      <c r="RR41" s="24"/>
      <c r="RS41" s="24"/>
      <c r="RT41" s="24"/>
      <c r="RU41" s="24"/>
      <c r="RV41" s="24"/>
      <c r="RW41" s="24"/>
      <c r="RX41" s="24"/>
      <c r="RY41" s="24"/>
      <c r="RZ41" s="24"/>
      <c r="SA41" s="24"/>
      <c r="SB41" s="24"/>
      <c r="SC41" s="24"/>
      <c r="SD41" s="24"/>
      <c r="SE41" s="24"/>
      <c r="SF41" s="24"/>
      <c r="SG41" s="24"/>
      <c r="SH41" s="24"/>
      <c r="SI41" s="24"/>
      <c r="SJ41" s="24"/>
      <c r="SK41" s="24"/>
      <c r="SL41" s="24"/>
      <c r="SM41" s="24">
        <f t="shared" si="132"/>
        <v>0</v>
      </c>
      <c r="SN41" s="24">
        <f t="shared" si="133"/>
        <v>0</v>
      </c>
      <c r="SO41" s="24"/>
      <c r="SP41" s="24"/>
      <c r="SQ41" s="24"/>
      <c r="SR41" s="24"/>
      <c r="SS41" s="24"/>
      <c r="ST41" s="24"/>
      <c r="SU41" s="24"/>
      <c r="SV41" s="24"/>
      <c r="SW41" s="24"/>
      <c r="SX41" s="24"/>
      <c r="SY41" s="24"/>
      <c r="SZ41" s="24"/>
      <c r="TA41" s="24"/>
      <c r="TB41" s="24"/>
      <c r="TC41" s="24"/>
      <c r="TD41" s="24"/>
      <c r="TE41" s="24"/>
      <c r="TF41" s="24"/>
      <c r="TG41" s="24"/>
      <c r="TH41" s="24"/>
      <c r="TI41" s="24"/>
      <c r="TJ41" s="24"/>
      <c r="TK41" s="24"/>
      <c r="TL41" s="24"/>
      <c r="TM41" s="24"/>
      <c r="TN41" s="24"/>
      <c r="TO41" s="24"/>
      <c r="TP41" s="24"/>
      <c r="TQ41" s="24"/>
      <c r="TR41" s="24"/>
      <c r="TS41" s="24"/>
      <c r="TT41" s="24"/>
      <c r="TU41" s="24"/>
      <c r="TV41" s="24"/>
      <c r="TW41" s="24"/>
      <c r="TX41" s="24"/>
      <c r="TY41" s="24"/>
      <c r="TZ41" s="24"/>
      <c r="UA41" s="24"/>
      <c r="UB41" s="24"/>
      <c r="UC41" s="24"/>
      <c r="UD41" s="24"/>
      <c r="UE41" s="24"/>
      <c r="UF41" s="24"/>
      <c r="UG41" s="24"/>
      <c r="UH41" s="24"/>
      <c r="UI41" s="24"/>
      <c r="UJ41" s="24"/>
      <c r="UK41" s="24"/>
      <c r="UL41" s="24"/>
      <c r="UM41" s="24"/>
      <c r="UN41" s="24"/>
      <c r="UO41" s="24"/>
      <c r="UP41" s="24"/>
      <c r="UQ41" s="24"/>
      <c r="UR41" s="24"/>
      <c r="US41" s="24"/>
      <c r="UT41" s="24"/>
      <c r="UU41" s="24"/>
      <c r="UV41" s="24"/>
      <c r="UW41" s="24">
        <f t="shared" si="134"/>
        <v>0</v>
      </c>
      <c r="UX41" s="24">
        <f t="shared" si="135"/>
        <v>0</v>
      </c>
      <c r="UY41" s="24"/>
      <c r="UZ41" s="24"/>
      <c r="VA41" s="24"/>
      <c r="VB41" s="24"/>
      <c r="VC41" s="24"/>
      <c r="VD41" s="24"/>
      <c r="VE41" s="24"/>
      <c r="VF41" s="24"/>
      <c r="VG41" s="24"/>
      <c r="VH41" s="24"/>
      <c r="VI41" s="24"/>
      <c r="VJ41" s="24"/>
      <c r="VK41" s="24"/>
      <c r="VL41" s="24"/>
      <c r="VM41" s="24"/>
      <c r="VN41" s="24"/>
      <c r="VO41" s="24"/>
      <c r="VP41" s="24"/>
      <c r="VQ41" s="24"/>
      <c r="VR41" s="24"/>
      <c r="VS41" s="24"/>
      <c r="VT41" s="24"/>
      <c r="VU41" s="24"/>
      <c r="VV41" s="24"/>
      <c r="VW41" s="24"/>
      <c r="VX41" s="24"/>
      <c r="VY41" s="24"/>
      <c r="VZ41" s="24"/>
      <c r="WA41" s="24"/>
      <c r="WB41" s="24"/>
      <c r="WC41" s="24"/>
      <c r="WD41" s="24"/>
      <c r="WE41" s="24"/>
      <c r="WF41" s="24"/>
      <c r="WG41" s="24"/>
      <c r="WH41" s="24"/>
      <c r="WI41" s="24"/>
      <c r="WJ41" s="24"/>
      <c r="WK41" s="24"/>
      <c r="WL41" s="24"/>
      <c r="WM41" s="24"/>
      <c r="WN41" s="24"/>
      <c r="WO41" s="24"/>
      <c r="WP41" s="24"/>
      <c r="WQ41" s="24"/>
      <c r="WR41" s="24"/>
      <c r="WS41" s="24"/>
      <c r="WT41" s="24"/>
      <c r="WU41" s="24"/>
      <c r="WV41" s="24"/>
      <c r="WW41" s="24"/>
      <c r="WX41" s="24"/>
      <c r="WY41" s="24"/>
      <c r="WZ41" s="24"/>
      <c r="XA41" s="24"/>
      <c r="XB41" s="24"/>
      <c r="XC41" s="24"/>
      <c r="XD41" s="24"/>
      <c r="XE41" s="24"/>
      <c r="XF41" s="24"/>
      <c r="XG41" s="24"/>
      <c r="XH41" s="24"/>
      <c r="XI41" s="24">
        <f t="shared" si="136"/>
        <v>0</v>
      </c>
      <c r="XJ41" s="24">
        <f t="shared" si="137"/>
        <v>0</v>
      </c>
      <c r="XK41" s="24"/>
      <c r="XL41" s="24"/>
      <c r="XM41" s="24"/>
      <c r="XN41" s="24"/>
      <c r="XO41" s="24"/>
      <c r="XP41" s="24"/>
      <c r="XQ41" s="24"/>
      <c r="XR41" s="24"/>
      <c r="XS41" s="24"/>
      <c r="XT41" s="24"/>
      <c r="XU41" s="24"/>
      <c r="XV41" s="24"/>
      <c r="XW41" s="24"/>
      <c r="XX41" s="24"/>
      <c r="XY41" s="24"/>
      <c r="XZ41" s="24"/>
      <c r="YA41" s="24"/>
      <c r="YB41" s="24"/>
      <c r="YC41" s="24"/>
      <c r="YD41" s="24"/>
      <c r="YE41" s="24"/>
      <c r="YF41" s="24"/>
      <c r="YG41" s="24"/>
      <c r="YH41" s="24"/>
      <c r="YI41" s="24"/>
      <c r="YJ41" s="24"/>
      <c r="YK41" s="24"/>
      <c r="YL41" s="24"/>
      <c r="YM41" s="24"/>
      <c r="YN41" s="24"/>
      <c r="YO41" s="24"/>
      <c r="YP41" s="24"/>
      <c r="YQ41" s="24"/>
      <c r="YR41" s="24"/>
      <c r="YS41" s="24"/>
      <c r="YT41" s="24"/>
      <c r="YU41" s="24"/>
      <c r="YV41" s="24"/>
      <c r="YW41" s="24"/>
      <c r="YX41" s="24"/>
      <c r="YY41" s="24"/>
      <c r="YZ41" s="24"/>
      <c r="ZA41" s="24"/>
      <c r="ZB41" s="24"/>
      <c r="ZC41" s="24"/>
      <c r="ZD41" s="24"/>
      <c r="ZE41" s="24"/>
      <c r="ZF41" s="24"/>
      <c r="ZG41" s="24"/>
      <c r="ZH41" s="24"/>
      <c r="ZI41" s="24"/>
      <c r="ZJ41" s="24"/>
      <c r="ZK41" s="24"/>
      <c r="ZL41" s="24"/>
      <c r="ZM41" s="24"/>
      <c r="ZN41" s="24"/>
      <c r="ZO41" s="24"/>
      <c r="ZP41" s="24"/>
      <c r="ZQ41" s="24"/>
      <c r="ZR41" s="24"/>
      <c r="ZS41" s="24">
        <f t="shared" si="138"/>
        <v>0</v>
      </c>
      <c r="ZT41" s="24">
        <f t="shared" si="139"/>
        <v>0</v>
      </c>
      <c r="ZU41" s="24"/>
      <c r="ZV41" s="24"/>
      <c r="ZW41" s="24"/>
      <c r="ZX41" s="24"/>
      <c r="ZY41" s="24"/>
      <c r="ZZ41" s="24"/>
      <c r="AAA41" s="24"/>
      <c r="AAB41" s="24"/>
      <c r="AAC41" s="24"/>
      <c r="AAD41" s="24"/>
      <c r="AAE41" s="24"/>
      <c r="AAF41" s="24"/>
      <c r="AAG41" s="24"/>
      <c r="AAH41" s="24"/>
      <c r="AAI41" s="24"/>
      <c r="AAJ41" s="24"/>
      <c r="AAK41" s="24"/>
      <c r="AAL41" s="24"/>
      <c r="AAM41" s="24"/>
      <c r="AAN41" s="24"/>
      <c r="AAO41" s="24"/>
      <c r="AAP41" s="24"/>
      <c r="AAQ41" s="24"/>
      <c r="AAR41" s="24"/>
      <c r="AAS41" s="24"/>
      <c r="AAT41" s="24"/>
      <c r="AAU41" s="24"/>
      <c r="AAV41" s="24"/>
      <c r="AAW41" s="24"/>
      <c r="AAX41" s="24"/>
      <c r="AAY41" s="24"/>
      <c r="AAZ41" s="24"/>
      <c r="ABA41" s="24"/>
      <c r="ABB41" s="24"/>
      <c r="ABC41" s="24"/>
      <c r="ABD41" s="24"/>
      <c r="ABE41" s="24"/>
      <c r="ABF41" s="24"/>
      <c r="ABG41" s="24"/>
      <c r="ABH41" s="24"/>
      <c r="ABI41" s="24"/>
      <c r="ABJ41" s="24"/>
      <c r="ABK41" s="24"/>
      <c r="ABL41" s="24"/>
      <c r="ABM41" s="24"/>
      <c r="ABN41" s="24"/>
      <c r="ABO41" s="24"/>
      <c r="ABP41" s="24"/>
      <c r="ABQ41" s="24"/>
      <c r="ABR41" s="24"/>
      <c r="ABS41" s="24"/>
      <c r="ABT41" s="24"/>
      <c r="ABU41" s="24"/>
      <c r="ABV41" s="24"/>
      <c r="ABW41" s="24"/>
      <c r="ABX41" s="24"/>
      <c r="ABY41" s="24"/>
      <c r="ABZ41" s="24"/>
      <c r="ACA41" s="24"/>
      <c r="ACB41" s="24"/>
      <c r="ACC41" s="24"/>
      <c r="ACD41" s="24"/>
      <c r="ACE41" s="24">
        <f t="shared" si="140"/>
        <v>0</v>
      </c>
      <c r="ACF41" s="24"/>
      <c r="ACG41" s="24">
        <f t="shared" si="141"/>
        <v>0</v>
      </c>
      <c r="ACH41" s="25"/>
      <c r="ACI41" s="71" t="s">
        <v>147</v>
      </c>
      <c r="ACJ41" s="71" t="s">
        <v>89</v>
      </c>
    </row>
    <row r="42" spans="1:764" x14ac:dyDescent="0.25">
      <c r="A42" s="162"/>
      <c r="B42" s="152"/>
      <c r="C42" s="155"/>
      <c r="D42" s="50" t="s">
        <v>7</v>
      </c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24" cm="1">
        <f t="array" ref="BO42">SUMPRODUCT(E42:BM42,--(E$2:BM$2=BO$2))</f>
        <v>0</v>
      </c>
      <c r="BP42" s="24" cm="1">
        <f t="array" ref="BP42">SUMPRODUCT(F42:BN42,--(F$2:BN$2=BP$2))</f>
        <v>0</v>
      </c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 cm="1">
        <f t="array" ref="DW42">SUMPRODUCT(BQ42:DU42,--(BQ$2:DU$2=DW$2))</f>
        <v>0</v>
      </c>
      <c r="DX42" s="24" cm="1">
        <f t="array" ref="DX42">SUMPRODUCT(BR42:DV42,--(BR$2:DV$2=DX$2))</f>
        <v>0</v>
      </c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/>
      <c r="EV42" s="24"/>
      <c r="EW42" s="24"/>
      <c r="EX42" s="24"/>
      <c r="EY42" s="24"/>
      <c r="EZ42" s="24"/>
      <c r="FA42" s="24"/>
      <c r="FB42" s="24"/>
      <c r="FC42" s="24"/>
      <c r="FD42" s="24"/>
      <c r="FE42" s="24"/>
      <c r="FF42" s="24"/>
      <c r="FG42" s="24"/>
      <c r="FH42" s="24"/>
      <c r="FI42" s="24"/>
      <c r="FJ42" s="24"/>
      <c r="FK42" s="24"/>
      <c r="FL42" s="24"/>
      <c r="FM42" s="24"/>
      <c r="FN42" s="24"/>
      <c r="FO42" s="24"/>
      <c r="FP42" s="24"/>
      <c r="FQ42" s="24"/>
      <c r="FR42" s="24"/>
      <c r="FS42" s="24"/>
      <c r="FT42" s="24"/>
      <c r="FU42" s="24"/>
      <c r="FV42" s="24"/>
      <c r="FW42" s="24"/>
      <c r="FX42" s="24"/>
      <c r="FY42" s="24"/>
      <c r="FZ42" s="24"/>
      <c r="GA42" s="24"/>
      <c r="GB42" s="24"/>
      <c r="GC42" s="24"/>
      <c r="GD42" s="24"/>
      <c r="GE42" s="24"/>
      <c r="GF42" s="24"/>
      <c r="GG42" s="24"/>
      <c r="GH42" s="24"/>
      <c r="GI42" s="24" cm="1">
        <f t="array" ref="GI42">SUMPRODUCT(DY42:GG42,--(DY$2:GG$2=GI$2))</f>
        <v>0</v>
      </c>
      <c r="GJ42" s="24" cm="1">
        <f t="array" ref="GJ42">SUMPRODUCT(DZ42:GH42,--(DZ$2:GH$2=GJ$2))</f>
        <v>0</v>
      </c>
      <c r="GK42" s="24"/>
      <c r="GL42" s="24"/>
      <c r="GM42" s="24"/>
      <c r="GN42" s="24"/>
      <c r="GO42" s="24"/>
      <c r="GP42" s="24"/>
      <c r="GQ42" s="24"/>
      <c r="GR42" s="24"/>
      <c r="GS42" s="24"/>
      <c r="GT42" s="24"/>
      <c r="GU42" s="24"/>
      <c r="GV42" s="24"/>
      <c r="GW42" s="24"/>
      <c r="GX42" s="24"/>
      <c r="GY42" s="24"/>
      <c r="GZ42" s="24"/>
      <c r="HA42" s="24"/>
      <c r="HB42" s="24"/>
      <c r="HC42" s="24"/>
      <c r="HD42" s="24"/>
      <c r="HE42" s="24"/>
      <c r="HF42" s="24"/>
      <c r="HG42" s="24"/>
      <c r="HH42" s="24"/>
      <c r="HI42" s="24"/>
      <c r="HJ42" s="24"/>
      <c r="HK42" s="24"/>
      <c r="HL42" s="24"/>
      <c r="HM42" s="24"/>
      <c r="HN42" s="24"/>
      <c r="HO42" s="24"/>
      <c r="HP42" s="24"/>
      <c r="HQ42" s="24"/>
      <c r="HR42" s="24"/>
      <c r="HS42" s="24"/>
      <c r="HT42" s="24"/>
      <c r="HU42" s="24"/>
      <c r="HV42" s="24"/>
      <c r="HW42" s="24"/>
      <c r="HX42" s="24"/>
      <c r="HY42" s="24"/>
      <c r="HZ42" s="24"/>
      <c r="IA42" s="24"/>
      <c r="IB42" s="24"/>
      <c r="IC42" s="24"/>
      <c r="ID42" s="24"/>
      <c r="IE42" s="24"/>
      <c r="IF42" s="24"/>
      <c r="IG42" s="24"/>
      <c r="IH42" s="24"/>
      <c r="II42" s="24"/>
      <c r="IJ42" s="24"/>
      <c r="IK42" s="24"/>
      <c r="IL42" s="24"/>
      <c r="IM42" s="24"/>
      <c r="IN42" s="24"/>
      <c r="IO42" s="24"/>
      <c r="IP42" s="24"/>
      <c r="IQ42" s="24"/>
      <c r="IR42" s="24"/>
      <c r="IS42" s="24">
        <f t="shared" si="124"/>
        <v>0</v>
      </c>
      <c r="IT42" s="24">
        <f t="shared" si="125"/>
        <v>0</v>
      </c>
      <c r="IU42" s="24"/>
      <c r="IV42" s="24"/>
      <c r="IW42" s="24"/>
      <c r="IX42" s="24"/>
      <c r="IY42" s="24"/>
      <c r="IZ42" s="24"/>
      <c r="JA42" s="24"/>
      <c r="JB42" s="24"/>
      <c r="JC42" s="24"/>
      <c r="JD42" s="24"/>
      <c r="JE42" s="24"/>
      <c r="JF42" s="24"/>
      <c r="JG42" s="24"/>
      <c r="JH42" s="24"/>
      <c r="JI42" s="24"/>
      <c r="JJ42" s="24"/>
      <c r="JK42" s="24"/>
      <c r="JL42" s="24"/>
      <c r="JM42" s="24"/>
      <c r="JN42" s="24"/>
      <c r="JO42" s="24"/>
      <c r="JP42" s="24"/>
      <c r="JQ42" s="24"/>
      <c r="JR42" s="24"/>
      <c r="JS42" s="24"/>
      <c r="JT42" s="24"/>
      <c r="JU42" s="24"/>
      <c r="JV42" s="24"/>
      <c r="JW42" s="24"/>
      <c r="JX42" s="24"/>
      <c r="JY42" s="24"/>
      <c r="JZ42" s="24"/>
      <c r="KA42" s="24"/>
      <c r="KB42" s="24"/>
      <c r="KC42" s="24"/>
      <c r="KD42" s="24"/>
      <c r="KE42" s="24"/>
      <c r="KF42" s="24"/>
      <c r="KG42" s="24"/>
      <c r="KH42" s="24"/>
      <c r="KI42" s="24"/>
      <c r="KJ42" s="24"/>
      <c r="KK42" s="24"/>
      <c r="KL42" s="24"/>
      <c r="KM42" s="24"/>
      <c r="KN42" s="24"/>
      <c r="KO42" s="24"/>
      <c r="KP42" s="24"/>
      <c r="KQ42" s="24"/>
      <c r="KR42" s="24"/>
      <c r="KS42" s="24"/>
      <c r="KT42" s="24"/>
      <c r="KU42" s="24"/>
      <c r="KV42" s="24"/>
      <c r="KW42" s="24"/>
      <c r="KX42" s="24"/>
      <c r="KY42" s="24"/>
      <c r="KZ42" s="24"/>
      <c r="LA42" s="24"/>
      <c r="LB42" s="24"/>
      <c r="LC42" s="24"/>
      <c r="LD42" s="24"/>
      <c r="LE42" s="24">
        <f t="shared" si="126"/>
        <v>0</v>
      </c>
      <c r="LF42" s="24">
        <f t="shared" si="127"/>
        <v>0</v>
      </c>
      <c r="LG42" s="24"/>
      <c r="LH42" s="24"/>
      <c r="LI42" s="24"/>
      <c r="LJ42" s="24"/>
      <c r="LK42" s="24"/>
      <c r="LL42" s="24"/>
      <c r="LM42" s="24"/>
      <c r="LN42" s="24"/>
      <c r="LO42" s="24"/>
      <c r="LP42" s="24"/>
      <c r="LQ42" s="24"/>
      <c r="LR42" s="24"/>
      <c r="LS42" s="24"/>
      <c r="LT42" s="24"/>
      <c r="LU42" s="24"/>
      <c r="LV42" s="24"/>
      <c r="LW42" s="24"/>
      <c r="LX42" s="24"/>
      <c r="LY42" s="24"/>
      <c r="LZ42" s="24"/>
      <c r="MA42" s="24"/>
      <c r="MB42" s="24"/>
      <c r="MC42" s="24"/>
      <c r="MD42" s="24"/>
      <c r="ME42" s="24"/>
      <c r="MF42" s="24"/>
      <c r="MG42" s="24"/>
      <c r="MH42" s="24"/>
      <c r="MI42" s="24"/>
      <c r="MJ42" s="24"/>
      <c r="MK42" s="24"/>
      <c r="ML42" s="24"/>
      <c r="MM42" s="24"/>
      <c r="MN42" s="24"/>
      <c r="MO42" s="24"/>
      <c r="MP42" s="24"/>
      <c r="MQ42" s="24"/>
      <c r="MR42" s="24"/>
      <c r="MS42" s="24"/>
      <c r="MT42" s="24"/>
      <c r="MU42" s="24"/>
      <c r="MV42" s="24"/>
      <c r="MW42" s="24"/>
      <c r="MX42" s="24"/>
      <c r="MY42" s="24"/>
      <c r="MZ42" s="24"/>
      <c r="NA42" s="24"/>
      <c r="NB42" s="24"/>
      <c r="NC42" s="24"/>
      <c r="ND42" s="24"/>
      <c r="NE42" s="24"/>
      <c r="NF42" s="24"/>
      <c r="NG42" s="24"/>
      <c r="NH42" s="24"/>
      <c r="NI42" s="24"/>
      <c r="NJ42" s="24"/>
      <c r="NK42" s="24"/>
      <c r="NL42" s="24"/>
      <c r="NM42" s="24"/>
      <c r="NN42" s="24"/>
      <c r="NO42" s="24">
        <f t="shared" si="128"/>
        <v>0</v>
      </c>
      <c r="NP42" s="24">
        <f t="shared" si="129"/>
        <v>0</v>
      </c>
      <c r="NQ42" s="24"/>
      <c r="NR42" s="24"/>
      <c r="NS42" s="24"/>
      <c r="NT42" s="24"/>
      <c r="NU42" s="24"/>
      <c r="NV42" s="24"/>
      <c r="NW42" s="24"/>
      <c r="NX42" s="24"/>
      <c r="NY42" s="24"/>
      <c r="NZ42" s="24"/>
      <c r="OA42" s="24"/>
      <c r="OB42" s="24"/>
      <c r="OC42" s="24"/>
      <c r="OD42" s="24"/>
      <c r="OE42" s="24"/>
      <c r="OF42" s="24"/>
      <c r="OG42" s="24"/>
      <c r="OH42" s="24"/>
      <c r="OI42" s="24"/>
      <c r="OJ42" s="24"/>
      <c r="OK42" s="24"/>
      <c r="OL42" s="24"/>
      <c r="OM42" s="24"/>
      <c r="ON42" s="24"/>
      <c r="OO42" s="24"/>
      <c r="OP42" s="24"/>
      <c r="OQ42" s="24"/>
      <c r="OR42" s="24"/>
      <c r="OS42" s="24"/>
      <c r="OT42" s="24"/>
      <c r="OU42" s="24"/>
      <c r="OV42" s="24"/>
      <c r="OW42" s="24"/>
      <c r="OX42" s="24"/>
      <c r="OY42" s="24"/>
      <c r="OZ42" s="24"/>
      <c r="PA42" s="24"/>
      <c r="PB42" s="24"/>
      <c r="PC42" s="24"/>
      <c r="PD42" s="24"/>
      <c r="PE42" s="24"/>
      <c r="PF42" s="24"/>
      <c r="PG42" s="24"/>
      <c r="PH42" s="24"/>
      <c r="PI42" s="24"/>
      <c r="PJ42" s="24"/>
      <c r="PK42" s="24"/>
      <c r="PL42" s="24"/>
      <c r="PM42" s="24"/>
      <c r="PN42" s="24"/>
      <c r="PO42" s="24"/>
      <c r="PP42" s="24"/>
      <c r="PQ42" s="24"/>
      <c r="PR42" s="24"/>
      <c r="PS42" s="24"/>
      <c r="PT42" s="24"/>
      <c r="PU42" s="24"/>
      <c r="PV42" s="24"/>
      <c r="PW42" s="24"/>
      <c r="PX42" s="24"/>
      <c r="PY42" s="24"/>
      <c r="PZ42" s="24"/>
      <c r="QA42" s="24">
        <f t="shared" si="130"/>
        <v>0</v>
      </c>
      <c r="QB42" s="24">
        <f t="shared" si="131"/>
        <v>0</v>
      </c>
      <c r="QC42" s="24"/>
      <c r="QD42" s="24"/>
      <c r="QE42" s="24"/>
      <c r="QF42" s="24"/>
      <c r="QG42" s="24"/>
      <c r="QH42" s="24"/>
      <c r="QI42" s="24"/>
      <c r="QJ42" s="24"/>
      <c r="QK42" s="24"/>
      <c r="QL42" s="24"/>
      <c r="QM42" s="24"/>
      <c r="QN42" s="24"/>
      <c r="QO42" s="24"/>
      <c r="QP42" s="24"/>
      <c r="QQ42" s="24"/>
      <c r="QR42" s="24"/>
      <c r="QS42" s="24"/>
      <c r="QT42" s="24"/>
      <c r="QU42" s="24"/>
      <c r="QV42" s="24"/>
      <c r="QW42" s="24"/>
      <c r="QX42" s="24"/>
      <c r="QY42" s="24"/>
      <c r="QZ42" s="24"/>
      <c r="RA42" s="24"/>
      <c r="RB42" s="24"/>
      <c r="RC42" s="24"/>
      <c r="RD42" s="24"/>
      <c r="RE42" s="24"/>
      <c r="RF42" s="24"/>
      <c r="RG42" s="24"/>
      <c r="RH42" s="24"/>
      <c r="RI42" s="24"/>
      <c r="RJ42" s="24"/>
      <c r="RK42" s="24"/>
      <c r="RL42" s="24"/>
      <c r="RM42" s="24"/>
      <c r="RN42" s="24"/>
      <c r="RO42" s="24"/>
      <c r="RP42" s="24"/>
      <c r="RQ42" s="24"/>
      <c r="RR42" s="24"/>
      <c r="RS42" s="24"/>
      <c r="RT42" s="24"/>
      <c r="RU42" s="24"/>
      <c r="RV42" s="24"/>
      <c r="RW42" s="24"/>
      <c r="RX42" s="24"/>
      <c r="RY42" s="24"/>
      <c r="RZ42" s="24"/>
      <c r="SA42" s="24"/>
      <c r="SB42" s="24"/>
      <c r="SC42" s="24"/>
      <c r="SD42" s="24"/>
      <c r="SE42" s="24"/>
      <c r="SF42" s="24"/>
      <c r="SG42" s="24"/>
      <c r="SH42" s="24"/>
      <c r="SI42" s="24"/>
      <c r="SJ42" s="24"/>
      <c r="SK42" s="24"/>
      <c r="SL42" s="24"/>
      <c r="SM42" s="24">
        <f t="shared" si="132"/>
        <v>0</v>
      </c>
      <c r="SN42" s="24">
        <f t="shared" si="133"/>
        <v>0</v>
      </c>
      <c r="SO42" s="24"/>
      <c r="SP42" s="24"/>
      <c r="SQ42" s="24"/>
      <c r="SR42" s="24"/>
      <c r="SS42" s="24"/>
      <c r="ST42" s="24"/>
      <c r="SU42" s="24"/>
      <c r="SV42" s="24"/>
      <c r="SW42" s="24"/>
      <c r="SX42" s="24"/>
      <c r="SY42" s="24"/>
      <c r="SZ42" s="24"/>
      <c r="TA42" s="24"/>
      <c r="TB42" s="24"/>
      <c r="TC42" s="24"/>
      <c r="TD42" s="24"/>
      <c r="TE42" s="24"/>
      <c r="TF42" s="24"/>
      <c r="TG42" s="24"/>
      <c r="TH42" s="24"/>
      <c r="TI42" s="24"/>
      <c r="TJ42" s="24"/>
      <c r="TK42" s="24"/>
      <c r="TL42" s="24"/>
      <c r="TM42" s="24"/>
      <c r="TN42" s="24"/>
      <c r="TO42" s="24"/>
      <c r="TP42" s="24"/>
      <c r="TQ42" s="24"/>
      <c r="TR42" s="24"/>
      <c r="TS42" s="24"/>
      <c r="TT42" s="24"/>
      <c r="TU42" s="24"/>
      <c r="TV42" s="24"/>
      <c r="TW42" s="24"/>
      <c r="TX42" s="24"/>
      <c r="TY42" s="24"/>
      <c r="TZ42" s="24"/>
      <c r="UA42" s="24"/>
      <c r="UB42" s="24"/>
      <c r="UC42" s="24"/>
      <c r="UD42" s="24"/>
      <c r="UE42" s="24"/>
      <c r="UF42" s="24"/>
      <c r="UG42" s="24"/>
      <c r="UH42" s="24"/>
      <c r="UI42" s="24"/>
      <c r="UJ42" s="24"/>
      <c r="UK42" s="24"/>
      <c r="UL42" s="24"/>
      <c r="UM42" s="24"/>
      <c r="UN42" s="24"/>
      <c r="UO42" s="24"/>
      <c r="UP42" s="24"/>
      <c r="UQ42" s="24"/>
      <c r="UR42" s="24"/>
      <c r="US42" s="24"/>
      <c r="UT42" s="24"/>
      <c r="UU42" s="24"/>
      <c r="UV42" s="24"/>
      <c r="UW42" s="24">
        <f t="shared" si="134"/>
        <v>0</v>
      </c>
      <c r="UX42" s="24">
        <f t="shared" si="135"/>
        <v>0</v>
      </c>
      <c r="UY42" s="24"/>
      <c r="UZ42" s="24"/>
      <c r="VA42" s="24"/>
      <c r="VB42" s="24"/>
      <c r="VC42" s="24"/>
      <c r="VD42" s="24"/>
      <c r="VE42" s="24"/>
      <c r="VF42" s="24"/>
      <c r="VG42" s="24"/>
      <c r="VH42" s="24"/>
      <c r="VI42" s="24"/>
      <c r="VJ42" s="24"/>
      <c r="VK42" s="24"/>
      <c r="VL42" s="24"/>
      <c r="VM42" s="24"/>
      <c r="VN42" s="24"/>
      <c r="VO42" s="24"/>
      <c r="VP42" s="24"/>
      <c r="VQ42" s="24"/>
      <c r="VR42" s="24"/>
      <c r="VS42" s="24"/>
      <c r="VT42" s="24"/>
      <c r="VU42" s="24"/>
      <c r="VV42" s="24"/>
      <c r="VW42" s="24"/>
      <c r="VX42" s="24"/>
      <c r="VY42" s="24"/>
      <c r="VZ42" s="24"/>
      <c r="WA42" s="24"/>
      <c r="WB42" s="24"/>
      <c r="WC42" s="24"/>
      <c r="WD42" s="24"/>
      <c r="WE42" s="24"/>
      <c r="WF42" s="24"/>
      <c r="WG42" s="24"/>
      <c r="WH42" s="24"/>
      <c r="WI42" s="24"/>
      <c r="WJ42" s="24"/>
      <c r="WK42" s="24"/>
      <c r="WL42" s="24"/>
      <c r="WM42" s="24"/>
      <c r="WN42" s="24"/>
      <c r="WO42" s="24"/>
      <c r="WP42" s="24"/>
      <c r="WQ42" s="24"/>
      <c r="WR42" s="24"/>
      <c r="WS42" s="24"/>
      <c r="WT42" s="24"/>
      <c r="WU42" s="24"/>
      <c r="WV42" s="24"/>
      <c r="WW42" s="24"/>
      <c r="WX42" s="24"/>
      <c r="WY42" s="24"/>
      <c r="WZ42" s="24"/>
      <c r="XA42" s="24"/>
      <c r="XB42" s="24"/>
      <c r="XC42" s="24"/>
      <c r="XD42" s="24"/>
      <c r="XE42" s="24"/>
      <c r="XF42" s="24"/>
      <c r="XG42" s="24"/>
      <c r="XH42" s="24"/>
      <c r="XI42" s="24">
        <f t="shared" si="136"/>
        <v>0</v>
      </c>
      <c r="XJ42" s="24">
        <f t="shared" si="137"/>
        <v>0</v>
      </c>
      <c r="XK42" s="24"/>
      <c r="XL42" s="24"/>
      <c r="XM42" s="24"/>
      <c r="XN42" s="24"/>
      <c r="XO42" s="24"/>
      <c r="XP42" s="24"/>
      <c r="XQ42" s="24"/>
      <c r="XR42" s="24"/>
      <c r="XS42" s="24"/>
      <c r="XT42" s="24"/>
      <c r="XU42" s="24"/>
      <c r="XV42" s="24"/>
      <c r="XW42" s="24"/>
      <c r="XX42" s="24"/>
      <c r="XY42" s="24"/>
      <c r="XZ42" s="24"/>
      <c r="YA42" s="24"/>
      <c r="YB42" s="24"/>
      <c r="YC42" s="24"/>
      <c r="YD42" s="24"/>
      <c r="YE42" s="24"/>
      <c r="YF42" s="24"/>
      <c r="YG42" s="24"/>
      <c r="YH42" s="24"/>
      <c r="YI42" s="24"/>
      <c r="YJ42" s="24"/>
      <c r="YK42" s="24"/>
      <c r="YL42" s="24"/>
      <c r="YM42" s="24"/>
      <c r="YN42" s="24"/>
      <c r="YO42" s="24"/>
      <c r="YP42" s="24"/>
      <c r="YQ42" s="24"/>
      <c r="YR42" s="24"/>
      <c r="YS42" s="24"/>
      <c r="YT42" s="24"/>
      <c r="YU42" s="24"/>
      <c r="YV42" s="24"/>
      <c r="YW42" s="24"/>
      <c r="YX42" s="24"/>
      <c r="YY42" s="24"/>
      <c r="YZ42" s="24"/>
      <c r="ZA42" s="24"/>
      <c r="ZB42" s="24"/>
      <c r="ZC42" s="24"/>
      <c r="ZD42" s="24"/>
      <c r="ZE42" s="24"/>
      <c r="ZF42" s="24"/>
      <c r="ZG42" s="24"/>
      <c r="ZH42" s="24"/>
      <c r="ZI42" s="24"/>
      <c r="ZJ42" s="24"/>
      <c r="ZK42" s="24"/>
      <c r="ZL42" s="24"/>
      <c r="ZM42" s="24"/>
      <c r="ZN42" s="24"/>
      <c r="ZO42" s="24"/>
      <c r="ZP42" s="24"/>
      <c r="ZQ42" s="24"/>
      <c r="ZR42" s="24"/>
      <c r="ZS42" s="24">
        <f t="shared" si="138"/>
        <v>0</v>
      </c>
      <c r="ZT42" s="24">
        <f t="shared" si="139"/>
        <v>0</v>
      </c>
      <c r="ZU42" s="24"/>
      <c r="ZV42" s="24"/>
      <c r="ZW42" s="24"/>
      <c r="ZX42" s="24"/>
      <c r="ZY42" s="24"/>
      <c r="ZZ42" s="24"/>
      <c r="AAA42" s="24"/>
      <c r="AAB42" s="24"/>
      <c r="AAC42" s="24"/>
      <c r="AAD42" s="24"/>
      <c r="AAE42" s="24"/>
      <c r="AAF42" s="24"/>
      <c r="AAG42" s="24"/>
      <c r="AAH42" s="24"/>
      <c r="AAI42" s="24"/>
      <c r="AAJ42" s="24"/>
      <c r="AAK42" s="24"/>
      <c r="AAL42" s="24"/>
      <c r="AAM42" s="24"/>
      <c r="AAN42" s="24"/>
      <c r="AAO42" s="24"/>
      <c r="AAP42" s="24"/>
      <c r="AAQ42" s="24"/>
      <c r="AAR42" s="24"/>
      <c r="AAS42" s="24"/>
      <c r="AAT42" s="24"/>
      <c r="AAU42" s="24"/>
      <c r="AAV42" s="24"/>
      <c r="AAW42" s="24"/>
      <c r="AAX42" s="24"/>
      <c r="AAY42" s="24"/>
      <c r="AAZ42" s="24"/>
      <c r="ABA42" s="24"/>
      <c r="ABB42" s="24"/>
      <c r="ABC42" s="24"/>
      <c r="ABD42" s="24"/>
      <c r="ABE42" s="24"/>
      <c r="ABF42" s="24"/>
      <c r="ABG42" s="24"/>
      <c r="ABH42" s="24"/>
      <c r="ABI42" s="24"/>
      <c r="ABJ42" s="24"/>
      <c r="ABK42" s="24"/>
      <c r="ABL42" s="24"/>
      <c r="ABM42" s="24"/>
      <c r="ABN42" s="24"/>
      <c r="ABO42" s="24"/>
      <c r="ABP42" s="24"/>
      <c r="ABQ42" s="24"/>
      <c r="ABR42" s="24"/>
      <c r="ABS42" s="24"/>
      <c r="ABT42" s="24"/>
      <c r="ABU42" s="24"/>
      <c r="ABV42" s="24"/>
      <c r="ABW42" s="24"/>
      <c r="ABX42" s="24"/>
      <c r="ABY42" s="24"/>
      <c r="ABZ42" s="24"/>
      <c r="ACA42" s="24"/>
      <c r="ACB42" s="24"/>
      <c r="ACC42" s="24"/>
      <c r="ACD42" s="24"/>
      <c r="ACE42" s="24">
        <f t="shared" si="140"/>
        <v>0</v>
      </c>
      <c r="ACF42" s="24"/>
      <c r="ACG42" s="24">
        <f t="shared" si="141"/>
        <v>0</v>
      </c>
      <c r="ACH42" s="25"/>
      <c r="ACI42" s="71" t="s">
        <v>148</v>
      </c>
      <c r="ACJ42" s="71" t="s">
        <v>89</v>
      </c>
    </row>
    <row r="43" spans="1:764" x14ac:dyDescent="0.25">
      <c r="A43" s="162"/>
      <c r="B43" s="152"/>
      <c r="C43" s="155"/>
      <c r="D43" s="50" t="s">
        <v>4</v>
      </c>
      <c r="E43" s="74">
        <v>173.9</v>
      </c>
      <c r="F43" s="75">
        <v>173.61999999999998</v>
      </c>
      <c r="G43" s="75">
        <v>115.80000000000001</v>
      </c>
      <c r="H43" s="75">
        <v>119.14</v>
      </c>
      <c r="I43" s="75">
        <v>137.5</v>
      </c>
      <c r="J43" s="75">
        <v>138.64000000000001</v>
      </c>
      <c r="K43" s="75">
        <v>92.4</v>
      </c>
      <c r="L43" s="75">
        <v>93.4</v>
      </c>
      <c r="M43" s="75">
        <v>41.05</v>
      </c>
      <c r="N43" s="75">
        <v>40.72</v>
      </c>
      <c r="O43" s="75">
        <v>70.2</v>
      </c>
      <c r="P43" s="75">
        <v>70.339999999999989</v>
      </c>
      <c r="Q43" s="75">
        <v>373.90000000000009</v>
      </c>
      <c r="R43" s="75">
        <v>357.52</v>
      </c>
      <c r="S43" s="75">
        <v>367.70000000000005</v>
      </c>
      <c r="T43" s="75">
        <v>367.26000000000005</v>
      </c>
      <c r="U43" s="75">
        <v>435.40000000000003</v>
      </c>
      <c r="V43" s="75">
        <v>440.63999999999993</v>
      </c>
      <c r="W43" s="75">
        <v>358.7</v>
      </c>
      <c r="X43" s="75">
        <v>361.73999999999995</v>
      </c>
      <c r="Y43" s="75">
        <v>165</v>
      </c>
      <c r="Z43" s="75">
        <v>166.54</v>
      </c>
      <c r="AA43" s="75">
        <v>193.7</v>
      </c>
      <c r="AB43" s="75">
        <v>194.32</v>
      </c>
      <c r="AC43" s="75">
        <v>267.84999999999997</v>
      </c>
      <c r="AD43" s="75">
        <v>274.02000000000004</v>
      </c>
      <c r="AE43" s="75">
        <v>188.35000000000002</v>
      </c>
      <c r="AF43" s="75">
        <v>190.62</v>
      </c>
      <c r="AG43" s="75">
        <v>508.0499999999999</v>
      </c>
      <c r="AH43" s="75">
        <v>512.17999999999995</v>
      </c>
      <c r="AI43" s="75">
        <v>101.1</v>
      </c>
      <c r="AJ43" s="75">
        <v>101.8</v>
      </c>
      <c r="AK43" s="75">
        <v>249.95000000000002</v>
      </c>
      <c r="AL43" s="75">
        <v>250.68000000000004</v>
      </c>
      <c r="AM43" s="75">
        <v>353.80000000000007</v>
      </c>
      <c r="AN43" s="75">
        <v>355.31999999999988</v>
      </c>
      <c r="AO43" s="75">
        <v>418.24999999999994</v>
      </c>
      <c r="AP43" s="75">
        <v>416.22</v>
      </c>
      <c r="AQ43" s="75">
        <v>149.19999999999999</v>
      </c>
      <c r="AR43" s="75">
        <v>148.44</v>
      </c>
      <c r="AS43" s="75">
        <v>211.20000000000002</v>
      </c>
      <c r="AT43" s="75">
        <v>215.04</v>
      </c>
      <c r="AU43" s="75">
        <v>211.5</v>
      </c>
      <c r="AV43" s="75">
        <v>213.60000000000002</v>
      </c>
      <c r="AW43" s="75">
        <v>174.39999999999998</v>
      </c>
      <c r="AX43" s="75">
        <v>172.74</v>
      </c>
      <c r="AY43" s="75">
        <v>76.599999999999994</v>
      </c>
      <c r="AZ43" s="75">
        <v>76.56</v>
      </c>
      <c r="BA43" s="75">
        <v>306.15000000000003</v>
      </c>
      <c r="BB43" s="75">
        <v>308.15999999999997</v>
      </c>
      <c r="BC43" s="75">
        <v>132.1</v>
      </c>
      <c r="BD43" s="75">
        <v>132.96</v>
      </c>
      <c r="BE43" s="75">
        <v>177.25</v>
      </c>
      <c r="BF43" s="75">
        <v>176.65999999999997</v>
      </c>
      <c r="BG43" s="75">
        <v>168.3</v>
      </c>
      <c r="BH43" s="75">
        <v>169.12</v>
      </c>
      <c r="BI43" s="75">
        <v>121.85</v>
      </c>
      <c r="BJ43" s="75">
        <v>116.46</v>
      </c>
      <c r="BK43" s="75">
        <v>233.54999999999998</v>
      </c>
      <c r="BL43" s="75">
        <v>233.76</v>
      </c>
      <c r="BM43" s="75">
        <v>249.00000000000003</v>
      </c>
      <c r="BN43" s="75">
        <v>234.6</v>
      </c>
      <c r="BO43" s="24" cm="1">
        <f t="array" ref="BO43">SUMPRODUCT(E43:BM43,--(E$2:BM$2=BO$2))</f>
        <v>6823.7</v>
      </c>
      <c r="BP43" s="24" cm="1">
        <f t="array" ref="BP43">SUMPRODUCT(F43:BN43,--(F$2:BN$2=BP$2))</f>
        <v>6822.8200000000006</v>
      </c>
      <c r="BQ43" s="24">
        <v>175.95000000000002</v>
      </c>
      <c r="BR43" s="24">
        <v>177.28</v>
      </c>
      <c r="BS43" s="24">
        <v>150.94999999999999</v>
      </c>
      <c r="BT43" s="24">
        <v>149.34</v>
      </c>
      <c r="BU43" s="24">
        <v>226.20000000000002</v>
      </c>
      <c r="BV43" s="24">
        <v>228.37999999999997</v>
      </c>
      <c r="BW43" s="24">
        <v>311.35000000000002</v>
      </c>
      <c r="BX43" s="24">
        <v>306.23</v>
      </c>
      <c r="BY43" s="24">
        <v>336.65</v>
      </c>
      <c r="BZ43" s="24">
        <v>336.99999999999994</v>
      </c>
      <c r="CA43" s="24">
        <v>217.79999999999998</v>
      </c>
      <c r="CB43" s="24">
        <v>220.12</v>
      </c>
      <c r="CC43" s="24">
        <v>199.29999999999998</v>
      </c>
      <c r="CD43" s="24">
        <v>204.11999999999998</v>
      </c>
      <c r="CE43" s="24">
        <v>346.05</v>
      </c>
      <c r="CF43" s="24">
        <v>353.43999999999988</v>
      </c>
      <c r="CG43" s="24">
        <v>181.2</v>
      </c>
      <c r="CH43" s="24">
        <v>185.56</v>
      </c>
      <c r="CI43" s="24">
        <v>291.10000000000002</v>
      </c>
      <c r="CJ43" s="74">
        <v>294.10000000000002</v>
      </c>
      <c r="CK43" s="75">
        <v>251.9</v>
      </c>
      <c r="CL43" s="75">
        <v>254.26</v>
      </c>
      <c r="CM43" s="75">
        <v>236.1</v>
      </c>
      <c r="CN43" s="75">
        <v>239.8</v>
      </c>
      <c r="CO43" s="75">
        <v>159.85</v>
      </c>
      <c r="CP43" s="74">
        <v>163.4</v>
      </c>
      <c r="CQ43" s="75">
        <v>212.29999999999998</v>
      </c>
      <c r="CR43" s="75">
        <v>224.14</v>
      </c>
      <c r="CS43" s="74">
        <v>45.95</v>
      </c>
      <c r="CT43" s="75">
        <v>45.9</v>
      </c>
      <c r="CU43" s="75">
        <v>125.75000000000001</v>
      </c>
      <c r="CV43" s="24">
        <v>130.82</v>
      </c>
      <c r="CW43" s="24">
        <v>150</v>
      </c>
      <c r="CX43" s="24">
        <v>150.74</v>
      </c>
      <c r="CY43" s="24">
        <v>176.6</v>
      </c>
      <c r="CZ43" s="24">
        <v>178</v>
      </c>
      <c r="DA43" s="24">
        <v>124.25</v>
      </c>
      <c r="DB43" s="24">
        <v>124.92000000000002</v>
      </c>
      <c r="DC43" s="24">
        <v>158.75</v>
      </c>
      <c r="DD43" s="24">
        <v>161</v>
      </c>
      <c r="DE43" s="24">
        <v>192.45000000000002</v>
      </c>
      <c r="DF43" s="24">
        <v>194.16</v>
      </c>
      <c r="DG43" s="24">
        <v>246.15000000000003</v>
      </c>
      <c r="DH43" s="24">
        <v>247.6</v>
      </c>
      <c r="DI43" s="24">
        <v>99.45</v>
      </c>
      <c r="DJ43" s="24">
        <v>100.06000000000002</v>
      </c>
      <c r="DK43" s="24">
        <v>122.45</v>
      </c>
      <c r="DL43" s="24">
        <v>123.02000000000001</v>
      </c>
      <c r="DM43" s="24">
        <v>184.2</v>
      </c>
      <c r="DN43" s="24">
        <v>184.76</v>
      </c>
      <c r="DO43" s="24">
        <v>176.54999999999998</v>
      </c>
      <c r="DP43" s="24">
        <v>177.10000000000002</v>
      </c>
      <c r="DQ43" s="24">
        <v>205.95</v>
      </c>
      <c r="DR43" s="24">
        <v>179.22</v>
      </c>
      <c r="DS43" s="24">
        <v>326.85000000000008</v>
      </c>
      <c r="DT43" s="24">
        <v>328.19999999999993</v>
      </c>
      <c r="DU43" s="24">
        <v>385.8</v>
      </c>
      <c r="DV43" s="24">
        <v>387</v>
      </c>
      <c r="DW43" s="24" cm="1">
        <f t="array" ref="DW43">SUMPRODUCT(BQ43:DU43,--(BQ$2:DU$2=DW$2))</f>
        <v>6017.8499999999995</v>
      </c>
      <c r="DX43" s="24" cm="1">
        <f t="array" ref="DX43">SUMPRODUCT(BR43:DV43,--(BR$2:DV$2=DX$2))</f>
        <v>6049.6700000000019</v>
      </c>
      <c r="DY43" s="24">
        <v>350.59</v>
      </c>
      <c r="DZ43" s="24">
        <v>352.02</v>
      </c>
      <c r="EA43" s="24">
        <v>125.05</v>
      </c>
      <c r="EB43" s="24">
        <v>125.88</v>
      </c>
      <c r="EC43" s="24">
        <v>163.6</v>
      </c>
      <c r="ED43" s="24">
        <v>164.38</v>
      </c>
      <c r="EE43" s="24">
        <v>485</v>
      </c>
      <c r="EF43" s="24">
        <v>487.44000000000005</v>
      </c>
      <c r="EG43" s="24">
        <v>303.10000000000002</v>
      </c>
      <c r="EH43" s="24">
        <v>305.96000000000004</v>
      </c>
      <c r="EI43" s="24">
        <v>271.55</v>
      </c>
      <c r="EJ43" s="24">
        <v>272.68</v>
      </c>
      <c r="EK43" s="24">
        <v>276.39999999999998</v>
      </c>
      <c r="EL43" s="24">
        <v>269.83999999999997</v>
      </c>
      <c r="EM43" s="24">
        <v>372.5</v>
      </c>
      <c r="EN43" s="24">
        <v>373.28</v>
      </c>
      <c r="EO43" s="24">
        <v>261.99</v>
      </c>
      <c r="EP43" s="24">
        <v>262.11999999999995</v>
      </c>
      <c r="EQ43" s="24">
        <v>315</v>
      </c>
      <c r="ER43" s="24">
        <v>314.33999999999997</v>
      </c>
      <c r="ES43" s="24">
        <v>243.7</v>
      </c>
      <c r="ET43" s="24">
        <v>244.54000000000002</v>
      </c>
      <c r="EU43" s="24">
        <v>295.64999999999998</v>
      </c>
      <c r="EV43" s="24">
        <v>297.38</v>
      </c>
      <c r="EW43" s="24">
        <v>336.20000000000005</v>
      </c>
      <c r="EX43" s="24">
        <v>338.05999999999995</v>
      </c>
      <c r="EY43" s="24">
        <v>139.05000000000001</v>
      </c>
      <c r="EZ43" s="24">
        <v>137.74</v>
      </c>
      <c r="FA43" s="24">
        <v>178.1</v>
      </c>
      <c r="FB43" s="24">
        <v>179.21999999999997</v>
      </c>
      <c r="FC43" s="24">
        <v>231.59999999999997</v>
      </c>
      <c r="FD43" s="24">
        <v>232.1</v>
      </c>
      <c r="FE43" s="24">
        <v>189.15</v>
      </c>
      <c r="FF43" s="24">
        <v>191.32999999999998</v>
      </c>
      <c r="FG43" s="24">
        <v>181.7</v>
      </c>
      <c r="FH43" s="24">
        <v>187.98000000000002</v>
      </c>
      <c r="FI43" s="24">
        <v>323.94999999999993</v>
      </c>
      <c r="FJ43" s="24">
        <v>325.40000000000003</v>
      </c>
      <c r="FK43" s="24">
        <v>275.65000000000003</v>
      </c>
      <c r="FL43" s="24">
        <v>276.16000000000003</v>
      </c>
      <c r="FM43" s="24"/>
      <c r="FN43" s="24"/>
      <c r="FO43" s="24">
        <v>434.59999999999997</v>
      </c>
      <c r="FP43" s="24">
        <v>436.74</v>
      </c>
      <c r="FQ43" s="24">
        <v>376.2</v>
      </c>
      <c r="FR43" s="24">
        <v>378.33999999999992</v>
      </c>
      <c r="FS43" s="24">
        <v>193.75000000000003</v>
      </c>
      <c r="FT43" s="24">
        <v>194.98000000000002</v>
      </c>
      <c r="FU43" s="24">
        <v>367.35</v>
      </c>
      <c r="FV43" s="24">
        <v>366.9</v>
      </c>
      <c r="FW43" s="24">
        <v>41.45</v>
      </c>
      <c r="FX43" s="24">
        <v>39.9</v>
      </c>
      <c r="FY43" s="24"/>
      <c r="FZ43" s="24"/>
      <c r="GA43" s="24">
        <v>258.05</v>
      </c>
      <c r="GB43" s="24">
        <v>260.78000000000003</v>
      </c>
      <c r="GC43" s="24">
        <v>152.6</v>
      </c>
      <c r="GD43" s="24">
        <v>153.94</v>
      </c>
      <c r="GE43" s="24">
        <v>110.75000000000001</v>
      </c>
      <c r="GF43" s="24">
        <v>111.68</v>
      </c>
      <c r="GG43" s="24">
        <v>373.65</v>
      </c>
      <c r="GH43" s="24">
        <v>377.5</v>
      </c>
      <c r="GI43" s="24" cm="1">
        <f t="array" ref="GI43">SUMPRODUCT(DY43:GG43,--(DY$2:GG$2=GI$2))</f>
        <v>7627.93</v>
      </c>
      <c r="GJ43" s="24" cm="1">
        <f t="array" ref="GJ43">SUMPRODUCT(DZ43:GH43,--(DZ$2:GH$2=GJ$2))</f>
        <v>7658.6099999999988</v>
      </c>
      <c r="GK43" s="24">
        <v>209.65</v>
      </c>
      <c r="GL43" s="24">
        <v>209.96</v>
      </c>
      <c r="GM43" s="24">
        <v>180.70000000000002</v>
      </c>
      <c r="GN43" s="24">
        <v>181.97200000000001</v>
      </c>
      <c r="GO43" s="24">
        <v>193.54999999999998</v>
      </c>
      <c r="GP43" s="24">
        <v>196.01999999999998</v>
      </c>
      <c r="GQ43" s="24">
        <v>76.05</v>
      </c>
      <c r="GR43" s="24">
        <v>76.86</v>
      </c>
      <c r="GS43" s="24">
        <v>263.64999999999998</v>
      </c>
      <c r="GT43" s="24">
        <v>263.62</v>
      </c>
      <c r="GU43" s="24">
        <v>381.90000000000003</v>
      </c>
      <c r="GV43" s="24">
        <v>383.86000000000007</v>
      </c>
      <c r="GW43" s="24">
        <v>218.54999999999998</v>
      </c>
      <c r="GX43" s="24">
        <v>186.06</v>
      </c>
      <c r="GY43" s="24">
        <v>109.1</v>
      </c>
      <c r="GZ43" s="24">
        <v>109.32</v>
      </c>
      <c r="HA43" s="24">
        <v>222.25000000000003</v>
      </c>
      <c r="HB43" s="24">
        <v>150.85999999999999</v>
      </c>
      <c r="HC43" s="24">
        <v>281.39999999999998</v>
      </c>
      <c r="HD43" s="24">
        <v>284.48</v>
      </c>
      <c r="HE43" s="24">
        <v>258.10000000000002</v>
      </c>
      <c r="HF43" s="24">
        <v>259.12</v>
      </c>
      <c r="HG43" s="24">
        <v>242.05</v>
      </c>
      <c r="HH43" s="24">
        <v>244.64</v>
      </c>
      <c r="HI43" s="24">
        <v>233.54999999999998</v>
      </c>
      <c r="HJ43" s="24">
        <v>233.76</v>
      </c>
      <c r="HK43" s="24">
        <v>335.45000000000005</v>
      </c>
      <c r="HL43" s="24">
        <v>337.66</v>
      </c>
      <c r="HM43" s="24">
        <v>408.80000000000007</v>
      </c>
      <c r="HN43" s="24">
        <v>411.59999999999997</v>
      </c>
      <c r="HO43" s="24">
        <v>424.4</v>
      </c>
      <c r="HP43" s="24">
        <v>396.29999999999995</v>
      </c>
      <c r="HQ43" s="24">
        <v>301.84999999999997</v>
      </c>
      <c r="HR43" s="24">
        <v>302.74</v>
      </c>
      <c r="HS43" s="24">
        <v>335.2</v>
      </c>
      <c r="HT43" s="24">
        <v>337.31999999999994</v>
      </c>
      <c r="HU43" s="24">
        <v>227.4</v>
      </c>
      <c r="HV43" s="24">
        <v>228.3</v>
      </c>
      <c r="HW43" s="24">
        <v>198.95000000000002</v>
      </c>
      <c r="HX43" s="24">
        <v>199.73999999999998</v>
      </c>
      <c r="HY43" s="24">
        <v>675.40000000000009</v>
      </c>
      <c r="HZ43" s="24">
        <v>676.16</v>
      </c>
      <c r="IA43" s="24">
        <v>316.49999999999994</v>
      </c>
      <c r="IB43" s="24">
        <v>318.62</v>
      </c>
      <c r="IC43" s="24">
        <v>313.55</v>
      </c>
      <c r="ID43" s="24">
        <v>315.76</v>
      </c>
      <c r="IE43" s="24">
        <v>454.24999999999994</v>
      </c>
      <c r="IF43" s="24">
        <v>456</v>
      </c>
      <c r="IG43" s="24">
        <v>418.55</v>
      </c>
      <c r="IH43" s="24">
        <v>394.65999999999997</v>
      </c>
      <c r="II43" s="24">
        <v>586.1</v>
      </c>
      <c r="IJ43" s="24">
        <v>335.69999999999993</v>
      </c>
      <c r="IK43" s="24"/>
      <c r="IL43" s="24"/>
      <c r="IM43" s="24"/>
      <c r="IN43" s="24"/>
      <c r="IO43" s="24"/>
      <c r="IP43" s="24"/>
      <c r="IQ43" s="24"/>
      <c r="IR43" s="24"/>
      <c r="IS43" s="24">
        <f t="shared" si="124"/>
        <v>7866.9</v>
      </c>
      <c r="IT43" s="24">
        <f t="shared" si="125"/>
        <v>7491.0919999999987</v>
      </c>
      <c r="IU43" s="24">
        <v>224.80000000000004</v>
      </c>
      <c r="IV43" s="24">
        <v>226.18</v>
      </c>
      <c r="IW43" s="24">
        <v>310.95</v>
      </c>
      <c r="IX43" s="24">
        <v>312.72000000000003</v>
      </c>
      <c r="IY43" s="24">
        <v>352.84999999999997</v>
      </c>
      <c r="IZ43" s="24">
        <v>354.15999999999997</v>
      </c>
      <c r="JA43" s="24">
        <v>254.65000000000003</v>
      </c>
      <c r="JB43" s="24">
        <v>256</v>
      </c>
      <c r="JC43" s="24">
        <v>353.8</v>
      </c>
      <c r="JD43" s="24">
        <v>355.80000000000007</v>
      </c>
      <c r="JE43" s="24">
        <v>231.49999999999997</v>
      </c>
      <c r="JF43" s="24">
        <v>233.3</v>
      </c>
      <c r="JG43" s="24">
        <v>260.75</v>
      </c>
      <c r="JH43" s="24">
        <v>262.94</v>
      </c>
      <c r="JI43" s="24">
        <v>217.85000000000002</v>
      </c>
      <c r="JJ43" s="24">
        <v>218.53999999999996</v>
      </c>
      <c r="JK43" s="24">
        <v>400.09999999999997</v>
      </c>
      <c r="JL43" s="24">
        <v>402.56000000000006</v>
      </c>
      <c r="JM43" s="24">
        <v>220.5</v>
      </c>
      <c r="JN43" s="24">
        <v>219.31999999999996</v>
      </c>
      <c r="JO43" s="24">
        <v>378.54999999999995</v>
      </c>
      <c r="JP43" s="24">
        <v>379.34999999999991</v>
      </c>
      <c r="JQ43" s="24">
        <v>203.40000000000003</v>
      </c>
      <c r="JR43" s="24">
        <v>204.16</v>
      </c>
      <c r="JS43" s="24">
        <v>197.95000000000002</v>
      </c>
      <c r="JT43" s="24">
        <v>198.42</v>
      </c>
      <c r="JU43" s="24"/>
      <c r="JV43" s="24"/>
      <c r="JW43" s="24"/>
      <c r="JX43" s="24"/>
      <c r="JY43" s="24"/>
      <c r="JZ43" s="24"/>
      <c r="KA43" s="24"/>
      <c r="KB43" s="24"/>
      <c r="KC43" s="24"/>
      <c r="KD43" s="24"/>
      <c r="KE43" s="24"/>
      <c r="KF43" s="24"/>
      <c r="KG43" s="24"/>
      <c r="KH43" s="24"/>
      <c r="KI43" s="24"/>
      <c r="KJ43" s="24"/>
      <c r="KK43" s="24"/>
      <c r="KL43" s="24"/>
      <c r="KM43" s="24"/>
      <c r="KN43" s="24"/>
      <c r="KO43" s="24"/>
      <c r="KP43" s="24"/>
      <c r="KQ43" s="24"/>
      <c r="KR43" s="24"/>
      <c r="KS43" s="24"/>
      <c r="KT43" s="24"/>
      <c r="KU43" s="24"/>
      <c r="KV43" s="24"/>
      <c r="KW43" s="24"/>
      <c r="KX43" s="24"/>
      <c r="KY43" s="24"/>
      <c r="KZ43" s="24"/>
      <c r="LA43" s="24"/>
      <c r="LB43" s="24"/>
      <c r="LC43" s="24"/>
      <c r="LD43" s="24"/>
      <c r="LE43" s="24">
        <f t="shared" si="126"/>
        <v>3607.65</v>
      </c>
      <c r="LF43" s="24">
        <f t="shared" si="127"/>
        <v>3623.4500000000003</v>
      </c>
      <c r="LG43" s="24"/>
      <c r="LH43" s="24"/>
      <c r="LI43" s="24"/>
      <c r="LJ43" s="24"/>
      <c r="LK43" s="24"/>
      <c r="LL43" s="24"/>
      <c r="LM43" s="24"/>
      <c r="LN43" s="24"/>
      <c r="LO43" s="24"/>
      <c r="LP43" s="24"/>
      <c r="LQ43" s="24"/>
      <c r="LR43" s="24"/>
      <c r="LS43" s="24"/>
      <c r="LT43" s="24"/>
      <c r="LU43" s="24"/>
      <c r="LV43" s="24"/>
      <c r="LW43" s="24"/>
      <c r="LX43" s="24"/>
      <c r="LY43" s="24"/>
      <c r="LZ43" s="24"/>
      <c r="MA43" s="24"/>
      <c r="MB43" s="24"/>
      <c r="MC43" s="24"/>
      <c r="MD43" s="24"/>
      <c r="ME43" s="24"/>
      <c r="MF43" s="24"/>
      <c r="MG43" s="24"/>
      <c r="MH43" s="24"/>
      <c r="MI43" s="24"/>
      <c r="MJ43" s="24"/>
      <c r="MK43" s="24"/>
      <c r="ML43" s="24"/>
      <c r="MM43" s="24"/>
      <c r="MN43" s="24"/>
      <c r="MO43" s="24"/>
      <c r="MP43" s="24"/>
      <c r="MQ43" s="24"/>
      <c r="MR43" s="24"/>
      <c r="MS43" s="24"/>
      <c r="MT43" s="24"/>
      <c r="MU43" s="24"/>
      <c r="MV43" s="24"/>
      <c r="MW43" s="24"/>
      <c r="MX43" s="24"/>
      <c r="MY43" s="24"/>
      <c r="MZ43" s="24"/>
      <c r="NA43" s="24"/>
      <c r="NB43" s="24"/>
      <c r="NC43" s="24"/>
      <c r="ND43" s="24"/>
      <c r="NE43" s="24"/>
      <c r="NF43" s="24"/>
      <c r="NG43" s="24"/>
      <c r="NH43" s="24"/>
      <c r="NI43" s="24"/>
      <c r="NJ43" s="24"/>
      <c r="NK43" s="24"/>
      <c r="NL43" s="24"/>
      <c r="NM43" s="24"/>
      <c r="NN43" s="24"/>
      <c r="NO43" s="24">
        <f t="shared" si="128"/>
        <v>0</v>
      </c>
      <c r="NP43" s="24">
        <f t="shared" si="129"/>
        <v>0</v>
      </c>
      <c r="NQ43" s="24"/>
      <c r="NR43" s="24"/>
      <c r="NS43" s="24"/>
      <c r="NT43" s="24"/>
      <c r="NU43" s="24"/>
      <c r="NV43" s="24"/>
      <c r="NW43" s="24"/>
      <c r="NX43" s="24"/>
      <c r="NY43" s="24"/>
      <c r="NZ43" s="24"/>
      <c r="OA43" s="24"/>
      <c r="OB43" s="24"/>
      <c r="OC43" s="24"/>
      <c r="OD43" s="24"/>
      <c r="OE43" s="24"/>
      <c r="OF43" s="24"/>
      <c r="OG43" s="24"/>
      <c r="OH43" s="24"/>
      <c r="OI43" s="24"/>
      <c r="OJ43" s="24"/>
      <c r="OK43" s="24"/>
      <c r="OL43" s="24"/>
      <c r="OM43" s="24"/>
      <c r="ON43" s="24"/>
      <c r="OO43" s="24"/>
      <c r="OP43" s="24"/>
      <c r="OQ43" s="24"/>
      <c r="OR43" s="24"/>
      <c r="OS43" s="24"/>
      <c r="OT43" s="24"/>
      <c r="OU43" s="24"/>
      <c r="OV43" s="24"/>
      <c r="OW43" s="24"/>
      <c r="OX43" s="24"/>
      <c r="OY43" s="24"/>
      <c r="OZ43" s="24"/>
      <c r="PA43" s="24"/>
      <c r="PB43" s="24"/>
      <c r="PC43" s="24"/>
      <c r="PD43" s="24"/>
      <c r="PE43" s="24"/>
      <c r="PF43" s="24"/>
      <c r="PG43" s="24"/>
      <c r="PH43" s="24"/>
      <c r="PI43" s="24"/>
      <c r="PJ43" s="24"/>
      <c r="PK43" s="24"/>
      <c r="PL43" s="24"/>
      <c r="PM43" s="24"/>
      <c r="PN43" s="24"/>
      <c r="PO43" s="24"/>
      <c r="PP43" s="24"/>
      <c r="PQ43" s="24"/>
      <c r="PR43" s="24"/>
      <c r="PS43" s="24"/>
      <c r="PT43" s="24"/>
      <c r="PU43" s="24"/>
      <c r="PV43" s="24"/>
      <c r="PW43" s="24"/>
      <c r="PX43" s="24"/>
      <c r="PY43" s="24"/>
      <c r="PZ43" s="24"/>
      <c r="QA43" s="24">
        <f t="shared" si="130"/>
        <v>0</v>
      </c>
      <c r="QB43" s="24">
        <f t="shared" si="131"/>
        <v>0</v>
      </c>
      <c r="QC43" s="24"/>
      <c r="QD43" s="24"/>
      <c r="QE43" s="24"/>
      <c r="QF43" s="24"/>
      <c r="QG43" s="24"/>
      <c r="QH43" s="24"/>
      <c r="QI43" s="24"/>
      <c r="QJ43" s="24"/>
      <c r="QK43" s="24"/>
      <c r="QL43" s="24"/>
      <c r="QM43" s="24"/>
      <c r="QN43" s="24"/>
      <c r="QO43" s="24"/>
      <c r="QP43" s="24"/>
      <c r="QQ43" s="24"/>
      <c r="QR43" s="24"/>
      <c r="QS43" s="24"/>
      <c r="QT43" s="24"/>
      <c r="QU43" s="24"/>
      <c r="QV43" s="24"/>
      <c r="QW43" s="24"/>
      <c r="QX43" s="24"/>
      <c r="QY43" s="24"/>
      <c r="QZ43" s="24"/>
      <c r="RA43" s="24"/>
      <c r="RB43" s="24"/>
      <c r="RC43" s="24"/>
      <c r="RD43" s="24"/>
      <c r="RE43" s="24"/>
      <c r="RF43" s="24"/>
      <c r="RG43" s="24"/>
      <c r="RH43" s="24"/>
      <c r="RI43" s="24"/>
      <c r="RJ43" s="24"/>
      <c r="RK43" s="24"/>
      <c r="RL43" s="24"/>
      <c r="RM43" s="24"/>
      <c r="RN43" s="24"/>
      <c r="RO43" s="24"/>
      <c r="RP43" s="24"/>
      <c r="RQ43" s="24"/>
      <c r="RR43" s="24"/>
      <c r="RS43" s="24"/>
      <c r="RT43" s="24"/>
      <c r="RU43" s="24"/>
      <c r="RV43" s="24"/>
      <c r="RW43" s="24"/>
      <c r="RX43" s="24"/>
      <c r="RY43" s="24"/>
      <c r="RZ43" s="24"/>
      <c r="SA43" s="24"/>
      <c r="SB43" s="24"/>
      <c r="SC43" s="24"/>
      <c r="SD43" s="24"/>
      <c r="SE43" s="24"/>
      <c r="SF43" s="24"/>
      <c r="SG43" s="24"/>
      <c r="SH43" s="24"/>
      <c r="SI43" s="24"/>
      <c r="SJ43" s="24"/>
      <c r="SK43" s="24"/>
      <c r="SL43" s="24"/>
      <c r="SM43" s="24">
        <f t="shared" si="132"/>
        <v>0</v>
      </c>
      <c r="SN43" s="24">
        <f t="shared" si="133"/>
        <v>0</v>
      </c>
      <c r="SO43" s="24"/>
      <c r="SP43" s="24"/>
      <c r="SQ43" s="24"/>
      <c r="SR43" s="24"/>
      <c r="SS43" s="24"/>
      <c r="ST43" s="24"/>
      <c r="SU43" s="24"/>
      <c r="SV43" s="24"/>
      <c r="SW43" s="24"/>
      <c r="SX43" s="24"/>
      <c r="SY43" s="24"/>
      <c r="SZ43" s="24"/>
      <c r="TA43" s="24"/>
      <c r="TB43" s="24"/>
      <c r="TC43" s="24"/>
      <c r="TD43" s="24"/>
      <c r="TE43" s="24"/>
      <c r="TF43" s="24"/>
      <c r="TG43" s="24"/>
      <c r="TH43" s="24"/>
      <c r="TI43" s="24"/>
      <c r="TJ43" s="24"/>
      <c r="TK43" s="24"/>
      <c r="TL43" s="24"/>
      <c r="TM43" s="24"/>
      <c r="TN43" s="24"/>
      <c r="TO43" s="24"/>
      <c r="TP43" s="24"/>
      <c r="TQ43" s="24"/>
      <c r="TR43" s="24"/>
      <c r="TS43" s="24"/>
      <c r="TT43" s="24"/>
      <c r="TU43" s="24"/>
      <c r="TV43" s="24"/>
      <c r="TW43" s="24"/>
      <c r="TX43" s="24"/>
      <c r="TY43" s="24"/>
      <c r="TZ43" s="24"/>
      <c r="UA43" s="24"/>
      <c r="UB43" s="24"/>
      <c r="UC43" s="24"/>
      <c r="UD43" s="24"/>
      <c r="UE43" s="24"/>
      <c r="UF43" s="24"/>
      <c r="UG43" s="24"/>
      <c r="UH43" s="24"/>
      <c r="UI43" s="24"/>
      <c r="UJ43" s="24"/>
      <c r="UK43" s="24"/>
      <c r="UL43" s="24"/>
      <c r="UM43" s="24"/>
      <c r="UN43" s="24"/>
      <c r="UO43" s="24"/>
      <c r="UP43" s="24"/>
      <c r="UQ43" s="24"/>
      <c r="UR43" s="24"/>
      <c r="US43" s="24"/>
      <c r="UT43" s="24"/>
      <c r="UU43" s="24"/>
      <c r="UV43" s="24"/>
      <c r="UW43" s="24">
        <f t="shared" si="134"/>
        <v>0</v>
      </c>
      <c r="UX43" s="24">
        <f t="shared" si="135"/>
        <v>0</v>
      </c>
      <c r="UY43" s="24"/>
      <c r="UZ43" s="24"/>
      <c r="VA43" s="24"/>
      <c r="VB43" s="24"/>
      <c r="VC43" s="24"/>
      <c r="VD43" s="24"/>
      <c r="VE43" s="24"/>
      <c r="VF43" s="24"/>
      <c r="VG43" s="24"/>
      <c r="VH43" s="24"/>
      <c r="VI43" s="24"/>
      <c r="VJ43" s="24"/>
      <c r="VK43" s="24"/>
      <c r="VL43" s="24"/>
      <c r="VM43" s="24"/>
      <c r="VN43" s="24"/>
      <c r="VO43" s="24"/>
      <c r="VP43" s="24"/>
      <c r="VQ43" s="24"/>
      <c r="VR43" s="24"/>
      <c r="VS43" s="24"/>
      <c r="VT43" s="24"/>
      <c r="VU43" s="24"/>
      <c r="VV43" s="24"/>
      <c r="VW43" s="24"/>
      <c r="VX43" s="24"/>
      <c r="VY43" s="24"/>
      <c r="VZ43" s="24"/>
      <c r="WA43" s="24"/>
      <c r="WB43" s="24"/>
      <c r="WC43" s="24"/>
      <c r="WD43" s="24"/>
      <c r="WE43" s="24"/>
      <c r="WF43" s="24"/>
      <c r="WG43" s="24"/>
      <c r="WH43" s="24"/>
      <c r="WI43" s="24"/>
      <c r="WJ43" s="24"/>
      <c r="WK43" s="24"/>
      <c r="WL43" s="24"/>
      <c r="WM43" s="24"/>
      <c r="WN43" s="24"/>
      <c r="WO43" s="24"/>
      <c r="WP43" s="24"/>
      <c r="WQ43" s="24"/>
      <c r="WR43" s="24"/>
      <c r="WS43" s="24"/>
      <c r="WT43" s="24"/>
      <c r="WU43" s="24"/>
      <c r="WV43" s="24"/>
      <c r="WW43" s="24"/>
      <c r="WX43" s="24"/>
      <c r="WY43" s="24"/>
      <c r="WZ43" s="24"/>
      <c r="XA43" s="24"/>
      <c r="XB43" s="24"/>
      <c r="XC43" s="24"/>
      <c r="XD43" s="24"/>
      <c r="XE43" s="24"/>
      <c r="XF43" s="24"/>
      <c r="XG43" s="24"/>
      <c r="XH43" s="24"/>
      <c r="XI43" s="24">
        <f t="shared" si="136"/>
        <v>0</v>
      </c>
      <c r="XJ43" s="24">
        <f t="shared" si="137"/>
        <v>0</v>
      </c>
      <c r="XK43" s="24"/>
      <c r="XL43" s="24"/>
      <c r="XM43" s="24"/>
      <c r="XN43" s="24"/>
      <c r="XO43" s="24"/>
      <c r="XP43" s="24"/>
      <c r="XQ43" s="24"/>
      <c r="XR43" s="24"/>
      <c r="XS43" s="24"/>
      <c r="XT43" s="24"/>
      <c r="XU43" s="24"/>
      <c r="XV43" s="24"/>
      <c r="XW43" s="24"/>
      <c r="XX43" s="24"/>
      <c r="XY43" s="24"/>
      <c r="XZ43" s="24"/>
      <c r="YA43" s="24"/>
      <c r="YB43" s="24"/>
      <c r="YC43" s="24"/>
      <c r="YD43" s="24"/>
      <c r="YE43" s="24"/>
      <c r="YF43" s="24"/>
      <c r="YG43" s="24"/>
      <c r="YH43" s="24"/>
      <c r="YI43" s="24"/>
      <c r="YJ43" s="24"/>
      <c r="YK43" s="24"/>
      <c r="YL43" s="24"/>
      <c r="YM43" s="24"/>
      <c r="YN43" s="24"/>
      <c r="YO43" s="24"/>
      <c r="YP43" s="24"/>
      <c r="YQ43" s="24"/>
      <c r="YR43" s="24"/>
      <c r="YS43" s="24"/>
      <c r="YT43" s="24"/>
      <c r="YU43" s="24"/>
      <c r="YV43" s="24"/>
      <c r="YW43" s="24"/>
      <c r="YX43" s="24"/>
      <c r="YY43" s="24"/>
      <c r="YZ43" s="24"/>
      <c r="ZA43" s="24"/>
      <c r="ZB43" s="24"/>
      <c r="ZC43" s="24"/>
      <c r="ZD43" s="24"/>
      <c r="ZE43" s="24"/>
      <c r="ZF43" s="24"/>
      <c r="ZG43" s="24"/>
      <c r="ZH43" s="24"/>
      <c r="ZI43" s="24"/>
      <c r="ZJ43" s="24"/>
      <c r="ZK43" s="24"/>
      <c r="ZL43" s="24"/>
      <c r="ZM43" s="24"/>
      <c r="ZN43" s="24"/>
      <c r="ZO43" s="24"/>
      <c r="ZP43" s="24"/>
      <c r="ZQ43" s="24"/>
      <c r="ZR43" s="24"/>
      <c r="ZS43" s="24">
        <f t="shared" si="138"/>
        <v>0</v>
      </c>
      <c r="ZT43" s="24">
        <f t="shared" si="139"/>
        <v>0</v>
      </c>
      <c r="ZU43" s="24"/>
      <c r="ZV43" s="24"/>
      <c r="ZW43" s="24"/>
      <c r="ZX43" s="24"/>
      <c r="ZY43" s="24"/>
      <c r="ZZ43" s="24"/>
      <c r="AAA43" s="24"/>
      <c r="AAB43" s="24"/>
      <c r="AAC43" s="24"/>
      <c r="AAD43" s="24"/>
      <c r="AAE43" s="24"/>
      <c r="AAF43" s="24"/>
      <c r="AAG43" s="24"/>
      <c r="AAH43" s="24"/>
      <c r="AAI43" s="24"/>
      <c r="AAJ43" s="24"/>
      <c r="AAK43" s="24"/>
      <c r="AAL43" s="24"/>
      <c r="AAM43" s="24"/>
      <c r="AAN43" s="24"/>
      <c r="AAO43" s="24"/>
      <c r="AAP43" s="24"/>
      <c r="AAQ43" s="24"/>
      <c r="AAR43" s="24"/>
      <c r="AAS43" s="24"/>
      <c r="AAT43" s="24"/>
      <c r="AAU43" s="24"/>
      <c r="AAV43" s="24"/>
      <c r="AAW43" s="24"/>
      <c r="AAX43" s="24"/>
      <c r="AAY43" s="24"/>
      <c r="AAZ43" s="24"/>
      <c r="ABA43" s="24"/>
      <c r="ABB43" s="24"/>
      <c r="ABC43" s="24"/>
      <c r="ABD43" s="24"/>
      <c r="ABE43" s="24"/>
      <c r="ABF43" s="24"/>
      <c r="ABG43" s="24"/>
      <c r="ABH43" s="24"/>
      <c r="ABI43" s="24"/>
      <c r="ABJ43" s="24"/>
      <c r="ABK43" s="24"/>
      <c r="ABL43" s="24"/>
      <c r="ABM43" s="24"/>
      <c r="ABN43" s="24"/>
      <c r="ABO43" s="24"/>
      <c r="ABP43" s="24"/>
      <c r="ABQ43" s="24"/>
      <c r="ABR43" s="24"/>
      <c r="ABS43" s="24"/>
      <c r="ABT43" s="24"/>
      <c r="ABU43" s="24"/>
      <c r="ABV43" s="24"/>
      <c r="ABW43" s="24"/>
      <c r="ABX43" s="24"/>
      <c r="ABY43" s="24"/>
      <c r="ABZ43" s="24"/>
      <c r="ACA43" s="24"/>
      <c r="ACB43" s="24"/>
      <c r="ACC43" s="24"/>
      <c r="ACD43" s="24"/>
      <c r="ACE43" s="24">
        <f t="shared" si="140"/>
        <v>0</v>
      </c>
      <c r="ACF43" s="24"/>
      <c r="ACG43" s="24">
        <f t="shared" si="141"/>
        <v>31944.03</v>
      </c>
      <c r="ACH43" s="25"/>
      <c r="ACI43" s="71" t="s">
        <v>149</v>
      </c>
      <c r="ACJ43" s="71" t="s">
        <v>89</v>
      </c>
    </row>
    <row r="44" spans="1:764" x14ac:dyDescent="0.25">
      <c r="A44" s="162"/>
      <c r="B44" s="152"/>
      <c r="C44" s="155"/>
      <c r="D44" s="50" t="s">
        <v>8</v>
      </c>
      <c r="E44" s="74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24" cm="1">
        <f t="array" ref="BO44">SUMPRODUCT(E44:BM44,--(E$2:BM$2=BO$2))</f>
        <v>0</v>
      </c>
      <c r="BP44" s="24" cm="1">
        <f t="array" ref="BP44">SUMPRODUCT(F44:BN44,--(F$2:BN$2=BP$2))</f>
        <v>0</v>
      </c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 cm="1">
        <f t="array" ref="DW44">SUMPRODUCT(BQ44:DU44,--(BQ$2:DU$2=DW$2))</f>
        <v>0</v>
      </c>
      <c r="DX44" s="24" cm="1">
        <f t="array" ref="DX44">SUMPRODUCT(BR44:DV44,--(BR$2:DV$2=DX$2))</f>
        <v>0</v>
      </c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/>
      <c r="EV44" s="24"/>
      <c r="EW44" s="24"/>
      <c r="EX44" s="24"/>
      <c r="EY44" s="24"/>
      <c r="EZ44" s="24"/>
      <c r="FA44" s="24"/>
      <c r="FB44" s="24"/>
      <c r="FC44" s="24"/>
      <c r="FD44" s="24"/>
      <c r="FE44" s="24"/>
      <c r="FF44" s="24"/>
      <c r="FG44" s="24"/>
      <c r="FH44" s="24"/>
      <c r="FI44" s="24"/>
      <c r="FJ44" s="24"/>
      <c r="FK44" s="24"/>
      <c r="FL44" s="24"/>
      <c r="FM44" s="24"/>
      <c r="FN44" s="24"/>
      <c r="FO44" s="24"/>
      <c r="FP44" s="24"/>
      <c r="FQ44" s="24"/>
      <c r="FR44" s="24"/>
      <c r="FS44" s="24"/>
      <c r="FT44" s="24"/>
      <c r="FU44" s="24"/>
      <c r="FV44" s="24"/>
      <c r="FW44" s="24"/>
      <c r="FX44" s="24"/>
      <c r="FY44" s="24"/>
      <c r="FZ44" s="24"/>
      <c r="GA44" s="24"/>
      <c r="GB44" s="24"/>
      <c r="GC44" s="24"/>
      <c r="GD44" s="24"/>
      <c r="GE44" s="24"/>
      <c r="GF44" s="24"/>
      <c r="GG44" s="24"/>
      <c r="GH44" s="24"/>
      <c r="GI44" s="24" cm="1">
        <f t="array" ref="GI44">SUMPRODUCT(DY44:GG44,--(DY$2:GG$2=GI$2))</f>
        <v>0</v>
      </c>
      <c r="GJ44" s="24" cm="1">
        <f t="array" ref="GJ44">SUMPRODUCT(DZ44:GH44,--(DZ$2:GH$2=GJ$2))</f>
        <v>0</v>
      </c>
      <c r="GK44" s="24"/>
      <c r="GL44" s="24"/>
      <c r="GM44" s="24"/>
      <c r="GN44" s="24"/>
      <c r="GO44" s="24"/>
      <c r="GP44" s="24"/>
      <c r="GQ44" s="24"/>
      <c r="GR44" s="24"/>
      <c r="GS44" s="24"/>
      <c r="GT44" s="24"/>
      <c r="GU44" s="24"/>
      <c r="GV44" s="24"/>
      <c r="GW44" s="24"/>
      <c r="GX44" s="24"/>
      <c r="GY44" s="24"/>
      <c r="GZ44" s="24"/>
      <c r="HA44" s="24"/>
      <c r="HB44" s="24"/>
      <c r="HC44" s="24"/>
      <c r="HD44" s="24"/>
      <c r="HE44" s="24"/>
      <c r="HF44" s="24"/>
      <c r="HG44" s="24"/>
      <c r="HH44" s="24"/>
      <c r="HI44" s="24"/>
      <c r="HJ44" s="24"/>
      <c r="HK44" s="24"/>
      <c r="HL44" s="24"/>
      <c r="HM44" s="24"/>
      <c r="HN44" s="24"/>
      <c r="HO44" s="24"/>
      <c r="HP44" s="24"/>
      <c r="HQ44" s="24"/>
      <c r="HR44" s="24"/>
      <c r="HS44" s="24"/>
      <c r="HT44" s="24"/>
      <c r="HU44" s="24"/>
      <c r="HV44" s="24"/>
      <c r="HW44" s="24"/>
      <c r="HX44" s="24"/>
      <c r="HY44" s="24"/>
      <c r="HZ44" s="24"/>
      <c r="IA44" s="24"/>
      <c r="IB44" s="24"/>
      <c r="IC44" s="24"/>
      <c r="ID44" s="24"/>
      <c r="IE44" s="24"/>
      <c r="IF44" s="24"/>
      <c r="IG44" s="24"/>
      <c r="IH44" s="24"/>
      <c r="II44" s="24"/>
      <c r="IJ44" s="24"/>
      <c r="IK44" s="24"/>
      <c r="IL44" s="24"/>
      <c r="IM44" s="24"/>
      <c r="IN44" s="24"/>
      <c r="IO44" s="24"/>
      <c r="IP44" s="24"/>
      <c r="IQ44" s="24"/>
      <c r="IR44" s="24"/>
      <c r="IS44" s="24">
        <f t="shared" si="124"/>
        <v>0</v>
      </c>
      <c r="IT44" s="24">
        <f t="shared" si="125"/>
        <v>0</v>
      </c>
      <c r="IU44" s="24"/>
      <c r="IV44" s="24"/>
      <c r="IW44" s="24"/>
      <c r="IX44" s="24"/>
      <c r="IY44" s="24"/>
      <c r="IZ44" s="24"/>
      <c r="JA44" s="24"/>
      <c r="JB44" s="24"/>
      <c r="JC44" s="24"/>
      <c r="JD44" s="24"/>
      <c r="JE44" s="24"/>
      <c r="JF44" s="24"/>
      <c r="JG44" s="24"/>
      <c r="JH44" s="24"/>
      <c r="JI44" s="24"/>
      <c r="JJ44" s="24"/>
      <c r="JK44" s="24"/>
      <c r="JL44" s="24"/>
      <c r="JM44" s="24"/>
      <c r="JN44" s="24"/>
      <c r="JO44" s="24"/>
      <c r="JP44" s="24"/>
      <c r="JQ44" s="24"/>
      <c r="JR44" s="24"/>
      <c r="JS44" s="24"/>
      <c r="JT44" s="24"/>
      <c r="JU44" s="24"/>
      <c r="JV44" s="24"/>
      <c r="JW44" s="24"/>
      <c r="JX44" s="24"/>
      <c r="JY44" s="24"/>
      <c r="JZ44" s="24"/>
      <c r="KA44" s="24"/>
      <c r="KB44" s="24"/>
      <c r="KC44" s="24"/>
      <c r="KD44" s="24"/>
      <c r="KE44" s="24"/>
      <c r="KF44" s="24"/>
      <c r="KG44" s="24"/>
      <c r="KH44" s="24"/>
      <c r="KI44" s="24"/>
      <c r="KJ44" s="24"/>
      <c r="KK44" s="24"/>
      <c r="KL44" s="24"/>
      <c r="KM44" s="24"/>
      <c r="KN44" s="24"/>
      <c r="KO44" s="24"/>
      <c r="KP44" s="24"/>
      <c r="KQ44" s="24"/>
      <c r="KR44" s="24"/>
      <c r="KS44" s="24"/>
      <c r="KT44" s="24"/>
      <c r="KU44" s="24"/>
      <c r="KV44" s="24"/>
      <c r="KW44" s="24"/>
      <c r="KX44" s="24"/>
      <c r="KY44" s="24"/>
      <c r="KZ44" s="24"/>
      <c r="LA44" s="24"/>
      <c r="LB44" s="24"/>
      <c r="LC44" s="24"/>
      <c r="LD44" s="24"/>
      <c r="LE44" s="24">
        <f t="shared" si="126"/>
        <v>0</v>
      </c>
      <c r="LF44" s="24">
        <f t="shared" si="127"/>
        <v>0</v>
      </c>
      <c r="LG44" s="24"/>
      <c r="LH44" s="24"/>
      <c r="LI44" s="24"/>
      <c r="LJ44" s="24"/>
      <c r="LK44" s="24"/>
      <c r="LL44" s="24"/>
      <c r="LM44" s="24"/>
      <c r="LN44" s="24"/>
      <c r="LO44" s="24"/>
      <c r="LP44" s="24"/>
      <c r="LQ44" s="24"/>
      <c r="LR44" s="24"/>
      <c r="LS44" s="24"/>
      <c r="LT44" s="24"/>
      <c r="LU44" s="24"/>
      <c r="LV44" s="24"/>
      <c r="LW44" s="24"/>
      <c r="LX44" s="24"/>
      <c r="LY44" s="24"/>
      <c r="LZ44" s="24"/>
      <c r="MA44" s="24"/>
      <c r="MB44" s="24"/>
      <c r="MC44" s="24"/>
      <c r="MD44" s="24"/>
      <c r="ME44" s="24"/>
      <c r="MF44" s="24"/>
      <c r="MG44" s="24"/>
      <c r="MH44" s="24"/>
      <c r="MI44" s="24"/>
      <c r="MJ44" s="24"/>
      <c r="MK44" s="24"/>
      <c r="ML44" s="24"/>
      <c r="MM44" s="24"/>
      <c r="MN44" s="24"/>
      <c r="MO44" s="24"/>
      <c r="MP44" s="24"/>
      <c r="MQ44" s="24"/>
      <c r="MR44" s="24"/>
      <c r="MS44" s="24"/>
      <c r="MT44" s="24"/>
      <c r="MU44" s="24"/>
      <c r="MV44" s="24"/>
      <c r="MW44" s="24"/>
      <c r="MX44" s="24"/>
      <c r="MY44" s="24"/>
      <c r="MZ44" s="24"/>
      <c r="NA44" s="24"/>
      <c r="NB44" s="24"/>
      <c r="NC44" s="24"/>
      <c r="ND44" s="24"/>
      <c r="NE44" s="24"/>
      <c r="NF44" s="24"/>
      <c r="NG44" s="24"/>
      <c r="NH44" s="24"/>
      <c r="NI44" s="24"/>
      <c r="NJ44" s="24"/>
      <c r="NK44" s="24"/>
      <c r="NL44" s="24"/>
      <c r="NM44" s="24"/>
      <c r="NN44" s="24"/>
      <c r="NO44" s="24">
        <f t="shared" si="128"/>
        <v>0</v>
      </c>
      <c r="NP44" s="24">
        <f t="shared" si="129"/>
        <v>0</v>
      </c>
      <c r="NQ44" s="24"/>
      <c r="NR44" s="24"/>
      <c r="NS44" s="24"/>
      <c r="NT44" s="24"/>
      <c r="NU44" s="24"/>
      <c r="NV44" s="24"/>
      <c r="NW44" s="24"/>
      <c r="NX44" s="24"/>
      <c r="NY44" s="24"/>
      <c r="NZ44" s="24"/>
      <c r="OA44" s="24"/>
      <c r="OB44" s="24"/>
      <c r="OC44" s="24"/>
      <c r="OD44" s="24"/>
      <c r="OE44" s="24"/>
      <c r="OF44" s="24"/>
      <c r="OG44" s="24"/>
      <c r="OH44" s="24"/>
      <c r="OI44" s="24"/>
      <c r="OJ44" s="24"/>
      <c r="OK44" s="24"/>
      <c r="OL44" s="24"/>
      <c r="OM44" s="24"/>
      <c r="ON44" s="24"/>
      <c r="OO44" s="24"/>
      <c r="OP44" s="24"/>
      <c r="OQ44" s="24"/>
      <c r="OR44" s="24"/>
      <c r="OS44" s="24"/>
      <c r="OT44" s="24"/>
      <c r="OU44" s="24"/>
      <c r="OV44" s="24"/>
      <c r="OW44" s="24"/>
      <c r="OX44" s="24"/>
      <c r="OY44" s="24"/>
      <c r="OZ44" s="24"/>
      <c r="PA44" s="24"/>
      <c r="PB44" s="24"/>
      <c r="PC44" s="24"/>
      <c r="PD44" s="24"/>
      <c r="PE44" s="24"/>
      <c r="PF44" s="24"/>
      <c r="PG44" s="24"/>
      <c r="PH44" s="24"/>
      <c r="PI44" s="24"/>
      <c r="PJ44" s="24"/>
      <c r="PK44" s="24"/>
      <c r="PL44" s="24"/>
      <c r="PM44" s="24"/>
      <c r="PN44" s="24"/>
      <c r="PO44" s="24"/>
      <c r="PP44" s="24"/>
      <c r="PQ44" s="24"/>
      <c r="PR44" s="24"/>
      <c r="PS44" s="24"/>
      <c r="PT44" s="24"/>
      <c r="PU44" s="24"/>
      <c r="PV44" s="24"/>
      <c r="PW44" s="24"/>
      <c r="PX44" s="24"/>
      <c r="PY44" s="24"/>
      <c r="PZ44" s="24"/>
      <c r="QA44" s="24">
        <f t="shared" si="130"/>
        <v>0</v>
      </c>
      <c r="QB44" s="24">
        <f t="shared" si="131"/>
        <v>0</v>
      </c>
      <c r="QC44" s="24"/>
      <c r="QD44" s="24"/>
      <c r="QE44" s="24"/>
      <c r="QF44" s="24"/>
      <c r="QG44" s="24"/>
      <c r="QH44" s="24"/>
      <c r="QI44" s="24"/>
      <c r="QJ44" s="24"/>
      <c r="QK44" s="24"/>
      <c r="QL44" s="24"/>
      <c r="QM44" s="24"/>
      <c r="QN44" s="24"/>
      <c r="QO44" s="24"/>
      <c r="QP44" s="24"/>
      <c r="QQ44" s="24"/>
      <c r="QR44" s="24"/>
      <c r="QS44" s="24"/>
      <c r="QT44" s="24"/>
      <c r="QU44" s="24"/>
      <c r="QV44" s="24"/>
      <c r="QW44" s="24"/>
      <c r="QX44" s="24"/>
      <c r="QY44" s="24"/>
      <c r="QZ44" s="24"/>
      <c r="RA44" s="24"/>
      <c r="RB44" s="24"/>
      <c r="RC44" s="24"/>
      <c r="RD44" s="24"/>
      <c r="RE44" s="24"/>
      <c r="RF44" s="24"/>
      <c r="RG44" s="24"/>
      <c r="RH44" s="24"/>
      <c r="RI44" s="24"/>
      <c r="RJ44" s="24"/>
      <c r="RK44" s="24"/>
      <c r="RL44" s="24"/>
      <c r="RM44" s="24"/>
      <c r="RN44" s="24"/>
      <c r="RO44" s="24"/>
      <c r="RP44" s="24"/>
      <c r="RQ44" s="24"/>
      <c r="RR44" s="24"/>
      <c r="RS44" s="24"/>
      <c r="RT44" s="24"/>
      <c r="RU44" s="24"/>
      <c r="RV44" s="24"/>
      <c r="RW44" s="24"/>
      <c r="RX44" s="24"/>
      <c r="RY44" s="24"/>
      <c r="RZ44" s="24"/>
      <c r="SA44" s="24"/>
      <c r="SB44" s="24"/>
      <c r="SC44" s="24"/>
      <c r="SD44" s="24"/>
      <c r="SE44" s="24"/>
      <c r="SF44" s="24"/>
      <c r="SG44" s="24"/>
      <c r="SH44" s="24"/>
      <c r="SI44" s="24"/>
      <c r="SJ44" s="24"/>
      <c r="SK44" s="24"/>
      <c r="SL44" s="24"/>
      <c r="SM44" s="24">
        <f t="shared" si="132"/>
        <v>0</v>
      </c>
      <c r="SN44" s="24">
        <f t="shared" si="133"/>
        <v>0</v>
      </c>
      <c r="SO44" s="24"/>
      <c r="SP44" s="24"/>
      <c r="SQ44" s="24"/>
      <c r="SR44" s="24"/>
      <c r="SS44" s="24"/>
      <c r="ST44" s="24"/>
      <c r="SU44" s="24"/>
      <c r="SV44" s="24"/>
      <c r="SW44" s="24"/>
      <c r="SX44" s="24"/>
      <c r="SY44" s="24"/>
      <c r="SZ44" s="24"/>
      <c r="TA44" s="24"/>
      <c r="TB44" s="24"/>
      <c r="TC44" s="24"/>
      <c r="TD44" s="24"/>
      <c r="TE44" s="24"/>
      <c r="TF44" s="24"/>
      <c r="TG44" s="24"/>
      <c r="TH44" s="24"/>
      <c r="TI44" s="24"/>
      <c r="TJ44" s="24"/>
      <c r="TK44" s="24"/>
      <c r="TL44" s="24"/>
      <c r="TM44" s="24"/>
      <c r="TN44" s="24"/>
      <c r="TO44" s="24"/>
      <c r="TP44" s="24"/>
      <c r="TQ44" s="24"/>
      <c r="TR44" s="24"/>
      <c r="TS44" s="24"/>
      <c r="TT44" s="24"/>
      <c r="TU44" s="24"/>
      <c r="TV44" s="24"/>
      <c r="TW44" s="24"/>
      <c r="TX44" s="24"/>
      <c r="TY44" s="24"/>
      <c r="TZ44" s="24"/>
      <c r="UA44" s="24"/>
      <c r="UB44" s="24"/>
      <c r="UC44" s="24"/>
      <c r="UD44" s="24"/>
      <c r="UE44" s="24"/>
      <c r="UF44" s="24"/>
      <c r="UG44" s="24"/>
      <c r="UH44" s="24"/>
      <c r="UI44" s="24"/>
      <c r="UJ44" s="24"/>
      <c r="UK44" s="24"/>
      <c r="UL44" s="24"/>
      <c r="UM44" s="24"/>
      <c r="UN44" s="24"/>
      <c r="UO44" s="24"/>
      <c r="UP44" s="24"/>
      <c r="UQ44" s="24"/>
      <c r="UR44" s="24"/>
      <c r="US44" s="24"/>
      <c r="UT44" s="24"/>
      <c r="UU44" s="24"/>
      <c r="UV44" s="24"/>
      <c r="UW44" s="24">
        <f t="shared" si="134"/>
        <v>0</v>
      </c>
      <c r="UX44" s="24">
        <f t="shared" si="135"/>
        <v>0</v>
      </c>
      <c r="UY44" s="24"/>
      <c r="UZ44" s="24"/>
      <c r="VA44" s="24"/>
      <c r="VB44" s="24"/>
      <c r="VC44" s="24"/>
      <c r="VD44" s="24"/>
      <c r="VE44" s="24"/>
      <c r="VF44" s="24"/>
      <c r="VG44" s="24"/>
      <c r="VH44" s="24"/>
      <c r="VI44" s="24"/>
      <c r="VJ44" s="24"/>
      <c r="VK44" s="24"/>
      <c r="VL44" s="24"/>
      <c r="VM44" s="24"/>
      <c r="VN44" s="24"/>
      <c r="VO44" s="24"/>
      <c r="VP44" s="24"/>
      <c r="VQ44" s="24"/>
      <c r="VR44" s="24"/>
      <c r="VS44" s="24"/>
      <c r="VT44" s="24"/>
      <c r="VU44" s="24"/>
      <c r="VV44" s="24"/>
      <c r="VW44" s="24"/>
      <c r="VX44" s="24"/>
      <c r="VY44" s="24"/>
      <c r="VZ44" s="24"/>
      <c r="WA44" s="24"/>
      <c r="WB44" s="24"/>
      <c r="WC44" s="24"/>
      <c r="WD44" s="24"/>
      <c r="WE44" s="24"/>
      <c r="WF44" s="24"/>
      <c r="WG44" s="24"/>
      <c r="WH44" s="24"/>
      <c r="WI44" s="24"/>
      <c r="WJ44" s="24"/>
      <c r="WK44" s="24"/>
      <c r="WL44" s="24"/>
      <c r="WM44" s="24"/>
      <c r="WN44" s="24"/>
      <c r="WO44" s="24"/>
      <c r="WP44" s="24"/>
      <c r="WQ44" s="24"/>
      <c r="WR44" s="24"/>
      <c r="WS44" s="24"/>
      <c r="WT44" s="24"/>
      <c r="WU44" s="24"/>
      <c r="WV44" s="24"/>
      <c r="WW44" s="24"/>
      <c r="WX44" s="24"/>
      <c r="WY44" s="24"/>
      <c r="WZ44" s="24"/>
      <c r="XA44" s="24"/>
      <c r="XB44" s="24"/>
      <c r="XC44" s="24"/>
      <c r="XD44" s="24"/>
      <c r="XE44" s="24"/>
      <c r="XF44" s="24"/>
      <c r="XG44" s="24"/>
      <c r="XH44" s="24"/>
      <c r="XI44" s="24">
        <f t="shared" si="136"/>
        <v>0</v>
      </c>
      <c r="XJ44" s="24">
        <f t="shared" si="137"/>
        <v>0</v>
      </c>
      <c r="XK44" s="24"/>
      <c r="XL44" s="24"/>
      <c r="XM44" s="24"/>
      <c r="XN44" s="24"/>
      <c r="XO44" s="24"/>
      <c r="XP44" s="24"/>
      <c r="XQ44" s="24"/>
      <c r="XR44" s="24"/>
      <c r="XS44" s="24"/>
      <c r="XT44" s="24"/>
      <c r="XU44" s="24"/>
      <c r="XV44" s="24"/>
      <c r="XW44" s="24"/>
      <c r="XX44" s="24"/>
      <c r="XY44" s="24"/>
      <c r="XZ44" s="24"/>
      <c r="YA44" s="24"/>
      <c r="YB44" s="24"/>
      <c r="YC44" s="24"/>
      <c r="YD44" s="24"/>
      <c r="YE44" s="24"/>
      <c r="YF44" s="24"/>
      <c r="YG44" s="24"/>
      <c r="YH44" s="24"/>
      <c r="YI44" s="24"/>
      <c r="YJ44" s="24"/>
      <c r="YK44" s="24"/>
      <c r="YL44" s="24"/>
      <c r="YM44" s="24"/>
      <c r="YN44" s="24"/>
      <c r="YO44" s="24"/>
      <c r="YP44" s="24"/>
      <c r="YQ44" s="24"/>
      <c r="YR44" s="24"/>
      <c r="YS44" s="24"/>
      <c r="YT44" s="24"/>
      <c r="YU44" s="24"/>
      <c r="YV44" s="24"/>
      <c r="YW44" s="24"/>
      <c r="YX44" s="24"/>
      <c r="YY44" s="24"/>
      <c r="YZ44" s="24"/>
      <c r="ZA44" s="24"/>
      <c r="ZB44" s="24"/>
      <c r="ZC44" s="24"/>
      <c r="ZD44" s="24"/>
      <c r="ZE44" s="24"/>
      <c r="ZF44" s="24"/>
      <c r="ZG44" s="24"/>
      <c r="ZH44" s="24"/>
      <c r="ZI44" s="24"/>
      <c r="ZJ44" s="24"/>
      <c r="ZK44" s="24"/>
      <c r="ZL44" s="24"/>
      <c r="ZM44" s="24"/>
      <c r="ZN44" s="24"/>
      <c r="ZO44" s="24"/>
      <c r="ZP44" s="24"/>
      <c r="ZQ44" s="24"/>
      <c r="ZR44" s="24"/>
      <c r="ZS44" s="24">
        <f t="shared" si="138"/>
        <v>0</v>
      </c>
      <c r="ZT44" s="24">
        <f t="shared" si="139"/>
        <v>0</v>
      </c>
      <c r="ZU44" s="24"/>
      <c r="ZV44" s="24"/>
      <c r="ZW44" s="24"/>
      <c r="ZX44" s="24"/>
      <c r="ZY44" s="24"/>
      <c r="ZZ44" s="24"/>
      <c r="AAA44" s="24"/>
      <c r="AAB44" s="24"/>
      <c r="AAC44" s="24"/>
      <c r="AAD44" s="24"/>
      <c r="AAE44" s="24"/>
      <c r="AAF44" s="24"/>
      <c r="AAG44" s="24"/>
      <c r="AAH44" s="24"/>
      <c r="AAI44" s="24"/>
      <c r="AAJ44" s="24"/>
      <c r="AAK44" s="24"/>
      <c r="AAL44" s="24"/>
      <c r="AAM44" s="24"/>
      <c r="AAN44" s="24"/>
      <c r="AAO44" s="24"/>
      <c r="AAP44" s="24"/>
      <c r="AAQ44" s="24"/>
      <c r="AAR44" s="24"/>
      <c r="AAS44" s="24"/>
      <c r="AAT44" s="24"/>
      <c r="AAU44" s="24"/>
      <c r="AAV44" s="24"/>
      <c r="AAW44" s="24"/>
      <c r="AAX44" s="24"/>
      <c r="AAY44" s="24"/>
      <c r="AAZ44" s="24"/>
      <c r="ABA44" s="24"/>
      <c r="ABB44" s="24"/>
      <c r="ABC44" s="24"/>
      <c r="ABD44" s="24"/>
      <c r="ABE44" s="24"/>
      <c r="ABF44" s="24"/>
      <c r="ABG44" s="24"/>
      <c r="ABH44" s="24"/>
      <c r="ABI44" s="24"/>
      <c r="ABJ44" s="24"/>
      <c r="ABK44" s="24"/>
      <c r="ABL44" s="24"/>
      <c r="ABM44" s="24"/>
      <c r="ABN44" s="24"/>
      <c r="ABO44" s="24"/>
      <c r="ABP44" s="24"/>
      <c r="ABQ44" s="24"/>
      <c r="ABR44" s="24"/>
      <c r="ABS44" s="24"/>
      <c r="ABT44" s="24"/>
      <c r="ABU44" s="24"/>
      <c r="ABV44" s="24"/>
      <c r="ABW44" s="24"/>
      <c r="ABX44" s="24"/>
      <c r="ABY44" s="24"/>
      <c r="ABZ44" s="24"/>
      <c r="ACA44" s="24"/>
      <c r="ACB44" s="24"/>
      <c r="ACC44" s="24"/>
      <c r="ACD44" s="24"/>
      <c r="ACE44" s="24">
        <f t="shared" si="140"/>
        <v>0</v>
      </c>
      <c r="ACF44" s="24"/>
      <c r="ACG44" s="24">
        <f t="shared" si="141"/>
        <v>0</v>
      </c>
      <c r="ACH44" s="25"/>
      <c r="ACI44" s="71" t="s">
        <v>150</v>
      </c>
      <c r="ACJ44" s="71" t="s">
        <v>89</v>
      </c>
    </row>
    <row r="45" spans="1:764" ht="15.75" thickBot="1" x14ac:dyDescent="0.3">
      <c r="A45" s="162"/>
      <c r="B45" s="153"/>
      <c r="C45" s="158"/>
      <c r="D45" s="68" t="s">
        <v>9</v>
      </c>
      <c r="E45" s="76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45" cm="1">
        <f t="array" ref="BO45">SUMPRODUCT(E45:BM45,--(E$2:BM$2=BO$2))</f>
        <v>0</v>
      </c>
      <c r="BP45" s="45" cm="1">
        <f t="array" ref="BP45">SUMPRODUCT(F45:BN45,--(F$2:BN$2=BP$2))</f>
        <v>0</v>
      </c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  <c r="CY45" s="45"/>
      <c r="CZ45" s="45"/>
      <c r="DA45" s="45"/>
      <c r="DB45" s="45"/>
      <c r="DC45" s="45"/>
      <c r="DD45" s="45"/>
      <c r="DE45" s="45"/>
      <c r="DF45" s="45"/>
      <c r="DG45" s="45"/>
      <c r="DH45" s="45"/>
      <c r="DI45" s="45"/>
      <c r="DJ45" s="45"/>
      <c r="DK45" s="45"/>
      <c r="DL45" s="45"/>
      <c r="DM45" s="45"/>
      <c r="DN45" s="45"/>
      <c r="DO45" s="45"/>
      <c r="DP45" s="45"/>
      <c r="DQ45" s="45"/>
      <c r="DR45" s="45"/>
      <c r="DS45" s="45"/>
      <c r="DT45" s="45"/>
      <c r="DU45" s="45"/>
      <c r="DV45" s="45"/>
      <c r="DW45" s="45" cm="1">
        <f t="array" ref="DW45">SUMPRODUCT(BQ45:DU45,--(BQ$2:DU$2=DW$2))</f>
        <v>0</v>
      </c>
      <c r="DX45" s="45" cm="1">
        <f t="array" ref="DX45">SUMPRODUCT(BR45:DV45,--(BR$2:DV$2=DX$2))</f>
        <v>0</v>
      </c>
      <c r="DY45" s="45"/>
      <c r="DZ45" s="45"/>
      <c r="EA45" s="45"/>
      <c r="EB45" s="45"/>
      <c r="EC45" s="45"/>
      <c r="ED45" s="45"/>
      <c r="EE45" s="45"/>
      <c r="EF45" s="45"/>
      <c r="EG45" s="45"/>
      <c r="EH45" s="45"/>
      <c r="EI45" s="45"/>
      <c r="EJ45" s="45"/>
      <c r="EK45" s="45"/>
      <c r="EL45" s="45"/>
      <c r="EM45" s="45"/>
      <c r="EN45" s="45"/>
      <c r="EO45" s="45"/>
      <c r="EP45" s="45"/>
      <c r="EQ45" s="45"/>
      <c r="ER45" s="45"/>
      <c r="ES45" s="45"/>
      <c r="ET45" s="45"/>
      <c r="EU45" s="45"/>
      <c r="EV45" s="45"/>
      <c r="EW45" s="45"/>
      <c r="EX45" s="45"/>
      <c r="EY45" s="45"/>
      <c r="EZ45" s="45"/>
      <c r="FA45" s="45"/>
      <c r="FB45" s="45"/>
      <c r="FC45" s="45"/>
      <c r="FD45" s="45"/>
      <c r="FE45" s="45"/>
      <c r="FF45" s="45"/>
      <c r="FG45" s="45"/>
      <c r="FH45" s="45"/>
      <c r="FI45" s="45"/>
      <c r="FJ45" s="45"/>
      <c r="FK45" s="45"/>
      <c r="FL45" s="45"/>
      <c r="FM45" s="45"/>
      <c r="FN45" s="45"/>
      <c r="FO45" s="45"/>
      <c r="FP45" s="45"/>
      <c r="FQ45" s="45"/>
      <c r="FR45" s="45"/>
      <c r="FS45" s="45"/>
      <c r="FT45" s="45"/>
      <c r="FU45" s="45"/>
      <c r="FV45" s="45"/>
      <c r="FW45" s="45"/>
      <c r="FX45" s="45"/>
      <c r="FY45" s="45"/>
      <c r="FZ45" s="45"/>
      <c r="GA45" s="45"/>
      <c r="GB45" s="45"/>
      <c r="GC45" s="45"/>
      <c r="GD45" s="45"/>
      <c r="GE45" s="45"/>
      <c r="GF45" s="45"/>
      <c r="GG45" s="45"/>
      <c r="GH45" s="45"/>
      <c r="GI45" s="45" cm="1">
        <f t="array" ref="GI45">SUMPRODUCT(DY45:GG45,--(DY$2:GG$2=GI$2))</f>
        <v>0</v>
      </c>
      <c r="GJ45" s="45" cm="1">
        <f t="array" ref="GJ45">SUMPRODUCT(DZ45:GH45,--(DZ$2:GH$2=GJ$2))</f>
        <v>0</v>
      </c>
      <c r="GK45" s="24"/>
      <c r="GL45" s="24"/>
      <c r="GM45" s="24"/>
      <c r="GN45" s="24"/>
      <c r="GO45" s="24"/>
      <c r="GP45" s="24"/>
      <c r="GQ45" s="24"/>
      <c r="GR45" s="24"/>
      <c r="GS45" s="24"/>
      <c r="GT45" s="24"/>
      <c r="GU45" s="24"/>
      <c r="GV45" s="24"/>
      <c r="GW45" s="24"/>
      <c r="GX45" s="24"/>
      <c r="GY45" s="24"/>
      <c r="GZ45" s="24"/>
      <c r="HA45" s="24"/>
      <c r="HB45" s="24"/>
      <c r="HC45" s="24"/>
      <c r="HD45" s="24"/>
      <c r="HE45" s="24"/>
      <c r="HF45" s="24"/>
      <c r="HG45" s="24"/>
      <c r="HH45" s="24"/>
      <c r="HI45" s="24"/>
      <c r="HJ45" s="24"/>
      <c r="HK45" s="24"/>
      <c r="HL45" s="24"/>
      <c r="HM45" s="24"/>
      <c r="HN45" s="24"/>
      <c r="HO45" s="24"/>
      <c r="HP45" s="24"/>
      <c r="HQ45" s="24"/>
      <c r="HR45" s="24"/>
      <c r="HS45" s="24"/>
      <c r="HT45" s="24"/>
      <c r="HU45" s="24"/>
      <c r="HV45" s="24"/>
      <c r="HW45" s="24"/>
      <c r="HX45" s="24"/>
      <c r="HY45" s="24"/>
      <c r="HZ45" s="24"/>
      <c r="IA45" s="24"/>
      <c r="IB45" s="24"/>
      <c r="IC45" s="24"/>
      <c r="ID45" s="24"/>
      <c r="IE45" s="24"/>
      <c r="IF45" s="24"/>
      <c r="IG45" s="24"/>
      <c r="IH45" s="24"/>
      <c r="II45" s="24"/>
      <c r="IJ45" s="24"/>
      <c r="IK45" s="24"/>
      <c r="IL45" s="24"/>
      <c r="IM45" s="24"/>
      <c r="IN45" s="24"/>
      <c r="IO45" s="24"/>
      <c r="IP45" s="24"/>
      <c r="IQ45" s="24"/>
      <c r="IR45" s="24"/>
      <c r="IS45" s="45">
        <f t="shared" si="124"/>
        <v>0</v>
      </c>
      <c r="IT45" s="45">
        <f t="shared" si="125"/>
        <v>0</v>
      </c>
      <c r="IU45" s="45"/>
      <c r="IV45" s="45"/>
      <c r="IW45" s="45"/>
      <c r="IX45" s="45"/>
      <c r="IY45" s="45"/>
      <c r="IZ45" s="45"/>
      <c r="JA45" s="45"/>
      <c r="JB45" s="45"/>
      <c r="JC45" s="45"/>
      <c r="JD45" s="45"/>
      <c r="JE45" s="45"/>
      <c r="JF45" s="45"/>
      <c r="JG45" s="45"/>
      <c r="JH45" s="45"/>
      <c r="JI45" s="45"/>
      <c r="JJ45" s="45"/>
      <c r="JK45" s="45"/>
      <c r="JL45" s="45"/>
      <c r="JM45" s="45"/>
      <c r="JN45" s="45"/>
      <c r="JO45" s="45"/>
      <c r="JP45" s="45"/>
      <c r="JQ45" s="45"/>
      <c r="JR45" s="45"/>
      <c r="JS45" s="45"/>
      <c r="JT45" s="45"/>
      <c r="JU45" s="45"/>
      <c r="JV45" s="45"/>
      <c r="JW45" s="45"/>
      <c r="JX45" s="45"/>
      <c r="JY45" s="45"/>
      <c r="JZ45" s="45"/>
      <c r="KA45" s="45"/>
      <c r="KB45" s="45"/>
      <c r="KC45" s="45"/>
      <c r="KD45" s="45"/>
      <c r="KE45" s="45"/>
      <c r="KF45" s="45"/>
      <c r="KG45" s="45"/>
      <c r="KH45" s="45"/>
      <c r="KI45" s="45"/>
      <c r="KJ45" s="45"/>
      <c r="KK45" s="45"/>
      <c r="KL45" s="45"/>
      <c r="KM45" s="45"/>
      <c r="KN45" s="45"/>
      <c r="KO45" s="45"/>
      <c r="KP45" s="45"/>
      <c r="KQ45" s="45"/>
      <c r="KR45" s="45"/>
      <c r="KS45" s="45"/>
      <c r="KT45" s="45"/>
      <c r="KU45" s="45"/>
      <c r="KV45" s="45"/>
      <c r="KW45" s="45"/>
      <c r="KX45" s="45"/>
      <c r="KY45" s="45"/>
      <c r="KZ45" s="45"/>
      <c r="LA45" s="45"/>
      <c r="LB45" s="45"/>
      <c r="LC45" s="45"/>
      <c r="LD45" s="45"/>
      <c r="LE45" s="45">
        <f t="shared" si="126"/>
        <v>0</v>
      </c>
      <c r="LF45" s="45">
        <f t="shared" si="127"/>
        <v>0</v>
      </c>
      <c r="LG45" s="45"/>
      <c r="LH45" s="45"/>
      <c r="LI45" s="45"/>
      <c r="LJ45" s="45"/>
      <c r="LK45" s="45"/>
      <c r="LL45" s="45"/>
      <c r="LM45" s="45"/>
      <c r="LN45" s="45"/>
      <c r="LO45" s="45"/>
      <c r="LP45" s="45"/>
      <c r="LQ45" s="45"/>
      <c r="LR45" s="45"/>
      <c r="LS45" s="45"/>
      <c r="LT45" s="45"/>
      <c r="LU45" s="45"/>
      <c r="LV45" s="45"/>
      <c r="LW45" s="45"/>
      <c r="LX45" s="45"/>
      <c r="LY45" s="45"/>
      <c r="LZ45" s="45"/>
      <c r="MA45" s="45"/>
      <c r="MB45" s="45"/>
      <c r="MC45" s="45"/>
      <c r="MD45" s="45"/>
      <c r="ME45" s="45"/>
      <c r="MF45" s="45"/>
      <c r="MG45" s="45"/>
      <c r="MH45" s="45"/>
      <c r="MI45" s="45"/>
      <c r="MJ45" s="45"/>
      <c r="MK45" s="45"/>
      <c r="ML45" s="45"/>
      <c r="MM45" s="45"/>
      <c r="MN45" s="45"/>
      <c r="MO45" s="45"/>
      <c r="MP45" s="45"/>
      <c r="MQ45" s="45"/>
      <c r="MR45" s="45"/>
      <c r="MS45" s="45"/>
      <c r="MT45" s="45"/>
      <c r="MU45" s="45"/>
      <c r="MV45" s="45"/>
      <c r="MW45" s="45"/>
      <c r="MX45" s="45"/>
      <c r="MY45" s="45"/>
      <c r="MZ45" s="45"/>
      <c r="NA45" s="45"/>
      <c r="NB45" s="45"/>
      <c r="NC45" s="45"/>
      <c r="ND45" s="45"/>
      <c r="NE45" s="45"/>
      <c r="NF45" s="45"/>
      <c r="NG45" s="45"/>
      <c r="NH45" s="45"/>
      <c r="NI45" s="45"/>
      <c r="NJ45" s="45"/>
      <c r="NK45" s="45"/>
      <c r="NL45" s="45"/>
      <c r="NM45" s="45"/>
      <c r="NN45" s="45"/>
      <c r="NO45" s="45">
        <f t="shared" si="128"/>
        <v>0</v>
      </c>
      <c r="NP45" s="45">
        <f t="shared" si="129"/>
        <v>0</v>
      </c>
      <c r="NQ45" s="45"/>
      <c r="NR45" s="45"/>
      <c r="NS45" s="45"/>
      <c r="NT45" s="45"/>
      <c r="NU45" s="45"/>
      <c r="NV45" s="45"/>
      <c r="NW45" s="45"/>
      <c r="NX45" s="45"/>
      <c r="NY45" s="45"/>
      <c r="NZ45" s="45"/>
      <c r="OA45" s="45"/>
      <c r="OB45" s="45"/>
      <c r="OC45" s="45"/>
      <c r="OD45" s="45"/>
      <c r="OE45" s="45"/>
      <c r="OF45" s="45"/>
      <c r="OG45" s="45"/>
      <c r="OH45" s="45"/>
      <c r="OI45" s="45"/>
      <c r="OJ45" s="45"/>
      <c r="OK45" s="45"/>
      <c r="OL45" s="45"/>
      <c r="OM45" s="45"/>
      <c r="ON45" s="45"/>
      <c r="OO45" s="45"/>
      <c r="OP45" s="45"/>
      <c r="OQ45" s="45"/>
      <c r="OR45" s="45"/>
      <c r="OS45" s="45"/>
      <c r="OT45" s="45"/>
      <c r="OU45" s="45"/>
      <c r="OV45" s="45"/>
      <c r="OW45" s="45"/>
      <c r="OX45" s="45"/>
      <c r="OY45" s="45"/>
      <c r="OZ45" s="45"/>
      <c r="PA45" s="45"/>
      <c r="PB45" s="45"/>
      <c r="PC45" s="45"/>
      <c r="PD45" s="45"/>
      <c r="PE45" s="45"/>
      <c r="PF45" s="45"/>
      <c r="PG45" s="45"/>
      <c r="PH45" s="45"/>
      <c r="PI45" s="45"/>
      <c r="PJ45" s="45"/>
      <c r="PK45" s="45"/>
      <c r="PL45" s="45"/>
      <c r="PM45" s="45"/>
      <c r="PN45" s="45"/>
      <c r="PO45" s="45"/>
      <c r="PP45" s="45"/>
      <c r="PQ45" s="45"/>
      <c r="PR45" s="45"/>
      <c r="PS45" s="45"/>
      <c r="PT45" s="45"/>
      <c r="PU45" s="45"/>
      <c r="PV45" s="45"/>
      <c r="PW45" s="45"/>
      <c r="PX45" s="45"/>
      <c r="PY45" s="45"/>
      <c r="PZ45" s="45"/>
      <c r="QA45" s="45">
        <f t="shared" si="130"/>
        <v>0</v>
      </c>
      <c r="QB45" s="45">
        <f t="shared" si="131"/>
        <v>0</v>
      </c>
      <c r="QC45" s="45"/>
      <c r="QD45" s="45"/>
      <c r="QE45" s="45"/>
      <c r="QF45" s="45"/>
      <c r="QG45" s="45"/>
      <c r="QH45" s="45"/>
      <c r="QI45" s="45"/>
      <c r="QJ45" s="45"/>
      <c r="QK45" s="45"/>
      <c r="QL45" s="45"/>
      <c r="QM45" s="45"/>
      <c r="QN45" s="45"/>
      <c r="QO45" s="45"/>
      <c r="QP45" s="45"/>
      <c r="QQ45" s="45"/>
      <c r="QR45" s="45"/>
      <c r="QS45" s="45"/>
      <c r="QT45" s="45"/>
      <c r="QU45" s="45"/>
      <c r="QV45" s="45"/>
      <c r="QW45" s="45"/>
      <c r="QX45" s="45"/>
      <c r="QY45" s="45"/>
      <c r="QZ45" s="45"/>
      <c r="RA45" s="45"/>
      <c r="RB45" s="45"/>
      <c r="RC45" s="45"/>
      <c r="RD45" s="45"/>
      <c r="RE45" s="45"/>
      <c r="RF45" s="45"/>
      <c r="RG45" s="45"/>
      <c r="RH45" s="45"/>
      <c r="RI45" s="45"/>
      <c r="RJ45" s="45"/>
      <c r="RK45" s="45"/>
      <c r="RL45" s="45"/>
      <c r="RM45" s="45"/>
      <c r="RN45" s="45"/>
      <c r="RO45" s="45"/>
      <c r="RP45" s="45"/>
      <c r="RQ45" s="45"/>
      <c r="RR45" s="45"/>
      <c r="RS45" s="45"/>
      <c r="RT45" s="45"/>
      <c r="RU45" s="45"/>
      <c r="RV45" s="45"/>
      <c r="RW45" s="45"/>
      <c r="RX45" s="45"/>
      <c r="RY45" s="45"/>
      <c r="RZ45" s="45"/>
      <c r="SA45" s="45"/>
      <c r="SB45" s="45"/>
      <c r="SC45" s="45"/>
      <c r="SD45" s="45"/>
      <c r="SE45" s="45"/>
      <c r="SF45" s="45"/>
      <c r="SG45" s="45"/>
      <c r="SH45" s="45"/>
      <c r="SI45" s="45"/>
      <c r="SJ45" s="45"/>
      <c r="SK45" s="45"/>
      <c r="SL45" s="45"/>
      <c r="SM45" s="45">
        <f t="shared" si="132"/>
        <v>0</v>
      </c>
      <c r="SN45" s="45">
        <f t="shared" si="133"/>
        <v>0</v>
      </c>
      <c r="SO45" s="24"/>
      <c r="SP45" s="24"/>
      <c r="SQ45" s="24"/>
      <c r="SR45" s="24"/>
      <c r="SS45" s="24"/>
      <c r="ST45" s="24"/>
      <c r="SU45" s="24"/>
      <c r="SV45" s="24"/>
      <c r="SW45" s="24"/>
      <c r="SX45" s="24"/>
      <c r="SY45" s="24"/>
      <c r="SZ45" s="24"/>
      <c r="TA45" s="24"/>
      <c r="TB45" s="24"/>
      <c r="TC45" s="24"/>
      <c r="TD45" s="24"/>
      <c r="TE45" s="24"/>
      <c r="TF45" s="24"/>
      <c r="TG45" s="24"/>
      <c r="TH45" s="24"/>
      <c r="TI45" s="24"/>
      <c r="TJ45" s="24"/>
      <c r="TK45" s="24"/>
      <c r="TL45" s="24"/>
      <c r="TM45" s="24"/>
      <c r="TN45" s="24"/>
      <c r="TO45" s="24"/>
      <c r="TP45" s="24"/>
      <c r="TQ45" s="24"/>
      <c r="TR45" s="24"/>
      <c r="TS45" s="24"/>
      <c r="TT45" s="24"/>
      <c r="TU45" s="24"/>
      <c r="TV45" s="24"/>
      <c r="TW45" s="24"/>
      <c r="TX45" s="24"/>
      <c r="TY45" s="24"/>
      <c r="TZ45" s="24"/>
      <c r="UA45" s="24"/>
      <c r="UB45" s="24"/>
      <c r="UC45" s="24"/>
      <c r="UD45" s="24"/>
      <c r="UE45" s="24"/>
      <c r="UF45" s="24"/>
      <c r="UG45" s="24"/>
      <c r="UH45" s="24"/>
      <c r="UI45" s="24"/>
      <c r="UJ45" s="24"/>
      <c r="UK45" s="24"/>
      <c r="UL45" s="24"/>
      <c r="UM45" s="24"/>
      <c r="UN45" s="24"/>
      <c r="UO45" s="24"/>
      <c r="UP45" s="24"/>
      <c r="UQ45" s="24"/>
      <c r="UR45" s="24"/>
      <c r="US45" s="24"/>
      <c r="UT45" s="24"/>
      <c r="UU45" s="24"/>
      <c r="UV45" s="24"/>
      <c r="UW45" s="45">
        <f t="shared" si="134"/>
        <v>0</v>
      </c>
      <c r="UX45" s="45">
        <f t="shared" si="135"/>
        <v>0</v>
      </c>
      <c r="UY45" s="45"/>
      <c r="UZ45" s="45"/>
      <c r="VA45" s="45"/>
      <c r="VB45" s="45"/>
      <c r="VC45" s="45"/>
      <c r="VD45" s="45"/>
      <c r="VE45" s="45"/>
      <c r="VF45" s="45"/>
      <c r="VG45" s="45"/>
      <c r="VH45" s="45"/>
      <c r="VI45" s="45"/>
      <c r="VJ45" s="45"/>
      <c r="VK45" s="45"/>
      <c r="VL45" s="45"/>
      <c r="VM45" s="45"/>
      <c r="VN45" s="45"/>
      <c r="VO45" s="45"/>
      <c r="VP45" s="45"/>
      <c r="VQ45" s="45"/>
      <c r="VR45" s="45"/>
      <c r="VS45" s="45"/>
      <c r="VT45" s="45"/>
      <c r="VU45" s="45"/>
      <c r="VV45" s="45"/>
      <c r="VW45" s="45"/>
      <c r="VX45" s="45"/>
      <c r="VY45" s="45"/>
      <c r="VZ45" s="45"/>
      <c r="WA45" s="45"/>
      <c r="WB45" s="45"/>
      <c r="WC45" s="45"/>
      <c r="WD45" s="45"/>
      <c r="WE45" s="45"/>
      <c r="WF45" s="45"/>
      <c r="WG45" s="45"/>
      <c r="WH45" s="45"/>
      <c r="WI45" s="45"/>
      <c r="WJ45" s="45"/>
      <c r="WK45" s="45"/>
      <c r="WL45" s="45"/>
      <c r="WM45" s="45"/>
      <c r="WN45" s="45"/>
      <c r="WO45" s="45"/>
      <c r="WP45" s="45"/>
      <c r="WQ45" s="45"/>
      <c r="WR45" s="45"/>
      <c r="WS45" s="45"/>
      <c r="WT45" s="45"/>
      <c r="WU45" s="45"/>
      <c r="WV45" s="45"/>
      <c r="WW45" s="45"/>
      <c r="WX45" s="45"/>
      <c r="WY45" s="45"/>
      <c r="WZ45" s="45"/>
      <c r="XA45" s="45"/>
      <c r="XB45" s="45"/>
      <c r="XC45" s="45"/>
      <c r="XD45" s="45"/>
      <c r="XE45" s="45"/>
      <c r="XF45" s="45"/>
      <c r="XG45" s="45"/>
      <c r="XH45" s="45"/>
      <c r="XI45" s="45">
        <f t="shared" si="136"/>
        <v>0</v>
      </c>
      <c r="XJ45" s="45">
        <f t="shared" si="137"/>
        <v>0</v>
      </c>
      <c r="XK45" s="45"/>
      <c r="XL45" s="45"/>
      <c r="XM45" s="45"/>
      <c r="XN45" s="45"/>
      <c r="XO45" s="45"/>
      <c r="XP45" s="45"/>
      <c r="XQ45" s="45"/>
      <c r="XR45" s="45"/>
      <c r="XS45" s="45"/>
      <c r="XT45" s="45"/>
      <c r="XU45" s="45"/>
      <c r="XV45" s="45"/>
      <c r="XW45" s="45"/>
      <c r="XX45" s="45"/>
      <c r="XY45" s="45"/>
      <c r="XZ45" s="45"/>
      <c r="YA45" s="45"/>
      <c r="YB45" s="45"/>
      <c r="YC45" s="45"/>
      <c r="YD45" s="45"/>
      <c r="YE45" s="45"/>
      <c r="YF45" s="45"/>
      <c r="YG45" s="45"/>
      <c r="YH45" s="45"/>
      <c r="YI45" s="45"/>
      <c r="YJ45" s="45"/>
      <c r="YK45" s="45"/>
      <c r="YL45" s="45"/>
      <c r="YM45" s="45"/>
      <c r="YN45" s="45"/>
      <c r="YO45" s="45"/>
      <c r="YP45" s="45"/>
      <c r="YQ45" s="45"/>
      <c r="YR45" s="45"/>
      <c r="YS45" s="45"/>
      <c r="YT45" s="45"/>
      <c r="YU45" s="45"/>
      <c r="YV45" s="45"/>
      <c r="YW45" s="45"/>
      <c r="YX45" s="45"/>
      <c r="YY45" s="45"/>
      <c r="YZ45" s="45"/>
      <c r="ZA45" s="45"/>
      <c r="ZB45" s="45"/>
      <c r="ZC45" s="45"/>
      <c r="ZD45" s="45"/>
      <c r="ZE45" s="45"/>
      <c r="ZF45" s="45"/>
      <c r="ZG45" s="45"/>
      <c r="ZH45" s="45"/>
      <c r="ZI45" s="45"/>
      <c r="ZJ45" s="45"/>
      <c r="ZK45" s="45"/>
      <c r="ZL45" s="45"/>
      <c r="ZM45" s="45"/>
      <c r="ZN45" s="45"/>
      <c r="ZO45" s="45"/>
      <c r="ZP45" s="45"/>
      <c r="ZQ45" s="45"/>
      <c r="ZR45" s="45"/>
      <c r="ZS45" s="45">
        <f t="shared" si="138"/>
        <v>0</v>
      </c>
      <c r="ZT45" s="45">
        <f t="shared" si="139"/>
        <v>0</v>
      </c>
      <c r="ZU45" s="45"/>
      <c r="ZV45" s="45"/>
      <c r="ZW45" s="45"/>
      <c r="ZX45" s="45"/>
      <c r="ZY45" s="45"/>
      <c r="ZZ45" s="45"/>
      <c r="AAA45" s="45"/>
      <c r="AAB45" s="45"/>
      <c r="AAC45" s="45"/>
      <c r="AAD45" s="45"/>
      <c r="AAE45" s="45"/>
      <c r="AAF45" s="45"/>
      <c r="AAG45" s="45"/>
      <c r="AAH45" s="45"/>
      <c r="AAI45" s="45"/>
      <c r="AAJ45" s="45"/>
      <c r="AAK45" s="45"/>
      <c r="AAL45" s="45"/>
      <c r="AAM45" s="45"/>
      <c r="AAN45" s="45"/>
      <c r="AAO45" s="45"/>
      <c r="AAP45" s="45"/>
      <c r="AAQ45" s="45"/>
      <c r="AAR45" s="45"/>
      <c r="AAS45" s="45"/>
      <c r="AAT45" s="45"/>
      <c r="AAU45" s="45"/>
      <c r="AAV45" s="45"/>
      <c r="AAW45" s="45"/>
      <c r="AAX45" s="45"/>
      <c r="AAY45" s="45"/>
      <c r="AAZ45" s="45"/>
      <c r="ABA45" s="45"/>
      <c r="ABB45" s="45"/>
      <c r="ABC45" s="45"/>
      <c r="ABD45" s="45"/>
      <c r="ABE45" s="45"/>
      <c r="ABF45" s="45"/>
      <c r="ABG45" s="45"/>
      <c r="ABH45" s="45"/>
      <c r="ABI45" s="45"/>
      <c r="ABJ45" s="45"/>
      <c r="ABK45" s="45"/>
      <c r="ABL45" s="45"/>
      <c r="ABM45" s="45"/>
      <c r="ABN45" s="45"/>
      <c r="ABO45" s="45"/>
      <c r="ABP45" s="45"/>
      <c r="ABQ45" s="45"/>
      <c r="ABR45" s="45"/>
      <c r="ABS45" s="45"/>
      <c r="ABT45" s="45"/>
      <c r="ABU45" s="45"/>
      <c r="ABV45" s="45"/>
      <c r="ABW45" s="45"/>
      <c r="ABX45" s="45"/>
      <c r="ABY45" s="45"/>
      <c r="ABZ45" s="45"/>
      <c r="ACA45" s="45"/>
      <c r="ACB45" s="45"/>
      <c r="ACC45" s="45"/>
      <c r="ACD45" s="45"/>
      <c r="ACE45" s="45">
        <f t="shared" si="140"/>
        <v>0</v>
      </c>
      <c r="ACF45" s="45"/>
      <c r="ACG45" s="45">
        <f t="shared" si="141"/>
        <v>0</v>
      </c>
      <c r="ACH45" s="55"/>
      <c r="ACI45" s="71" t="s">
        <v>151</v>
      </c>
      <c r="ACJ45" s="71" t="s">
        <v>89</v>
      </c>
    </row>
    <row r="46" spans="1:764" ht="16.5" thickBot="1" x14ac:dyDescent="0.3">
      <c r="A46" s="163"/>
      <c r="B46" s="164" t="s">
        <v>37</v>
      </c>
      <c r="C46" s="165"/>
      <c r="D46" s="166"/>
      <c r="E46" s="48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>
        <f>SUM(BO36:BO45)</f>
        <v>7191.45</v>
      </c>
      <c r="BP46" s="39">
        <f>SUM(BP36:BP45)</f>
        <v>7198.18</v>
      </c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>
        <f>SUM(DW36:DW45)</f>
        <v>6017.8499999999995</v>
      </c>
      <c r="DX46" s="39">
        <f>SUM(DX36:DX45)</f>
        <v>6049.6700000000019</v>
      </c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>
        <f>SUM(GI36:GI45)</f>
        <v>7627.93</v>
      </c>
      <c r="GJ46" s="39">
        <f>SUM(GJ36:GJ45)</f>
        <v>7658.6099999999988</v>
      </c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>
        <f>SUM(IS36:IS45)</f>
        <v>7866.9</v>
      </c>
      <c r="IT46" s="39">
        <f>SUM(IT36:IT45)</f>
        <v>7491.0919999999987</v>
      </c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  <c r="JP46" s="39"/>
      <c r="JQ46" s="39"/>
      <c r="JR46" s="39"/>
      <c r="JS46" s="39"/>
      <c r="JT46" s="39"/>
      <c r="JU46" s="39"/>
      <c r="JV46" s="39"/>
      <c r="JW46" s="39"/>
      <c r="JX46" s="39"/>
      <c r="JY46" s="39"/>
      <c r="JZ46" s="39"/>
      <c r="KA46" s="39"/>
      <c r="KB46" s="39"/>
      <c r="KC46" s="39"/>
      <c r="KD46" s="39"/>
      <c r="KE46" s="39"/>
      <c r="KF46" s="39"/>
      <c r="KG46" s="39"/>
      <c r="KH46" s="39"/>
      <c r="KI46" s="39"/>
      <c r="KJ46" s="39"/>
      <c r="KK46" s="39"/>
      <c r="KL46" s="39"/>
      <c r="KM46" s="39"/>
      <c r="KN46" s="39"/>
      <c r="KO46" s="39"/>
      <c r="KP46" s="39"/>
      <c r="KQ46" s="39"/>
      <c r="KR46" s="39"/>
      <c r="KS46" s="39"/>
      <c r="KT46" s="39"/>
      <c r="KU46" s="39"/>
      <c r="KV46" s="39"/>
      <c r="KW46" s="39"/>
      <c r="KX46" s="39"/>
      <c r="KY46" s="39"/>
      <c r="KZ46" s="39"/>
      <c r="LA46" s="39"/>
      <c r="LB46" s="39"/>
      <c r="LC46" s="39"/>
      <c r="LD46" s="39"/>
      <c r="LE46" s="39">
        <f>SUM(LE36:LE45)</f>
        <v>3607.65</v>
      </c>
      <c r="LF46" s="39">
        <f>SUM(LF36:LF45)</f>
        <v>3623.4500000000003</v>
      </c>
      <c r="LG46" s="39"/>
      <c r="LH46" s="39"/>
      <c r="LI46" s="39"/>
      <c r="LJ46" s="39"/>
      <c r="LK46" s="39"/>
      <c r="LL46" s="39"/>
      <c r="LM46" s="39"/>
      <c r="LN46" s="39"/>
      <c r="LO46" s="39"/>
      <c r="LP46" s="39"/>
      <c r="LQ46" s="39"/>
      <c r="LR46" s="39"/>
      <c r="LS46" s="39"/>
      <c r="LT46" s="39"/>
      <c r="LU46" s="39"/>
      <c r="LV46" s="39"/>
      <c r="LW46" s="39"/>
      <c r="LX46" s="39"/>
      <c r="LY46" s="39"/>
      <c r="LZ46" s="39"/>
      <c r="MA46" s="39"/>
      <c r="MB46" s="39"/>
      <c r="MC46" s="39"/>
      <c r="MD46" s="39"/>
      <c r="ME46" s="39"/>
      <c r="MF46" s="39"/>
      <c r="MG46" s="39"/>
      <c r="MH46" s="39"/>
      <c r="MI46" s="39"/>
      <c r="MJ46" s="39"/>
      <c r="MK46" s="39"/>
      <c r="ML46" s="39"/>
      <c r="MM46" s="39"/>
      <c r="MN46" s="39"/>
      <c r="MO46" s="39"/>
      <c r="MP46" s="39"/>
      <c r="MQ46" s="39"/>
      <c r="MR46" s="39"/>
      <c r="MS46" s="39"/>
      <c r="MT46" s="39"/>
      <c r="MU46" s="39"/>
      <c r="MV46" s="39"/>
      <c r="MW46" s="39"/>
      <c r="MX46" s="39"/>
      <c r="MY46" s="39"/>
      <c r="MZ46" s="39"/>
      <c r="NA46" s="39"/>
      <c r="NB46" s="39"/>
      <c r="NC46" s="39"/>
      <c r="ND46" s="39"/>
      <c r="NE46" s="39"/>
      <c r="NF46" s="39"/>
      <c r="NG46" s="39"/>
      <c r="NH46" s="39"/>
      <c r="NI46" s="39"/>
      <c r="NJ46" s="39"/>
      <c r="NK46" s="39"/>
      <c r="NL46" s="39"/>
      <c r="NM46" s="39"/>
      <c r="NN46" s="39"/>
      <c r="NO46" s="39">
        <f>SUM(NO36:NO45)</f>
        <v>0</v>
      </c>
      <c r="NP46" s="39">
        <f>SUM(NP36:NP45)</f>
        <v>0</v>
      </c>
      <c r="NQ46" s="39"/>
      <c r="NR46" s="39"/>
      <c r="NS46" s="39"/>
      <c r="NT46" s="39"/>
      <c r="NU46" s="39"/>
      <c r="NV46" s="39"/>
      <c r="NW46" s="39"/>
      <c r="NX46" s="39"/>
      <c r="NY46" s="39"/>
      <c r="NZ46" s="39"/>
      <c r="OA46" s="39"/>
      <c r="OB46" s="39"/>
      <c r="OC46" s="39"/>
      <c r="OD46" s="39"/>
      <c r="OE46" s="39"/>
      <c r="OF46" s="39"/>
      <c r="OG46" s="39"/>
      <c r="OH46" s="39"/>
      <c r="OI46" s="39"/>
      <c r="OJ46" s="39"/>
      <c r="OK46" s="39"/>
      <c r="OL46" s="39"/>
      <c r="OM46" s="39"/>
      <c r="ON46" s="39"/>
      <c r="OO46" s="39"/>
      <c r="OP46" s="39"/>
      <c r="OQ46" s="39"/>
      <c r="OR46" s="39"/>
      <c r="OS46" s="39"/>
      <c r="OT46" s="39"/>
      <c r="OU46" s="39"/>
      <c r="OV46" s="39"/>
      <c r="OW46" s="39"/>
      <c r="OX46" s="39"/>
      <c r="OY46" s="39"/>
      <c r="OZ46" s="39"/>
      <c r="PA46" s="39"/>
      <c r="PB46" s="39"/>
      <c r="PC46" s="39"/>
      <c r="PD46" s="39"/>
      <c r="PE46" s="39"/>
      <c r="PF46" s="39"/>
      <c r="PG46" s="39"/>
      <c r="PH46" s="39"/>
      <c r="PI46" s="39"/>
      <c r="PJ46" s="39"/>
      <c r="PK46" s="39"/>
      <c r="PL46" s="39"/>
      <c r="PM46" s="39"/>
      <c r="PN46" s="39"/>
      <c r="PO46" s="39"/>
      <c r="PP46" s="39"/>
      <c r="PQ46" s="39"/>
      <c r="PR46" s="39"/>
      <c r="PS46" s="39"/>
      <c r="PT46" s="39"/>
      <c r="PU46" s="39"/>
      <c r="PV46" s="39"/>
      <c r="PW46" s="39"/>
      <c r="PX46" s="39"/>
      <c r="PY46" s="39"/>
      <c r="PZ46" s="39"/>
      <c r="QA46" s="39">
        <f>SUM(QA36:QA45)</f>
        <v>0</v>
      </c>
      <c r="QB46" s="39">
        <f>SUM(QB36:QB45)</f>
        <v>0</v>
      </c>
      <c r="QC46" s="39"/>
      <c r="QD46" s="39"/>
      <c r="QE46" s="39"/>
      <c r="QF46" s="39"/>
      <c r="QG46" s="39"/>
      <c r="QH46" s="39"/>
      <c r="QI46" s="39"/>
      <c r="QJ46" s="39"/>
      <c r="QK46" s="39"/>
      <c r="QL46" s="39"/>
      <c r="QM46" s="39"/>
      <c r="QN46" s="39"/>
      <c r="QO46" s="39"/>
      <c r="QP46" s="39"/>
      <c r="QQ46" s="39"/>
      <c r="QR46" s="39"/>
      <c r="QS46" s="39"/>
      <c r="QT46" s="39"/>
      <c r="QU46" s="39"/>
      <c r="QV46" s="39"/>
      <c r="QW46" s="39"/>
      <c r="QX46" s="39"/>
      <c r="QY46" s="39"/>
      <c r="QZ46" s="39"/>
      <c r="RA46" s="39"/>
      <c r="RB46" s="39"/>
      <c r="RC46" s="39"/>
      <c r="RD46" s="39"/>
      <c r="RE46" s="39"/>
      <c r="RF46" s="39"/>
      <c r="RG46" s="39"/>
      <c r="RH46" s="39"/>
      <c r="RI46" s="39"/>
      <c r="RJ46" s="39"/>
      <c r="RK46" s="39"/>
      <c r="RL46" s="39"/>
      <c r="RM46" s="39"/>
      <c r="RN46" s="39"/>
      <c r="RO46" s="39"/>
      <c r="RP46" s="39"/>
      <c r="RQ46" s="39"/>
      <c r="RR46" s="39"/>
      <c r="RS46" s="39"/>
      <c r="RT46" s="39"/>
      <c r="RU46" s="39"/>
      <c r="RV46" s="39"/>
      <c r="RW46" s="39"/>
      <c r="RX46" s="39"/>
      <c r="RY46" s="39"/>
      <c r="RZ46" s="39"/>
      <c r="SA46" s="39"/>
      <c r="SB46" s="39"/>
      <c r="SC46" s="39"/>
      <c r="SD46" s="39"/>
      <c r="SE46" s="39"/>
      <c r="SF46" s="39"/>
      <c r="SG46" s="39"/>
      <c r="SH46" s="39"/>
      <c r="SI46" s="39"/>
      <c r="SJ46" s="39"/>
      <c r="SK46" s="39"/>
      <c r="SL46" s="39"/>
      <c r="SM46" s="39">
        <f>SUM(SM36:SM45)</f>
        <v>0</v>
      </c>
      <c r="SN46" s="39">
        <f>SUM(SN36:SN45)</f>
        <v>0</v>
      </c>
      <c r="SO46" s="39"/>
      <c r="SP46" s="39"/>
      <c r="SQ46" s="39"/>
      <c r="SR46" s="39"/>
      <c r="SS46" s="39"/>
      <c r="ST46" s="39"/>
      <c r="SU46" s="39"/>
      <c r="SV46" s="39"/>
      <c r="SW46" s="39"/>
      <c r="SX46" s="39"/>
      <c r="SY46" s="39"/>
      <c r="SZ46" s="39"/>
      <c r="TA46" s="39"/>
      <c r="TB46" s="39"/>
      <c r="TC46" s="39"/>
      <c r="TD46" s="39"/>
      <c r="TE46" s="39"/>
      <c r="TF46" s="39"/>
      <c r="TG46" s="39"/>
      <c r="TH46" s="39"/>
      <c r="TI46" s="39"/>
      <c r="TJ46" s="39"/>
      <c r="TK46" s="39"/>
      <c r="TL46" s="39"/>
      <c r="TM46" s="39"/>
      <c r="TN46" s="39"/>
      <c r="TO46" s="39"/>
      <c r="TP46" s="39"/>
      <c r="TQ46" s="39"/>
      <c r="TR46" s="39"/>
      <c r="TS46" s="39"/>
      <c r="TT46" s="39"/>
      <c r="TU46" s="39"/>
      <c r="TV46" s="39"/>
      <c r="TW46" s="39"/>
      <c r="TX46" s="39"/>
      <c r="TY46" s="39"/>
      <c r="TZ46" s="39"/>
      <c r="UA46" s="39"/>
      <c r="UB46" s="39"/>
      <c r="UC46" s="39"/>
      <c r="UD46" s="39"/>
      <c r="UE46" s="39"/>
      <c r="UF46" s="39"/>
      <c r="UG46" s="39"/>
      <c r="UH46" s="39"/>
      <c r="UI46" s="39"/>
      <c r="UJ46" s="39"/>
      <c r="UK46" s="39"/>
      <c r="UL46" s="39"/>
      <c r="UM46" s="39"/>
      <c r="UN46" s="39"/>
      <c r="UO46" s="39"/>
      <c r="UP46" s="39"/>
      <c r="UQ46" s="39"/>
      <c r="UR46" s="39"/>
      <c r="US46" s="39"/>
      <c r="UT46" s="39"/>
      <c r="UU46" s="39"/>
      <c r="UV46" s="39"/>
      <c r="UW46" s="39">
        <f>SUM(UW36:UW45)</f>
        <v>0</v>
      </c>
      <c r="UX46" s="39">
        <f>SUM(UX36:UX45)</f>
        <v>0</v>
      </c>
      <c r="UY46" s="39"/>
      <c r="UZ46" s="39"/>
      <c r="VA46" s="39"/>
      <c r="VB46" s="39"/>
      <c r="VC46" s="39"/>
      <c r="VD46" s="39"/>
      <c r="VE46" s="39"/>
      <c r="VF46" s="39"/>
      <c r="VG46" s="39"/>
      <c r="VH46" s="39"/>
      <c r="VI46" s="39"/>
      <c r="VJ46" s="39"/>
      <c r="VK46" s="39"/>
      <c r="VL46" s="39"/>
      <c r="VM46" s="39"/>
      <c r="VN46" s="39"/>
      <c r="VO46" s="39"/>
      <c r="VP46" s="39"/>
      <c r="VQ46" s="39"/>
      <c r="VR46" s="39"/>
      <c r="VS46" s="39"/>
      <c r="VT46" s="39"/>
      <c r="VU46" s="39"/>
      <c r="VV46" s="39"/>
      <c r="VW46" s="39"/>
      <c r="VX46" s="39"/>
      <c r="VY46" s="39"/>
      <c r="VZ46" s="39"/>
      <c r="WA46" s="39"/>
      <c r="WB46" s="39"/>
      <c r="WC46" s="39"/>
      <c r="WD46" s="39"/>
      <c r="WE46" s="39"/>
      <c r="WF46" s="39"/>
      <c r="WG46" s="39"/>
      <c r="WH46" s="39"/>
      <c r="WI46" s="39"/>
      <c r="WJ46" s="39"/>
      <c r="WK46" s="39"/>
      <c r="WL46" s="39"/>
      <c r="WM46" s="39"/>
      <c r="WN46" s="39"/>
      <c r="WO46" s="39"/>
      <c r="WP46" s="39"/>
      <c r="WQ46" s="39"/>
      <c r="WR46" s="39"/>
      <c r="WS46" s="39"/>
      <c r="WT46" s="39"/>
      <c r="WU46" s="39"/>
      <c r="WV46" s="39"/>
      <c r="WW46" s="39"/>
      <c r="WX46" s="39"/>
      <c r="WY46" s="39"/>
      <c r="WZ46" s="39"/>
      <c r="XA46" s="39"/>
      <c r="XB46" s="39"/>
      <c r="XC46" s="39"/>
      <c r="XD46" s="39"/>
      <c r="XE46" s="39"/>
      <c r="XF46" s="39"/>
      <c r="XG46" s="39"/>
      <c r="XH46" s="39"/>
      <c r="XI46" s="39">
        <f>SUM(XI36:XI45)</f>
        <v>0</v>
      </c>
      <c r="XJ46" s="39">
        <f>SUM(XJ36:XJ45)</f>
        <v>0</v>
      </c>
      <c r="XK46" s="39"/>
      <c r="XL46" s="39"/>
      <c r="XM46" s="39"/>
      <c r="XN46" s="39"/>
      <c r="XO46" s="39"/>
      <c r="XP46" s="39"/>
      <c r="XQ46" s="39"/>
      <c r="XR46" s="39"/>
      <c r="XS46" s="39"/>
      <c r="XT46" s="39"/>
      <c r="XU46" s="39"/>
      <c r="XV46" s="39"/>
      <c r="XW46" s="39"/>
      <c r="XX46" s="39"/>
      <c r="XY46" s="39"/>
      <c r="XZ46" s="39"/>
      <c r="YA46" s="39"/>
      <c r="YB46" s="39"/>
      <c r="YC46" s="39"/>
      <c r="YD46" s="39"/>
      <c r="YE46" s="39"/>
      <c r="YF46" s="39"/>
      <c r="YG46" s="39"/>
      <c r="YH46" s="39"/>
      <c r="YI46" s="39"/>
      <c r="YJ46" s="39"/>
      <c r="YK46" s="39"/>
      <c r="YL46" s="39"/>
      <c r="YM46" s="39"/>
      <c r="YN46" s="39"/>
      <c r="YO46" s="39"/>
      <c r="YP46" s="39"/>
      <c r="YQ46" s="39"/>
      <c r="YR46" s="39"/>
      <c r="YS46" s="39"/>
      <c r="YT46" s="39"/>
      <c r="YU46" s="39"/>
      <c r="YV46" s="39"/>
      <c r="YW46" s="39"/>
      <c r="YX46" s="39"/>
      <c r="YY46" s="39"/>
      <c r="YZ46" s="39"/>
      <c r="ZA46" s="39"/>
      <c r="ZB46" s="39"/>
      <c r="ZC46" s="39"/>
      <c r="ZD46" s="39"/>
      <c r="ZE46" s="39"/>
      <c r="ZF46" s="39"/>
      <c r="ZG46" s="39"/>
      <c r="ZH46" s="39"/>
      <c r="ZI46" s="39"/>
      <c r="ZJ46" s="39"/>
      <c r="ZK46" s="39"/>
      <c r="ZL46" s="39"/>
      <c r="ZM46" s="39"/>
      <c r="ZN46" s="39"/>
      <c r="ZO46" s="39"/>
      <c r="ZP46" s="39"/>
      <c r="ZQ46" s="39"/>
      <c r="ZR46" s="39"/>
      <c r="ZS46" s="39">
        <f>SUM(ZS36:ZS45)</f>
        <v>0</v>
      </c>
      <c r="ZT46" s="39">
        <f>SUM(ZT36:ZT45)</f>
        <v>0</v>
      </c>
      <c r="ZU46" s="39"/>
      <c r="ZV46" s="39"/>
      <c r="ZW46" s="39"/>
      <c r="ZX46" s="39"/>
      <c r="ZY46" s="39"/>
      <c r="ZZ46" s="39"/>
      <c r="AAA46" s="39"/>
      <c r="AAB46" s="39"/>
      <c r="AAC46" s="39"/>
      <c r="AAD46" s="39"/>
      <c r="AAE46" s="39"/>
      <c r="AAF46" s="39"/>
      <c r="AAG46" s="39"/>
      <c r="AAH46" s="39"/>
      <c r="AAI46" s="39"/>
      <c r="AAJ46" s="39"/>
      <c r="AAK46" s="39"/>
      <c r="AAL46" s="39"/>
      <c r="AAM46" s="39"/>
      <c r="AAN46" s="39"/>
      <c r="AAO46" s="39"/>
      <c r="AAP46" s="39"/>
      <c r="AAQ46" s="39"/>
      <c r="AAR46" s="39"/>
      <c r="AAS46" s="39"/>
      <c r="AAT46" s="39"/>
      <c r="AAU46" s="39"/>
      <c r="AAV46" s="39"/>
      <c r="AAW46" s="39"/>
      <c r="AAX46" s="39"/>
      <c r="AAY46" s="39"/>
      <c r="AAZ46" s="39"/>
      <c r="ABA46" s="39"/>
      <c r="ABB46" s="39"/>
      <c r="ABC46" s="39"/>
      <c r="ABD46" s="39"/>
      <c r="ABE46" s="39"/>
      <c r="ABF46" s="39"/>
      <c r="ABG46" s="39"/>
      <c r="ABH46" s="39"/>
      <c r="ABI46" s="39"/>
      <c r="ABJ46" s="39"/>
      <c r="ABK46" s="39"/>
      <c r="ABL46" s="39"/>
      <c r="ABM46" s="39"/>
      <c r="ABN46" s="39"/>
      <c r="ABO46" s="39"/>
      <c r="ABP46" s="39"/>
      <c r="ABQ46" s="39"/>
      <c r="ABR46" s="39"/>
      <c r="ABS46" s="39"/>
      <c r="ABT46" s="39"/>
      <c r="ABU46" s="39"/>
      <c r="ABV46" s="39"/>
      <c r="ABW46" s="39"/>
      <c r="ABX46" s="39"/>
      <c r="ABY46" s="39"/>
      <c r="ABZ46" s="39"/>
      <c r="ACA46" s="39"/>
      <c r="ACB46" s="39"/>
      <c r="ACC46" s="39"/>
      <c r="ACD46" s="39"/>
      <c r="ACE46" s="39">
        <f>SUM(ACE36:ACE45)</f>
        <v>0</v>
      </c>
      <c r="ACF46" s="39"/>
      <c r="ACG46" s="39">
        <f>SUM(ACG36:ACG45)</f>
        <v>32311.78</v>
      </c>
      <c r="ACH46" s="40"/>
      <c r="ACI46" s="71" t="s">
        <v>223</v>
      </c>
      <c r="ACJ46" s="71" t="s">
        <v>37</v>
      </c>
    </row>
    <row r="47" spans="1:764" x14ac:dyDescent="0.25">
      <c r="A47" s="161">
        <v>5</v>
      </c>
      <c r="B47" s="151" t="s">
        <v>90</v>
      </c>
      <c r="C47" s="154" t="s">
        <v>3</v>
      </c>
      <c r="D47" s="49" t="s">
        <v>6</v>
      </c>
      <c r="E47" s="72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43" cm="1">
        <f t="array" ref="BO47">SUMPRODUCT(E47:BM47,--(E$2:BM$2=BO$2))</f>
        <v>0</v>
      </c>
      <c r="BP47" s="43" cm="1">
        <f t="array" ref="BP47">SUMPRODUCT(F47:BN47,--(F$2:BN$2=BP$2))</f>
        <v>0</v>
      </c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 cm="1">
        <f t="array" ref="DW47">SUMPRODUCT(BQ47:DU47,--(BQ$2:DU$2=DW$2))</f>
        <v>0</v>
      </c>
      <c r="DX47" s="43" cm="1">
        <f t="array" ref="DX47">SUMPRODUCT(BR47:DV47,--(BR$2:DV$2=DX$2))</f>
        <v>0</v>
      </c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 cm="1">
        <f t="array" ref="GI47">SUMPRODUCT(DY47:GG47,--(DY$2:GG$2=GI$2))</f>
        <v>0</v>
      </c>
      <c r="GJ47" s="43" cm="1">
        <f t="array" ref="GJ47">SUMPRODUCT(DZ47:GH47,--(DZ$2:GH$2=GJ$2))</f>
        <v>0</v>
      </c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>
        <f>GK47+GM47+GO47+GQ47+GS47+GU47+GW47+GY47+HA47+HC47+HE47+HG47+HI47+HK47+HM47+HO47+HQ47+HS47+HU47+HW47+HY47+IA47+IC47+IE47+IG47+II47+IK47+IM47+IO47+IQ47</f>
        <v>0</v>
      </c>
      <c r="IT47" s="43">
        <f>GL47+GN47+GP47+GR47+GT47+GV47+GX47+GZ47+HB47+HD47+HF47+HH47+HJ47+HL47+HN47+HP47+HR47+HT47+HV47+HX47+HZ47+IB47+ID47+IF47+IH47+IJ47+IL47+IN47+IP47+IR47</f>
        <v>0</v>
      </c>
      <c r="IU47" s="43"/>
      <c r="IV47" s="43"/>
      <c r="IW47" s="43"/>
      <c r="IX47" s="43"/>
      <c r="IY47" s="43"/>
      <c r="IZ47" s="43"/>
      <c r="JA47" s="43"/>
      <c r="JB47" s="43"/>
      <c r="JC47" s="43"/>
      <c r="JD47" s="43"/>
      <c r="JE47" s="43"/>
      <c r="JF47" s="43"/>
      <c r="JG47" s="43"/>
      <c r="JH47" s="43"/>
      <c r="JI47" s="43"/>
      <c r="JJ47" s="43"/>
      <c r="JK47" s="43"/>
      <c r="JL47" s="43"/>
      <c r="JM47" s="43"/>
      <c r="JN47" s="43"/>
      <c r="JO47" s="43"/>
      <c r="JP47" s="43"/>
      <c r="JQ47" s="43"/>
      <c r="JR47" s="43"/>
      <c r="JS47" s="43"/>
      <c r="JT47" s="43"/>
      <c r="JU47" s="43"/>
      <c r="JV47" s="43"/>
      <c r="JW47" s="43"/>
      <c r="JX47" s="43"/>
      <c r="JY47" s="43"/>
      <c r="JZ47" s="43"/>
      <c r="KA47" s="43"/>
      <c r="KB47" s="43"/>
      <c r="KC47" s="43"/>
      <c r="KD47" s="43"/>
      <c r="KE47" s="43"/>
      <c r="KF47" s="43"/>
      <c r="KG47" s="43"/>
      <c r="KH47" s="43"/>
      <c r="KI47" s="43"/>
      <c r="KJ47" s="43"/>
      <c r="KK47" s="43"/>
      <c r="KL47" s="43"/>
      <c r="KM47" s="43"/>
      <c r="KN47" s="43"/>
      <c r="KO47" s="43"/>
      <c r="KP47" s="43"/>
      <c r="KQ47" s="43"/>
      <c r="KR47" s="43"/>
      <c r="KS47" s="43"/>
      <c r="KT47" s="43"/>
      <c r="KU47" s="43"/>
      <c r="KV47" s="43"/>
      <c r="KW47" s="43"/>
      <c r="KX47" s="43"/>
      <c r="KY47" s="43"/>
      <c r="KZ47" s="43"/>
      <c r="LA47" s="43"/>
      <c r="LB47" s="43"/>
      <c r="LC47" s="43"/>
      <c r="LD47" s="43"/>
      <c r="LE47" s="43">
        <f>IU47+IW47+IY47+JA47+JC47+JE47+JG47+JI47+JK47+JM47+JO47+JQ47+JS47+JU47+JW47+JY47+KA47+KC47+KE47+KG47+KI47+KK47+KM47+KO47+KQ47+KS47+KU47+KW47+KY47+LA47+LC47</f>
        <v>0</v>
      </c>
      <c r="LF47" s="43">
        <f>IV47+IX47+IZ47+JB47+JD47+JF47+JH47+JJ47+JL47+JN47+JP47+JR47+JT47+JV47+JX47+JZ47+KB47+KD47+KF47+KH47+KJ47+KL47+KN47+KP47+KR47+KT47+KV47+KX47+KZ47+LB47+LD47</f>
        <v>0</v>
      </c>
      <c r="LG47" s="43"/>
      <c r="LH47" s="43"/>
      <c r="LI47" s="43"/>
      <c r="LJ47" s="43"/>
      <c r="LK47" s="43"/>
      <c r="LL47" s="43"/>
      <c r="LM47" s="43"/>
      <c r="LN47" s="43"/>
      <c r="LO47" s="43"/>
      <c r="LP47" s="43"/>
      <c r="LQ47" s="43"/>
      <c r="LR47" s="43"/>
      <c r="LS47" s="43"/>
      <c r="LT47" s="43"/>
      <c r="LU47" s="43"/>
      <c r="LV47" s="43"/>
      <c r="LW47" s="43"/>
      <c r="LX47" s="43"/>
      <c r="LY47" s="43"/>
      <c r="LZ47" s="43"/>
      <c r="MA47" s="43"/>
      <c r="MB47" s="43"/>
      <c r="MC47" s="43"/>
      <c r="MD47" s="43"/>
      <c r="ME47" s="43"/>
      <c r="MF47" s="43"/>
      <c r="MG47" s="43"/>
      <c r="MH47" s="43"/>
      <c r="MI47" s="43"/>
      <c r="MJ47" s="43"/>
      <c r="MK47" s="43"/>
      <c r="ML47" s="43"/>
      <c r="MM47" s="43"/>
      <c r="MN47" s="43"/>
      <c r="MO47" s="43"/>
      <c r="MP47" s="43"/>
      <c r="MQ47" s="43"/>
      <c r="MR47" s="43"/>
      <c r="MS47" s="43"/>
      <c r="MT47" s="43"/>
      <c r="MU47" s="43"/>
      <c r="MV47" s="43"/>
      <c r="MW47" s="43"/>
      <c r="MX47" s="43"/>
      <c r="MY47" s="43"/>
      <c r="MZ47" s="43"/>
      <c r="NA47" s="43"/>
      <c r="NB47" s="43"/>
      <c r="NC47" s="43"/>
      <c r="ND47" s="43"/>
      <c r="NE47" s="43"/>
      <c r="NF47" s="43"/>
      <c r="NG47" s="43"/>
      <c r="NH47" s="43"/>
      <c r="NI47" s="43"/>
      <c r="NJ47" s="43"/>
      <c r="NK47" s="43"/>
      <c r="NL47" s="43"/>
      <c r="NM47" s="43"/>
      <c r="NN47" s="43"/>
      <c r="NO47" s="43">
        <f>LG47+LI47+LK47+LM47+LO47+LQ47+LS47+LU47+LW47+LY47+MA47+MC47+ME47+MG47+MI47+MK47+MM47+MO47+MQ47+MS47+MU47+MW47+MY47+NA47+NC47+NE47+NG47+NI47+NK47+NM47</f>
        <v>0</v>
      </c>
      <c r="NP47" s="43">
        <f>LH47+LJ47+LL47+LN47+LP47+LR47+LT47+LV47+LX47+LZ47+MB47+MD47+MF47+MH47+MJ47+ML47+MN47+MP47+MR47+MT47+MV47+MX47+MZ47+NB47+ND47+NF47+NH47+NJ47+NL47+NN47</f>
        <v>0</v>
      </c>
      <c r="NQ47" s="43"/>
      <c r="NR47" s="43"/>
      <c r="NS47" s="43"/>
      <c r="NT47" s="43"/>
      <c r="NU47" s="43"/>
      <c r="NV47" s="43"/>
      <c r="NW47" s="43"/>
      <c r="NX47" s="43"/>
      <c r="NY47" s="43"/>
      <c r="NZ47" s="43"/>
      <c r="OA47" s="43"/>
      <c r="OB47" s="43"/>
      <c r="OC47" s="43"/>
      <c r="OD47" s="43"/>
      <c r="OE47" s="43"/>
      <c r="OF47" s="43"/>
      <c r="OG47" s="43"/>
      <c r="OH47" s="43"/>
      <c r="OI47" s="43"/>
      <c r="OJ47" s="43"/>
      <c r="OK47" s="43"/>
      <c r="OL47" s="43"/>
      <c r="OM47" s="43"/>
      <c r="ON47" s="43"/>
      <c r="OO47" s="43"/>
      <c r="OP47" s="43"/>
      <c r="OQ47" s="43"/>
      <c r="OR47" s="43"/>
      <c r="OS47" s="43"/>
      <c r="OT47" s="43"/>
      <c r="OU47" s="43"/>
      <c r="OV47" s="43"/>
      <c r="OW47" s="43"/>
      <c r="OX47" s="43"/>
      <c r="OY47" s="43"/>
      <c r="OZ47" s="43"/>
      <c r="PA47" s="43"/>
      <c r="PB47" s="43"/>
      <c r="PC47" s="43"/>
      <c r="PD47" s="43"/>
      <c r="PE47" s="43"/>
      <c r="PF47" s="43"/>
      <c r="PG47" s="43"/>
      <c r="PH47" s="43"/>
      <c r="PI47" s="43"/>
      <c r="PJ47" s="43"/>
      <c r="PK47" s="43"/>
      <c r="PL47" s="43"/>
      <c r="PM47" s="43"/>
      <c r="PN47" s="43"/>
      <c r="PO47" s="43"/>
      <c r="PP47" s="43"/>
      <c r="PQ47" s="43"/>
      <c r="PR47" s="43"/>
      <c r="PS47" s="43"/>
      <c r="PT47" s="43"/>
      <c r="PU47" s="43"/>
      <c r="PV47" s="43"/>
      <c r="PW47" s="43"/>
      <c r="PX47" s="43"/>
      <c r="PY47" s="43"/>
      <c r="PZ47" s="43"/>
      <c r="QA47" s="43">
        <f>NQ47+NS47+NU47+NW47+NY47+OA47+OC47+OE47+OG47+OI47+OK47+OM47+OO47+OQ47+OS47+OU47+OW47+OY47+PA47+PC47+PE47+PG47+PI47+PK47+PM47+PO47+PQ47+PS47+PU47+PW47+PY47</f>
        <v>0</v>
      </c>
      <c r="QB47" s="43">
        <f>NR47+NT47+NV47+NX47+NZ47+OB47+OD47+OF47+OH47+OJ47+OL47+ON47+OP47+OR47+OT47+OV47+OX47+OZ47+PB47+PD47+PF47+PH47+PJ47+PL47+PN47+PP47+PR47+PT47+PV47+PX47+PZ47</f>
        <v>0</v>
      </c>
      <c r="QC47" s="43"/>
      <c r="QD47" s="43"/>
      <c r="QE47" s="43"/>
      <c r="QF47" s="43"/>
      <c r="QG47" s="43"/>
      <c r="QH47" s="43"/>
      <c r="QI47" s="43"/>
      <c r="QJ47" s="43"/>
      <c r="QK47" s="43"/>
      <c r="QL47" s="43"/>
      <c r="QM47" s="43"/>
      <c r="QN47" s="43"/>
      <c r="QO47" s="43"/>
      <c r="QP47" s="43"/>
      <c r="QQ47" s="43"/>
      <c r="QR47" s="43"/>
      <c r="QS47" s="43"/>
      <c r="QT47" s="43"/>
      <c r="QU47" s="43"/>
      <c r="QV47" s="43"/>
      <c r="QW47" s="43"/>
      <c r="QX47" s="43"/>
      <c r="QY47" s="43"/>
      <c r="QZ47" s="43"/>
      <c r="RA47" s="43"/>
      <c r="RB47" s="43"/>
      <c r="RC47" s="43"/>
      <c r="RD47" s="43"/>
      <c r="RE47" s="43"/>
      <c r="RF47" s="43"/>
      <c r="RG47" s="43"/>
      <c r="RH47" s="43"/>
      <c r="RI47" s="43"/>
      <c r="RJ47" s="43"/>
      <c r="RK47" s="43"/>
      <c r="RL47" s="43"/>
      <c r="RM47" s="43"/>
      <c r="RN47" s="43"/>
      <c r="RO47" s="43"/>
      <c r="RP47" s="43"/>
      <c r="RQ47" s="43"/>
      <c r="RR47" s="43"/>
      <c r="RS47" s="43"/>
      <c r="RT47" s="43"/>
      <c r="RU47" s="43"/>
      <c r="RV47" s="43"/>
      <c r="RW47" s="43"/>
      <c r="RX47" s="43"/>
      <c r="RY47" s="43"/>
      <c r="RZ47" s="43"/>
      <c r="SA47" s="43"/>
      <c r="SB47" s="43"/>
      <c r="SC47" s="43"/>
      <c r="SD47" s="43"/>
      <c r="SE47" s="43"/>
      <c r="SF47" s="43"/>
      <c r="SG47" s="43"/>
      <c r="SH47" s="43"/>
      <c r="SI47" s="43"/>
      <c r="SJ47" s="43"/>
      <c r="SK47" s="43"/>
      <c r="SL47" s="43"/>
      <c r="SM47" s="43">
        <f>QC47+QE47+QG47+QI47+QK47+QM47+QO47+QQ47+QS47+QU47+QW47+QY47+RA47+RC47+RE47+RG47+RI47+RK47+RM47+RO47+RQ47+RS47+RU47+RW47+RY47+SA47+SC47+SE47+SG47+SI47+SK47</f>
        <v>0</v>
      </c>
      <c r="SN47" s="43">
        <f>QD47+QF47+QH47+QJ47+QL47+QN47+QP47+QR47+QT47+QV47+QX47+QZ47+RB47+RD47+RF47+RH47+RJ47+RL47+RN47+RP47+RR47+RT47+RV47+RX47+RZ47+SB47+SD47+SF47+SH47+SJ47+SL47</f>
        <v>0</v>
      </c>
      <c r="SO47" s="43"/>
      <c r="SP47" s="43"/>
      <c r="SQ47" s="43"/>
      <c r="SR47" s="43"/>
      <c r="SS47" s="43"/>
      <c r="ST47" s="43"/>
      <c r="SU47" s="43"/>
      <c r="SV47" s="43"/>
      <c r="SW47" s="43"/>
      <c r="SX47" s="43"/>
      <c r="SY47" s="43"/>
      <c r="SZ47" s="43"/>
      <c r="TA47" s="43"/>
      <c r="TB47" s="43"/>
      <c r="TC47" s="43"/>
      <c r="TD47" s="43"/>
      <c r="TE47" s="43"/>
      <c r="TF47" s="43"/>
      <c r="TG47" s="43"/>
      <c r="TH47" s="43"/>
      <c r="TI47" s="43"/>
      <c r="TJ47" s="43"/>
      <c r="TK47" s="43"/>
      <c r="TL47" s="43"/>
      <c r="TM47" s="43"/>
      <c r="TN47" s="43"/>
      <c r="TO47" s="43"/>
      <c r="TP47" s="43"/>
      <c r="TQ47" s="43"/>
      <c r="TR47" s="43"/>
      <c r="TS47" s="43"/>
      <c r="TT47" s="43"/>
      <c r="TU47" s="43"/>
      <c r="TV47" s="43"/>
      <c r="TW47" s="43"/>
      <c r="TX47" s="43"/>
      <c r="TY47" s="43"/>
      <c r="TZ47" s="43"/>
      <c r="UA47" s="43"/>
      <c r="UB47" s="43"/>
      <c r="UC47" s="43"/>
      <c r="UD47" s="43"/>
      <c r="UE47" s="43"/>
      <c r="UF47" s="43"/>
      <c r="UG47" s="43"/>
      <c r="UH47" s="43"/>
      <c r="UI47" s="43"/>
      <c r="UJ47" s="43"/>
      <c r="UK47" s="43"/>
      <c r="UL47" s="43"/>
      <c r="UM47" s="43"/>
      <c r="UN47" s="43"/>
      <c r="UO47" s="43"/>
      <c r="UP47" s="43"/>
      <c r="UQ47" s="43"/>
      <c r="UR47" s="43"/>
      <c r="US47" s="43"/>
      <c r="UT47" s="43"/>
      <c r="UU47" s="43"/>
      <c r="UV47" s="43"/>
      <c r="UW47" s="43">
        <f>SO47+SQ47+SS47+SU47+SW47+SY47+TA47+TC47+TE47+TG47+TI47+TK47+TM47+TO47+TQ47+TS47+TU47+TW47+TY47+UA47+UC47+UE47+UG47+UI47+UK47+UM47+UO47+UQ47+US47+UU47</f>
        <v>0</v>
      </c>
      <c r="UX47" s="43">
        <f>SP47+SR47+ST47+SV47+SX47+SZ47+TB47+TD47+TF47+TH47+TJ47+TL47+TN47+TP47+TR47+TT47+TV47+TX47+TZ47+UB47+UD47+UF47+UH47+UJ47+UL47+UN47+UP47+UR47+UT47+UV47</f>
        <v>0</v>
      </c>
      <c r="UY47" s="43"/>
      <c r="UZ47" s="43"/>
      <c r="VA47" s="43"/>
      <c r="VB47" s="43"/>
      <c r="VC47" s="43"/>
      <c r="VD47" s="43"/>
      <c r="VE47" s="43"/>
      <c r="VF47" s="43"/>
      <c r="VG47" s="43"/>
      <c r="VH47" s="43"/>
      <c r="VI47" s="43"/>
      <c r="VJ47" s="43"/>
      <c r="VK47" s="43"/>
      <c r="VL47" s="43"/>
      <c r="VM47" s="43"/>
      <c r="VN47" s="43"/>
      <c r="VO47" s="43"/>
      <c r="VP47" s="43"/>
      <c r="VQ47" s="43"/>
      <c r="VR47" s="43"/>
      <c r="VS47" s="43"/>
      <c r="VT47" s="43"/>
      <c r="VU47" s="43"/>
      <c r="VV47" s="43"/>
      <c r="VW47" s="43"/>
      <c r="VX47" s="43"/>
      <c r="VY47" s="43"/>
      <c r="VZ47" s="43"/>
      <c r="WA47" s="43"/>
      <c r="WB47" s="43"/>
      <c r="WC47" s="43"/>
      <c r="WD47" s="43"/>
      <c r="WE47" s="43"/>
      <c r="WF47" s="43"/>
      <c r="WG47" s="43"/>
      <c r="WH47" s="43"/>
      <c r="WI47" s="43"/>
      <c r="WJ47" s="43"/>
      <c r="WK47" s="43"/>
      <c r="WL47" s="43"/>
      <c r="WM47" s="43"/>
      <c r="WN47" s="43"/>
      <c r="WO47" s="43"/>
      <c r="WP47" s="43"/>
      <c r="WQ47" s="43"/>
      <c r="WR47" s="43"/>
      <c r="WS47" s="43"/>
      <c r="WT47" s="43"/>
      <c r="WU47" s="43"/>
      <c r="WV47" s="43"/>
      <c r="WW47" s="43"/>
      <c r="WX47" s="43"/>
      <c r="WY47" s="43"/>
      <c r="WZ47" s="43"/>
      <c r="XA47" s="43"/>
      <c r="XB47" s="43"/>
      <c r="XC47" s="43"/>
      <c r="XD47" s="43"/>
      <c r="XE47" s="43"/>
      <c r="XF47" s="43"/>
      <c r="XG47" s="43"/>
      <c r="XH47" s="43"/>
      <c r="XI47" s="43">
        <f>UY47+VA47+VC47+VE47+VG47+VI47+VK47+VM47+VO47+VQ47+VS47+VU47+VW47+VY47+WA47+WC47+WE47+WG47+WI47+WK47+WM47+WO47+WQ47+WS47+WU47+WW47+WY47+XA47+XC47+XE47+XG47</f>
        <v>0</v>
      </c>
      <c r="XJ47" s="43">
        <f>UZ47+VB47+VD47+VF47+VH47+VJ47+VL47+VN47+VP47+VR47+VT47+VV47+VX47+VZ47+WB47+WD47+WF47+WH47+WJ47+WL47+WN47+WP47+WR47+WT47+WV47+WX47+WZ47+XB47+XD47+XF47+XH47</f>
        <v>0</v>
      </c>
      <c r="XK47" s="43"/>
      <c r="XL47" s="43"/>
      <c r="XM47" s="43"/>
      <c r="XN47" s="43"/>
      <c r="XO47" s="43"/>
      <c r="XP47" s="43"/>
      <c r="XQ47" s="43"/>
      <c r="XR47" s="43"/>
      <c r="XS47" s="43"/>
      <c r="XT47" s="43"/>
      <c r="XU47" s="43"/>
      <c r="XV47" s="43"/>
      <c r="XW47" s="43"/>
      <c r="XX47" s="43"/>
      <c r="XY47" s="43"/>
      <c r="XZ47" s="43"/>
      <c r="YA47" s="43"/>
      <c r="YB47" s="43"/>
      <c r="YC47" s="43"/>
      <c r="YD47" s="43"/>
      <c r="YE47" s="43"/>
      <c r="YF47" s="43"/>
      <c r="YG47" s="43"/>
      <c r="YH47" s="43"/>
      <c r="YI47" s="43"/>
      <c r="YJ47" s="43"/>
      <c r="YK47" s="43"/>
      <c r="YL47" s="43"/>
      <c r="YM47" s="43"/>
      <c r="YN47" s="43"/>
      <c r="YO47" s="43"/>
      <c r="YP47" s="43"/>
      <c r="YQ47" s="43"/>
      <c r="YR47" s="43"/>
      <c r="YS47" s="43"/>
      <c r="YT47" s="43"/>
      <c r="YU47" s="43"/>
      <c r="YV47" s="43"/>
      <c r="YW47" s="43"/>
      <c r="YX47" s="43"/>
      <c r="YY47" s="43"/>
      <c r="YZ47" s="43"/>
      <c r="ZA47" s="43"/>
      <c r="ZB47" s="43"/>
      <c r="ZC47" s="43"/>
      <c r="ZD47" s="43"/>
      <c r="ZE47" s="43"/>
      <c r="ZF47" s="43"/>
      <c r="ZG47" s="43"/>
      <c r="ZH47" s="43"/>
      <c r="ZI47" s="43"/>
      <c r="ZJ47" s="43"/>
      <c r="ZK47" s="43"/>
      <c r="ZL47" s="43"/>
      <c r="ZM47" s="43"/>
      <c r="ZN47" s="43"/>
      <c r="ZO47" s="43"/>
      <c r="ZP47" s="43"/>
      <c r="ZQ47" s="43"/>
      <c r="ZR47" s="43"/>
      <c r="ZS47" s="43">
        <f>XK47+XM47+XO47+XQ47+XS47+XU47+XW47+XY47+YA47+YC47+YE47+YG47+YI47+YK47+YM47+YO47+YQ47+YS47+YU47+YW47+YY47+ZA47+ZC47+ZE47+ZG47+ZI47+ZK47+ZM47+ZO47+ZQ47</f>
        <v>0</v>
      </c>
      <c r="ZT47" s="43">
        <f>XL47+XN47+XP47+XR47+XT47+XV47+XX47+XZ47+YB47+YD47+YF47+YH47+YJ47+YL47+YN47+YP47+YR47+YT47+YV47+YX47+YZ47+ZB47+ZD47+ZF47+ZH47+ZJ47+ZL47+ZN47+ZP47+ZR47</f>
        <v>0</v>
      </c>
      <c r="ZU47" s="43"/>
      <c r="ZV47" s="43"/>
      <c r="ZW47" s="43"/>
      <c r="ZX47" s="43"/>
      <c r="ZY47" s="43"/>
      <c r="ZZ47" s="43"/>
      <c r="AAA47" s="43"/>
      <c r="AAB47" s="43"/>
      <c r="AAC47" s="43"/>
      <c r="AAD47" s="43"/>
      <c r="AAE47" s="43"/>
      <c r="AAF47" s="43"/>
      <c r="AAG47" s="43"/>
      <c r="AAH47" s="43"/>
      <c r="AAI47" s="43"/>
      <c r="AAJ47" s="43"/>
      <c r="AAK47" s="43"/>
      <c r="AAL47" s="43"/>
      <c r="AAM47" s="43"/>
      <c r="AAN47" s="43"/>
      <c r="AAO47" s="43"/>
      <c r="AAP47" s="43"/>
      <c r="AAQ47" s="43"/>
      <c r="AAR47" s="43"/>
      <c r="AAS47" s="43"/>
      <c r="AAT47" s="43"/>
      <c r="AAU47" s="43"/>
      <c r="AAV47" s="43"/>
      <c r="AAW47" s="43"/>
      <c r="AAX47" s="43"/>
      <c r="AAY47" s="43"/>
      <c r="AAZ47" s="43"/>
      <c r="ABA47" s="43"/>
      <c r="ABB47" s="43"/>
      <c r="ABC47" s="43"/>
      <c r="ABD47" s="43"/>
      <c r="ABE47" s="43"/>
      <c r="ABF47" s="43"/>
      <c r="ABG47" s="43"/>
      <c r="ABH47" s="43"/>
      <c r="ABI47" s="43"/>
      <c r="ABJ47" s="43"/>
      <c r="ABK47" s="43"/>
      <c r="ABL47" s="43"/>
      <c r="ABM47" s="43"/>
      <c r="ABN47" s="43"/>
      <c r="ABO47" s="43"/>
      <c r="ABP47" s="43"/>
      <c r="ABQ47" s="43"/>
      <c r="ABR47" s="43"/>
      <c r="ABS47" s="43"/>
      <c r="ABT47" s="43"/>
      <c r="ABU47" s="43"/>
      <c r="ABV47" s="43"/>
      <c r="ABW47" s="43"/>
      <c r="ABX47" s="43"/>
      <c r="ABY47" s="43"/>
      <c r="ABZ47" s="43"/>
      <c r="ACA47" s="43"/>
      <c r="ACB47" s="43"/>
      <c r="ACC47" s="43"/>
      <c r="ACD47" s="44"/>
      <c r="ACE47" s="43">
        <f>ZU47+ZW47+ZY47+AAA47+AAC47+AAE47+AAG47+AAI47+AAK47+AAM47+AAO47+AAQ47+AAS47+AAU47+AAW47+AAY47+ABA47+ABC47+ABE47+ABG47+ABI47+ABK47+ABM47+ABO47+ABQ47+ABS47+ABU47+ABW47+ABY47+ACA47+ACC47</f>
        <v>0</v>
      </c>
      <c r="ACF47" s="43"/>
      <c r="ACG47" s="43">
        <f>BO47+DW47+GI47+IS47+LE47+NO47+QA47+SM47+UW47+XI47+ZS47+ACE47</f>
        <v>0</v>
      </c>
      <c r="ACH47" s="54"/>
      <c r="ACI47" s="71" t="s">
        <v>162</v>
      </c>
      <c r="ACJ47" s="71" t="s">
        <v>90</v>
      </c>
    </row>
    <row r="48" spans="1:764" x14ac:dyDescent="0.25">
      <c r="A48" s="162"/>
      <c r="B48" s="152"/>
      <c r="C48" s="155"/>
      <c r="D48" s="50" t="s">
        <v>7</v>
      </c>
      <c r="E48" s="74">
        <v>177.44</v>
      </c>
      <c r="F48" s="75">
        <v>177.20000000000002</v>
      </c>
      <c r="G48" s="75">
        <v>201.35999999999999</v>
      </c>
      <c r="H48" s="75">
        <v>200.94</v>
      </c>
      <c r="I48" s="75">
        <v>147.85999999999999</v>
      </c>
      <c r="J48" s="75">
        <v>148.72</v>
      </c>
      <c r="K48" s="75">
        <v>143.80000000000001</v>
      </c>
      <c r="L48" s="75">
        <v>142.94</v>
      </c>
      <c r="M48" s="75">
        <v>145.16</v>
      </c>
      <c r="N48" s="75">
        <v>145.28</v>
      </c>
      <c r="O48" s="75">
        <v>153.02000000000001</v>
      </c>
      <c r="P48" s="75">
        <v>155.04000000000002</v>
      </c>
      <c r="Q48" s="75">
        <v>201.76</v>
      </c>
      <c r="R48" s="75">
        <v>203.03999999999996</v>
      </c>
      <c r="S48" s="75">
        <v>232.28</v>
      </c>
      <c r="T48" s="75">
        <v>233.10999999999999</v>
      </c>
      <c r="U48" s="75">
        <v>286.76000000000005</v>
      </c>
      <c r="V48" s="75">
        <v>286.46000000000004</v>
      </c>
      <c r="W48" s="75">
        <v>182.70000000000002</v>
      </c>
      <c r="X48" s="75">
        <v>183.18</v>
      </c>
      <c r="Y48" s="75">
        <v>308.39999999999998</v>
      </c>
      <c r="Z48" s="75">
        <v>308.2</v>
      </c>
      <c r="AA48" s="75">
        <v>192.82</v>
      </c>
      <c r="AB48" s="75">
        <v>191.24000000000004</v>
      </c>
      <c r="AC48" s="75">
        <v>138.6</v>
      </c>
      <c r="AD48" s="75">
        <v>138.1</v>
      </c>
      <c r="AE48" s="75">
        <v>118.68</v>
      </c>
      <c r="AF48" s="75">
        <v>118.8</v>
      </c>
      <c r="AG48" s="75">
        <v>250.61999999999998</v>
      </c>
      <c r="AH48" s="75">
        <v>251.4</v>
      </c>
      <c r="AI48" s="75">
        <v>175.44</v>
      </c>
      <c r="AJ48" s="75">
        <v>174.02</v>
      </c>
      <c r="AK48" s="75">
        <v>52.760000000000005</v>
      </c>
      <c r="AL48" s="75">
        <v>52.760000000000005</v>
      </c>
      <c r="AM48" s="75">
        <v>130.63999999999999</v>
      </c>
      <c r="AN48" s="75">
        <v>131.35999999999999</v>
      </c>
      <c r="AO48" s="75">
        <v>185.46</v>
      </c>
      <c r="AP48" s="75">
        <v>184.18</v>
      </c>
      <c r="AQ48" s="75">
        <v>148.68</v>
      </c>
      <c r="AR48" s="75">
        <v>152.08000000000001</v>
      </c>
      <c r="AS48" s="75">
        <v>152.83999999999997</v>
      </c>
      <c r="AT48" s="75">
        <v>153</v>
      </c>
      <c r="AU48" s="75">
        <v>165.72</v>
      </c>
      <c r="AV48" s="75">
        <v>164.9</v>
      </c>
      <c r="AW48" s="75">
        <v>120.66</v>
      </c>
      <c r="AX48" s="75">
        <v>119.38</v>
      </c>
      <c r="AY48" s="75">
        <v>153.20000000000002</v>
      </c>
      <c r="AZ48" s="75">
        <v>155.60000000000002</v>
      </c>
      <c r="BA48" s="75">
        <v>218</v>
      </c>
      <c r="BB48" s="75">
        <v>217.46000000000004</v>
      </c>
      <c r="BC48" s="75">
        <v>192.76000000000002</v>
      </c>
      <c r="BD48" s="75">
        <v>192.57999999999998</v>
      </c>
      <c r="BE48" s="75">
        <v>273.92</v>
      </c>
      <c r="BF48" s="75">
        <v>272.89999999999998</v>
      </c>
      <c r="BG48" s="75"/>
      <c r="BH48" s="75"/>
      <c r="BI48" s="75">
        <v>223.5</v>
      </c>
      <c r="BJ48" s="75">
        <v>225.56</v>
      </c>
      <c r="BK48" s="75">
        <v>187.32</v>
      </c>
      <c r="BL48" s="75">
        <v>188.18</v>
      </c>
      <c r="BM48" s="75">
        <v>300.16000000000003</v>
      </c>
      <c r="BN48" s="75">
        <v>299.68</v>
      </c>
      <c r="BO48" s="24" cm="1">
        <f t="array" ref="BO48">SUMPRODUCT(E48:BM48,--(E$2:BM$2=BO$2))</f>
        <v>5562.32</v>
      </c>
      <c r="BP48" s="24" cm="1">
        <f t="array" ref="BP48">SUMPRODUCT(F48:BN48,--(F$2:BN$2=BP$2))</f>
        <v>5567.2900000000009</v>
      </c>
      <c r="BQ48" s="24">
        <v>279.89999999999998</v>
      </c>
      <c r="BR48" s="24">
        <v>279.29999999999995</v>
      </c>
      <c r="BS48" s="24">
        <v>256.65999999999997</v>
      </c>
      <c r="BT48" s="24">
        <v>258.41999999999996</v>
      </c>
      <c r="BU48" s="24">
        <v>246.51999999999998</v>
      </c>
      <c r="BV48" s="24">
        <v>247.26</v>
      </c>
      <c r="BW48" s="24">
        <v>130.34</v>
      </c>
      <c r="BX48" s="24">
        <v>129.54000000000002</v>
      </c>
      <c r="BY48" s="24">
        <v>102.98000000000002</v>
      </c>
      <c r="BZ48" s="24">
        <v>101.97999999999999</v>
      </c>
      <c r="CA48" s="24">
        <v>150.04</v>
      </c>
      <c r="CB48" s="24">
        <v>150.32</v>
      </c>
      <c r="CC48" s="24">
        <v>115.46000000000001</v>
      </c>
      <c r="CD48" s="24">
        <v>115.32</v>
      </c>
      <c r="CE48" s="24">
        <v>170.46</v>
      </c>
      <c r="CF48" s="24">
        <v>169.45999999999998</v>
      </c>
      <c r="CG48" s="24">
        <v>216.44000000000003</v>
      </c>
      <c r="CH48" s="24">
        <v>216.11999999999995</v>
      </c>
      <c r="CI48" s="24">
        <v>202.58</v>
      </c>
      <c r="CJ48" s="24">
        <v>202.12</v>
      </c>
      <c r="CK48" s="24">
        <v>47.72</v>
      </c>
      <c r="CL48" s="24">
        <v>47.82</v>
      </c>
      <c r="CM48" s="24">
        <v>197.74000000000004</v>
      </c>
      <c r="CN48" s="24">
        <v>197.06</v>
      </c>
      <c r="CO48" s="24">
        <v>131.73999999999998</v>
      </c>
      <c r="CP48" s="24">
        <v>131.62</v>
      </c>
      <c r="CQ48" s="24">
        <v>146.48000000000002</v>
      </c>
      <c r="CR48" s="24">
        <v>145.9</v>
      </c>
      <c r="CS48" s="24">
        <v>234.82999999999998</v>
      </c>
      <c r="CT48" s="24">
        <v>236.20000000000002</v>
      </c>
      <c r="CU48" s="24">
        <v>142.1</v>
      </c>
      <c r="CV48" s="24">
        <v>142.79999999999998</v>
      </c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>
        <v>221.58</v>
      </c>
      <c r="DH48" s="24">
        <v>221.18</v>
      </c>
      <c r="DI48" s="24">
        <v>70.539999999999992</v>
      </c>
      <c r="DJ48" s="24">
        <v>69.98</v>
      </c>
      <c r="DK48" s="24">
        <v>141.51999999999998</v>
      </c>
      <c r="DL48" s="24">
        <v>141.28</v>
      </c>
      <c r="DM48" s="24">
        <v>77.12</v>
      </c>
      <c r="DN48" s="24">
        <v>77.899999999999991</v>
      </c>
      <c r="DO48" s="24">
        <v>319.08</v>
      </c>
      <c r="DP48" s="24">
        <v>320.35999999999996</v>
      </c>
      <c r="DQ48" s="24">
        <v>129.18</v>
      </c>
      <c r="DR48" s="24">
        <v>129.38</v>
      </c>
      <c r="DS48" s="24">
        <v>106.26</v>
      </c>
      <c r="DT48" s="24">
        <v>106.32000000000001</v>
      </c>
      <c r="DU48" s="24">
        <v>81.960000000000008</v>
      </c>
      <c r="DV48" s="24">
        <v>80.97999999999999</v>
      </c>
      <c r="DW48" s="24" cm="1">
        <f t="array" ref="DW48">SUMPRODUCT(BQ48:DU48,--(BQ$2:DU$2=DW$2))</f>
        <v>3919.2299999999996</v>
      </c>
      <c r="DX48" s="24" cm="1">
        <f t="array" ref="DX48">SUMPRODUCT(BR48:DV48,--(BR$2:DV$2=DX$2))</f>
        <v>3918.6200000000003</v>
      </c>
      <c r="DY48" s="24">
        <v>130.6</v>
      </c>
      <c r="DZ48" s="24">
        <v>131.36000000000001</v>
      </c>
      <c r="EA48" s="24">
        <v>211.94</v>
      </c>
      <c r="EB48" s="24">
        <v>211.3</v>
      </c>
      <c r="EC48" s="24">
        <v>25.5</v>
      </c>
      <c r="ED48" s="24">
        <v>25.84</v>
      </c>
      <c r="EE48" s="24"/>
      <c r="EF48" s="24"/>
      <c r="EG48" s="24">
        <v>60.06</v>
      </c>
      <c r="EH48" s="24">
        <v>60.04</v>
      </c>
      <c r="EI48" s="24">
        <v>159.62</v>
      </c>
      <c r="EJ48" s="24">
        <v>158.78</v>
      </c>
      <c r="EK48" s="24">
        <v>171.83999999999997</v>
      </c>
      <c r="EL48" s="24">
        <v>171.46</v>
      </c>
      <c r="EM48" s="24">
        <v>119.04</v>
      </c>
      <c r="EN48" s="24">
        <v>117.47999999999999</v>
      </c>
      <c r="EO48" s="24">
        <v>48.959999999999994</v>
      </c>
      <c r="EP48" s="24">
        <v>48.84</v>
      </c>
      <c r="EQ48" s="24">
        <v>49.739999999999995</v>
      </c>
      <c r="ER48" s="24">
        <v>50.68</v>
      </c>
      <c r="ES48" s="24">
        <v>88.219999999999985</v>
      </c>
      <c r="ET48" s="24">
        <v>88.62</v>
      </c>
      <c r="EU48" s="24">
        <v>148.54</v>
      </c>
      <c r="EV48" s="24">
        <v>148.34</v>
      </c>
      <c r="EW48" s="24">
        <v>195.84000000000003</v>
      </c>
      <c r="EX48" s="24">
        <v>195.95999999999998</v>
      </c>
      <c r="EY48" s="24">
        <v>51.58</v>
      </c>
      <c r="EZ48" s="24">
        <v>51.34</v>
      </c>
      <c r="FA48" s="24">
        <v>117.13999999999999</v>
      </c>
      <c r="FB48" s="24">
        <v>117.36000000000001</v>
      </c>
      <c r="FC48" s="24">
        <v>109.82000000000001</v>
      </c>
      <c r="FD48" s="24">
        <v>110.02000000000001</v>
      </c>
      <c r="FE48" s="24">
        <v>29.34</v>
      </c>
      <c r="FF48" s="24">
        <v>29.16</v>
      </c>
      <c r="FG48" s="24">
        <v>78.660000000000011</v>
      </c>
      <c r="FH48" s="24">
        <v>78.48</v>
      </c>
      <c r="FI48" s="24">
        <v>180.26</v>
      </c>
      <c r="FJ48" s="24">
        <v>180.34000000000003</v>
      </c>
      <c r="FK48" s="24">
        <v>55.06</v>
      </c>
      <c r="FL48" s="24">
        <v>54.98</v>
      </c>
      <c r="FM48" s="24">
        <v>167.58</v>
      </c>
      <c r="FN48" s="24">
        <v>168.35999999999999</v>
      </c>
      <c r="FO48" s="24">
        <v>51.64</v>
      </c>
      <c r="FP48" s="24">
        <v>51.379999999999995</v>
      </c>
      <c r="FQ48" s="24">
        <v>145.66</v>
      </c>
      <c r="FR48" s="24">
        <v>144.9</v>
      </c>
      <c r="FS48" s="24">
        <v>112.34</v>
      </c>
      <c r="FT48" s="24">
        <v>112.7</v>
      </c>
      <c r="FU48" s="24">
        <v>58.16</v>
      </c>
      <c r="FV48" s="24">
        <v>58.44</v>
      </c>
      <c r="FW48" s="24"/>
      <c r="FX48" s="24"/>
      <c r="FY48" s="24">
        <v>27.54</v>
      </c>
      <c r="FZ48" s="24">
        <v>27.44</v>
      </c>
      <c r="GA48" s="24">
        <v>88.6</v>
      </c>
      <c r="GB48" s="24">
        <v>88.4</v>
      </c>
      <c r="GC48" s="24">
        <v>89.28</v>
      </c>
      <c r="GD48" s="24">
        <v>89.6</v>
      </c>
      <c r="GE48" s="24">
        <v>123.6</v>
      </c>
      <c r="GF48" s="24">
        <v>124.1</v>
      </c>
      <c r="GG48" s="24">
        <v>114.78999999999999</v>
      </c>
      <c r="GH48" s="24">
        <v>115</v>
      </c>
      <c r="GI48" s="24" cm="1">
        <f t="array" ref="GI48">SUMPRODUCT(DY48:GG48,--(DY$2:GG$2=GI$2))</f>
        <v>3010.9499999999994</v>
      </c>
      <c r="GJ48" s="24" cm="1">
        <f t="array" ref="GJ48">SUMPRODUCT(DZ48:GH48,--(DZ$2:GH$2=GJ$2))</f>
        <v>3010.7000000000003</v>
      </c>
      <c r="GK48" s="24">
        <v>117.75999999999999</v>
      </c>
      <c r="GL48" s="24">
        <v>117.61999999999999</v>
      </c>
      <c r="GM48" s="24">
        <v>175.52</v>
      </c>
      <c r="GN48" s="24">
        <v>175.76</v>
      </c>
      <c r="GO48" s="24">
        <v>116.60000000000001</v>
      </c>
      <c r="GP48" s="24">
        <v>116.4</v>
      </c>
      <c r="GQ48" s="24">
        <v>93.38</v>
      </c>
      <c r="GR48" s="24">
        <v>92.740000000000009</v>
      </c>
      <c r="GS48" s="24">
        <v>141.61999999999998</v>
      </c>
      <c r="GT48" s="24">
        <v>142.34</v>
      </c>
      <c r="GU48" s="24"/>
      <c r="GV48" s="24"/>
      <c r="GW48" s="24">
        <v>77.42</v>
      </c>
      <c r="GX48" s="24">
        <v>76.92</v>
      </c>
      <c r="GY48" s="24">
        <v>129</v>
      </c>
      <c r="GZ48" s="24">
        <v>128.80000000000001</v>
      </c>
      <c r="HA48" s="24">
        <v>161.51999999999998</v>
      </c>
      <c r="HB48" s="24">
        <v>161.42000000000002</v>
      </c>
      <c r="HC48" s="24">
        <v>25.06</v>
      </c>
      <c r="HD48" s="24">
        <v>25.36</v>
      </c>
      <c r="HE48" s="24"/>
      <c r="HF48" s="24"/>
      <c r="HG48" s="24">
        <v>28.44</v>
      </c>
      <c r="HH48" s="24">
        <v>28.34</v>
      </c>
      <c r="HI48" s="24"/>
      <c r="HJ48" s="24"/>
      <c r="HK48" s="24"/>
      <c r="HL48" s="24"/>
      <c r="HM48" s="24"/>
      <c r="HN48" s="24"/>
      <c r="HO48" s="24">
        <v>56.54</v>
      </c>
      <c r="HP48" s="24">
        <v>55.74</v>
      </c>
      <c r="HQ48" s="24">
        <v>25.28</v>
      </c>
      <c r="HR48" s="24">
        <v>25.9</v>
      </c>
      <c r="HS48" s="24">
        <v>25.42</v>
      </c>
      <c r="HT48" s="24">
        <v>25.2</v>
      </c>
      <c r="HU48" s="24">
        <v>30.06</v>
      </c>
      <c r="HV48" s="24">
        <v>29.44</v>
      </c>
      <c r="HW48" s="24">
        <v>26.74</v>
      </c>
      <c r="HX48" s="24">
        <v>26.44</v>
      </c>
      <c r="HY48" s="24">
        <v>54.7</v>
      </c>
      <c r="HZ48" s="24">
        <v>54.3</v>
      </c>
      <c r="IA48" s="24"/>
      <c r="IB48" s="24"/>
      <c r="IC48" s="24"/>
      <c r="ID48" s="24"/>
      <c r="IE48" s="24">
        <v>27.22</v>
      </c>
      <c r="IF48" s="24">
        <v>27.4</v>
      </c>
      <c r="IG48" s="24"/>
      <c r="IH48" s="24"/>
      <c r="II48" s="24">
        <v>29.16</v>
      </c>
      <c r="IJ48" s="24">
        <v>29.64</v>
      </c>
      <c r="IK48" s="24"/>
      <c r="IL48" s="24"/>
      <c r="IM48" s="24"/>
      <c r="IN48" s="24"/>
      <c r="IO48" s="24"/>
      <c r="IP48" s="24"/>
      <c r="IQ48" s="24"/>
      <c r="IR48" s="24"/>
      <c r="IS48" s="24">
        <f t="shared" ref="IS48:IS56" si="142">GK48+GM48+GO48+GQ48+GS48+GU48+GW48+GY48+HA48+HC48+HE48+HG48+HI48+HK48+HM48+HO48+HQ48+HS48+HU48+HW48+HY48+IA48+IC48+IE48+IG48+II48+IK48+IM48+IO48+IQ48</f>
        <v>1341.44</v>
      </c>
      <c r="IT48" s="24">
        <f t="shared" ref="IT48:IT56" si="143">GL48+GN48+GP48+GR48+GT48+GV48+GX48+GZ48+HB48+HD48+HF48+HH48+HJ48+HL48+HN48+HP48+HR48+HT48+HV48+HX48+HZ48+IB48+ID48+IF48+IH48+IJ48+IL48+IN48+IP48+IR48</f>
        <v>1339.7600000000002</v>
      </c>
      <c r="IU48" s="24">
        <v>87.98</v>
      </c>
      <c r="IV48" s="24">
        <v>88.47999999999999</v>
      </c>
      <c r="IW48" s="24">
        <v>158.35999999999999</v>
      </c>
      <c r="IX48" s="24">
        <v>158.40000000000003</v>
      </c>
      <c r="IY48" s="24">
        <v>80.8</v>
      </c>
      <c r="IZ48" s="24">
        <v>81.58</v>
      </c>
      <c r="JA48" s="24"/>
      <c r="JB48" s="24"/>
      <c r="JC48" s="24"/>
      <c r="JD48" s="24"/>
      <c r="JE48" s="24">
        <v>19.8</v>
      </c>
      <c r="JF48" s="24">
        <v>19.8</v>
      </c>
      <c r="JG48" s="24"/>
      <c r="JH48" s="24"/>
      <c r="JI48" s="24"/>
      <c r="JJ48" s="24"/>
      <c r="JK48" s="24"/>
      <c r="JL48" s="24"/>
      <c r="JM48" s="24">
        <v>23.28</v>
      </c>
      <c r="JN48" s="24">
        <v>22.9</v>
      </c>
      <c r="JO48" s="24"/>
      <c r="JP48" s="24"/>
      <c r="JQ48" s="24">
        <v>21.32</v>
      </c>
      <c r="JR48" s="24">
        <v>21.68</v>
      </c>
      <c r="JS48" s="24"/>
      <c r="JT48" s="24"/>
      <c r="JU48" s="24"/>
      <c r="JV48" s="24"/>
      <c r="JW48" s="24"/>
      <c r="JX48" s="24"/>
      <c r="JY48" s="24"/>
      <c r="JZ48" s="24"/>
      <c r="KA48" s="24"/>
      <c r="KB48" s="24"/>
      <c r="KC48" s="24"/>
      <c r="KD48" s="24"/>
      <c r="KE48" s="24"/>
      <c r="KF48" s="24"/>
      <c r="KG48" s="24"/>
      <c r="KH48" s="24"/>
      <c r="KI48" s="24"/>
      <c r="KJ48" s="24"/>
      <c r="KK48" s="24"/>
      <c r="KL48" s="24"/>
      <c r="KM48" s="24"/>
      <c r="KN48" s="24"/>
      <c r="KO48" s="24"/>
      <c r="KP48" s="24"/>
      <c r="KQ48" s="24"/>
      <c r="KR48" s="24"/>
      <c r="KS48" s="24"/>
      <c r="KT48" s="24"/>
      <c r="KU48" s="24"/>
      <c r="KV48" s="24"/>
      <c r="KW48" s="24"/>
      <c r="KX48" s="24"/>
      <c r="KY48" s="24"/>
      <c r="KZ48" s="24"/>
      <c r="LA48" s="24"/>
      <c r="LB48" s="24"/>
      <c r="LC48" s="24"/>
      <c r="LD48" s="24"/>
      <c r="LE48" s="24">
        <f t="shared" ref="LE48:LE56" si="144">IU48+IW48+IY48+JA48+JC48+JE48+JG48+JI48+JK48+JM48+JO48+JQ48+JS48+JU48+JW48+JY48+KA48+KC48+KE48+KG48+KI48+KK48+KM48+KO48+KQ48+KS48+KU48+KW48+KY48+LA48+LC48</f>
        <v>391.54</v>
      </c>
      <c r="LF48" s="24">
        <f t="shared" ref="LF48:LF56" si="145">IV48+IX48+IZ48+JB48+JD48+JF48+JH48+JJ48+JL48+JN48+JP48+JR48+JT48+JV48+JX48+JZ48+KB48+KD48+KF48+KH48+KJ48+KL48+KN48+KP48+KR48+KT48+KV48+KX48+KZ48+LB48+LD48</f>
        <v>392.84000000000003</v>
      </c>
      <c r="LG48" s="24"/>
      <c r="LH48" s="24"/>
      <c r="LI48" s="24"/>
      <c r="LJ48" s="24"/>
      <c r="LK48" s="24"/>
      <c r="LL48" s="24"/>
      <c r="LM48" s="24"/>
      <c r="LN48" s="24"/>
      <c r="LO48" s="24"/>
      <c r="LP48" s="24"/>
      <c r="LQ48" s="24"/>
      <c r="LR48" s="24"/>
      <c r="LS48" s="24"/>
      <c r="LT48" s="24"/>
      <c r="LU48" s="24"/>
      <c r="LV48" s="24"/>
      <c r="LW48" s="24"/>
      <c r="LX48" s="24"/>
      <c r="LY48" s="24"/>
      <c r="LZ48" s="24"/>
      <c r="MA48" s="24"/>
      <c r="MB48" s="24"/>
      <c r="MC48" s="24"/>
      <c r="MD48" s="24"/>
      <c r="ME48" s="24"/>
      <c r="MF48" s="24"/>
      <c r="MG48" s="24"/>
      <c r="MH48" s="24"/>
      <c r="MI48" s="24"/>
      <c r="MJ48" s="24"/>
      <c r="MK48" s="24"/>
      <c r="ML48" s="24"/>
      <c r="MM48" s="24"/>
      <c r="MN48" s="24"/>
      <c r="MO48" s="24"/>
      <c r="MP48" s="24"/>
      <c r="MQ48" s="24"/>
      <c r="MR48" s="24"/>
      <c r="MS48" s="24"/>
      <c r="MT48" s="24"/>
      <c r="MU48" s="24"/>
      <c r="MV48" s="24"/>
      <c r="MW48" s="24"/>
      <c r="MX48" s="24"/>
      <c r="MY48" s="24"/>
      <c r="MZ48" s="24"/>
      <c r="NA48" s="24"/>
      <c r="NB48" s="24"/>
      <c r="NC48" s="24"/>
      <c r="ND48" s="24"/>
      <c r="NE48" s="24"/>
      <c r="NF48" s="24"/>
      <c r="NG48" s="24"/>
      <c r="NH48" s="24"/>
      <c r="NI48" s="24"/>
      <c r="NJ48" s="24"/>
      <c r="NK48" s="24"/>
      <c r="NL48" s="24"/>
      <c r="NM48" s="24"/>
      <c r="NN48" s="24"/>
      <c r="NO48" s="24">
        <f t="shared" ref="NO48:NO56" si="146">LG48+LI48+LK48+LM48+LO48+LQ48+LS48+LU48+LW48+LY48+MA48+MC48+ME48+MG48+MI48+MK48+MM48+MO48+MQ48+MS48+MU48+MW48+MY48+NA48+NC48+NE48+NG48+NI48+NK48+NM48</f>
        <v>0</v>
      </c>
      <c r="NP48" s="24">
        <f t="shared" ref="NP48:NP56" si="147">LH48+LJ48+LL48+LN48+LP48+LR48+LT48+LV48+LX48+LZ48+MB48+MD48+MF48+MH48+MJ48+ML48+MN48+MP48+MR48+MT48+MV48+MX48+MZ48+NB48+ND48+NF48+NH48+NJ48+NL48+NN48</f>
        <v>0</v>
      </c>
      <c r="NQ48" s="24"/>
      <c r="NR48" s="24"/>
      <c r="NS48" s="24"/>
      <c r="NT48" s="24"/>
      <c r="NU48" s="24"/>
      <c r="NV48" s="24"/>
      <c r="NW48" s="24"/>
      <c r="NX48" s="24"/>
      <c r="NY48" s="24"/>
      <c r="NZ48" s="24"/>
      <c r="OA48" s="24"/>
      <c r="OB48" s="24"/>
      <c r="OC48" s="24"/>
      <c r="OD48" s="24"/>
      <c r="OE48" s="24"/>
      <c r="OF48" s="24"/>
      <c r="OG48" s="24"/>
      <c r="OH48" s="24"/>
      <c r="OI48" s="24"/>
      <c r="OJ48" s="24"/>
      <c r="OK48" s="24"/>
      <c r="OL48" s="24"/>
      <c r="OM48" s="24"/>
      <c r="ON48" s="24"/>
      <c r="OO48" s="24"/>
      <c r="OP48" s="24"/>
      <c r="OQ48" s="24"/>
      <c r="OR48" s="24"/>
      <c r="OS48" s="24"/>
      <c r="OT48" s="24"/>
      <c r="OU48" s="24"/>
      <c r="OV48" s="24"/>
      <c r="OW48" s="24"/>
      <c r="OX48" s="24"/>
      <c r="OY48" s="24"/>
      <c r="OZ48" s="24"/>
      <c r="PA48" s="24"/>
      <c r="PB48" s="24"/>
      <c r="PC48" s="24"/>
      <c r="PD48" s="24"/>
      <c r="PE48" s="24"/>
      <c r="PF48" s="24"/>
      <c r="PG48" s="24"/>
      <c r="PH48" s="24"/>
      <c r="PI48" s="24"/>
      <c r="PJ48" s="24"/>
      <c r="PK48" s="24"/>
      <c r="PL48" s="24"/>
      <c r="PM48" s="24"/>
      <c r="PN48" s="24"/>
      <c r="PO48" s="24"/>
      <c r="PP48" s="24"/>
      <c r="PQ48" s="24"/>
      <c r="PR48" s="24"/>
      <c r="PS48" s="24"/>
      <c r="PT48" s="24"/>
      <c r="PU48" s="24"/>
      <c r="PV48" s="24"/>
      <c r="PW48" s="24"/>
      <c r="PX48" s="24"/>
      <c r="PY48" s="24"/>
      <c r="PZ48" s="24"/>
      <c r="QA48" s="24">
        <f t="shared" ref="QA48:QA56" si="148">NQ48+NS48+NU48+NW48+NY48+OA48+OC48+OE48+OG48+OI48+OK48+OM48+OO48+OQ48+OS48+OU48+OW48+OY48+PA48+PC48+PE48+PG48+PI48+PK48+PM48+PO48+PQ48+PS48+PU48+PW48+PY48</f>
        <v>0</v>
      </c>
      <c r="QB48" s="24">
        <f t="shared" ref="QB48:QB56" si="149">NR48+NT48+NV48+NX48+NZ48+OB48+OD48+OF48+OH48+OJ48+OL48+ON48+OP48+OR48+OT48+OV48+OX48+OZ48+PB48+PD48+PF48+PH48+PJ48+PL48+PN48+PP48+PR48+PT48+PV48+PX48+PZ48</f>
        <v>0</v>
      </c>
      <c r="QC48" s="24"/>
      <c r="QD48" s="24"/>
      <c r="QE48" s="24"/>
      <c r="QF48" s="24"/>
      <c r="QG48" s="24"/>
      <c r="QH48" s="24"/>
      <c r="QI48" s="24"/>
      <c r="QJ48" s="24"/>
      <c r="QK48" s="24"/>
      <c r="QL48" s="24"/>
      <c r="QM48" s="24"/>
      <c r="QN48" s="24"/>
      <c r="QO48" s="24"/>
      <c r="QP48" s="24"/>
      <c r="QQ48" s="24"/>
      <c r="QR48" s="24"/>
      <c r="QS48" s="24"/>
      <c r="QT48" s="24"/>
      <c r="QU48" s="24"/>
      <c r="QV48" s="24"/>
      <c r="QW48" s="24"/>
      <c r="QX48" s="24"/>
      <c r="QY48" s="24"/>
      <c r="QZ48" s="24"/>
      <c r="RA48" s="24"/>
      <c r="RB48" s="24"/>
      <c r="RC48" s="24"/>
      <c r="RD48" s="24"/>
      <c r="RE48" s="24"/>
      <c r="RF48" s="24"/>
      <c r="RG48" s="24"/>
      <c r="RH48" s="24"/>
      <c r="RI48" s="24"/>
      <c r="RJ48" s="24"/>
      <c r="RK48" s="24"/>
      <c r="RL48" s="24"/>
      <c r="RM48" s="24"/>
      <c r="RN48" s="24"/>
      <c r="RO48" s="24"/>
      <c r="RP48" s="24"/>
      <c r="RQ48" s="24"/>
      <c r="RR48" s="24"/>
      <c r="RS48" s="24"/>
      <c r="RT48" s="24"/>
      <c r="RU48" s="24"/>
      <c r="RV48" s="24"/>
      <c r="RW48" s="24"/>
      <c r="RX48" s="24"/>
      <c r="RY48" s="24"/>
      <c r="RZ48" s="24"/>
      <c r="SA48" s="24"/>
      <c r="SB48" s="24"/>
      <c r="SC48" s="24"/>
      <c r="SD48" s="24"/>
      <c r="SE48" s="24"/>
      <c r="SF48" s="24"/>
      <c r="SG48" s="24"/>
      <c r="SH48" s="24"/>
      <c r="SI48" s="24"/>
      <c r="SJ48" s="24"/>
      <c r="SK48" s="24"/>
      <c r="SL48" s="24"/>
      <c r="SM48" s="24">
        <f t="shared" ref="SM48:SM56" si="150">QC48+QE48+QG48+QI48+QK48+QM48+QO48+QQ48+QS48+QU48+QW48+QY48+RA48+RC48+RE48+RG48+RI48+RK48+RM48+RO48+RQ48+RS48+RU48+RW48+RY48+SA48+SC48+SE48+SG48+SI48+SK48</f>
        <v>0</v>
      </c>
      <c r="SN48" s="24">
        <f t="shared" ref="SN48:SN56" si="151">QD48+QF48+QH48+QJ48+QL48+QN48+QP48+QR48+QT48+QV48+QX48+QZ48+RB48+RD48+RF48+RH48+RJ48+RL48+RN48+RP48+RR48+RT48+RV48+RX48+RZ48+SB48+SD48+SF48+SH48+SJ48+SL48</f>
        <v>0</v>
      </c>
      <c r="SO48" s="24"/>
      <c r="SP48" s="24"/>
      <c r="SQ48" s="24"/>
      <c r="SR48" s="24"/>
      <c r="SS48" s="24"/>
      <c r="ST48" s="24"/>
      <c r="SU48" s="24"/>
      <c r="SV48" s="24"/>
      <c r="SW48" s="24"/>
      <c r="SX48" s="24"/>
      <c r="SY48" s="24"/>
      <c r="SZ48" s="24"/>
      <c r="TA48" s="24"/>
      <c r="TB48" s="24"/>
      <c r="TC48" s="24"/>
      <c r="TD48" s="24"/>
      <c r="TE48" s="24"/>
      <c r="TF48" s="24"/>
      <c r="TG48" s="24"/>
      <c r="TH48" s="24"/>
      <c r="TI48" s="24"/>
      <c r="TJ48" s="24"/>
      <c r="TK48" s="24"/>
      <c r="TL48" s="24"/>
      <c r="TM48" s="24"/>
      <c r="TN48" s="24"/>
      <c r="TO48" s="24"/>
      <c r="TP48" s="24"/>
      <c r="TQ48" s="24"/>
      <c r="TR48" s="24"/>
      <c r="TS48" s="24"/>
      <c r="TT48" s="24"/>
      <c r="TU48" s="24"/>
      <c r="TV48" s="24"/>
      <c r="TW48" s="24"/>
      <c r="TX48" s="24"/>
      <c r="TY48" s="24"/>
      <c r="TZ48" s="24"/>
      <c r="UA48" s="24"/>
      <c r="UB48" s="24"/>
      <c r="UC48" s="24"/>
      <c r="UD48" s="24"/>
      <c r="UE48" s="24"/>
      <c r="UF48" s="24"/>
      <c r="UG48" s="24"/>
      <c r="UH48" s="24"/>
      <c r="UI48" s="24"/>
      <c r="UJ48" s="24"/>
      <c r="UK48" s="24"/>
      <c r="UL48" s="24"/>
      <c r="UM48" s="24"/>
      <c r="UN48" s="24"/>
      <c r="UO48" s="24"/>
      <c r="UP48" s="24"/>
      <c r="UQ48" s="24"/>
      <c r="UR48" s="24"/>
      <c r="US48" s="24"/>
      <c r="UT48" s="24"/>
      <c r="UU48" s="24"/>
      <c r="UV48" s="24"/>
      <c r="UW48" s="24">
        <f t="shared" ref="UW48:UW56" si="152">SO48+SQ48+SS48+SU48+SW48+SY48+TA48+TC48+TE48+TG48+TI48+TK48+TM48+TO48+TQ48+TS48+TU48+TW48+TY48+UA48+UC48+UE48+UG48+UI48+UK48+UM48+UO48+UQ48+US48+UU48</f>
        <v>0</v>
      </c>
      <c r="UX48" s="24">
        <f t="shared" ref="UX48:UX56" si="153">SP48+SR48+ST48+SV48+SX48+SZ48+TB48+TD48+TF48+TH48+TJ48+TL48+TN48+TP48+TR48+TT48+TV48+TX48+TZ48+UB48+UD48+UF48+UH48+UJ48+UL48+UN48+UP48+UR48+UT48+UV48</f>
        <v>0</v>
      </c>
      <c r="UY48" s="24"/>
      <c r="UZ48" s="24"/>
      <c r="VA48" s="24"/>
      <c r="VB48" s="24"/>
      <c r="VC48" s="24"/>
      <c r="VD48" s="24"/>
      <c r="VE48" s="24"/>
      <c r="VF48" s="24"/>
      <c r="VG48" s="24"/>
      <c r="VH48" s="24"/>
      <c r="VI48" s="24"/>
      <c r="VJ48" s="24"/>
      <c r="VK48" s="24"/>
      <c r="VL48" s="24"/>
      <c r="VM48" s="24"/>
      <c r="VN48" s="24"/>
      <c r="VO48" s="24"/>
      <c r="VP48" s="24"/>
      <c r="VQ48" s="24"/>
      <c r="VR48" s="24"/>
      <c r="VS48" s="24"/>
      <c r="VT48" s="24"/>
      <c r="VU48" s="24"/>
      <c r="VV48" s="24"/>
      <c r="VW48" s="24"/>
      <c r="VX48" s="24"/>
      <c r="VY48" s="24"/>
      <c r="VZ48" s="24"/>
      <c r="WA48" s="24"/>
      <c r="WB48" s="24"/>
      <c r="WC48" s="24"/>
      <c r="WD48" s="24"/>
      <c r="WE48" s="24"/>
      <c r="WF48" s="24"/>
      <c r="WG48" s="24"/>
      <c r="WH48" s="24"/>
      <c r="WI48" s="24"/>
      <c r="WJ48" s="24"/>
      <c r="WK48" s="24"/>
      <c r="WL48" s="24"/>
      <c r="WM48" s="24"/>
      <c r="WN48" s="24"/>
      <c r="WO48" s="24"/>
      <c r="WP48" s="24"/>
      <c r="WQ48" s="24"/>
      <c r="WR48" s="24"/>
      <c r="WS48" s="24"/>
      <c r="WT48" s="24"/>
      <c r="WU48" s="24"/>
      <c r="WV48" s="24"/>
      <c r="WW48" s="24"/>
      <c r="WX48" s="24"/>
      <c r="WY48" s="24"/>
      <c r="WZ48" s="24"/>
      <c r="XA48" s="24"/>
      <c r="XB48" s="24"/>
      <c r="XC48" s="24"/>
      <c r="XD48" s="24"/>
      <c r="XE48" s="24"/>
      <c r="XF48" s="24"/>
      <c r="XG48" s="24"/>
      <c r="XH48" s="24"/>
      <c r="XI48" s="24">
        <f t="shared" ref="XI48:XI56" si="154">UY48+VA48+VC48+VE48+VG48+VI48+VK48+VM48+VO48+VQ48+VS48+VU48+VW48+VY48+WA48+WC48+WE48+WG48+WI48+WK48+WM48+WO48+WQ48+WS48+WU48+WW48+WY48+XA48+XC48+XE48+XG48</f>
        <v>0</v>
      </c>
      <c r="XJ48" s="24">
        <f t="shared" ref="XJ48:XJ56" si="155">UZ48+VB48+VD48+VF48+VH48+VJ48+VL48+VN48+VP48+VR48+VT48+VV48+VX48+VZ48+WB48+WD48+WF48+WH48+WJ48+WL48+WN48+WP48+WR48+WT48+WV48+WX48+WZ48+XB48+XD48+XF48+XH48</f>
        <v>0</v>
      </c>
      <c r="XK48" s="24"/>
      <c r="XL48" s="24"/>
      <c r="XM48" s="24"/>
      <c r="XN48" s="24"/>
      <c r="XO48" s="24"/>
      <c r="XP48" s="24"/>
      <c r="XQ48" s="24"/>
      <c r="XR48" s="24"/>
      <c r="XS48" s="24"/>
      <c r="XT48" s="24"/>
      <c r="XU48" s="24"/>
      <c r="XV48" s="24"/>
      <c r="XW48" s="24"/>
      <c r="XX48" s="24"/>
      <c r="XY48" s="24"/>
      <c r="XZ48" s="24"/>
      <c r="YA48" s="24"/>
      <c r="YB48" s="24"/>
      <c r="YC48" s="24"/>
      <c r="YD48" s="24"/>
      <c r="YE48" s="24"/>
      <c r="YF48" s="24"/>
      <c r="YG48" s="24"/>
      <c r="YH48" s="24"/>
      <c r="YI48" s="24"/>
      <c r="YJ48" s="24"/>
      <c r="YK48" s="24"/>
      <c r="YL48" s="24"/>
      <c r="YM48" s="24"/>
      <c r="YN48" s="24"/>
      <c r="YO48" s="24"/>
      <c r="YP48" s="24"/>
      <c r="YQ48" s="24"/>
      <c r="YR48" s="24"/>
      <c r="YS48" s="24"/>
      <c r="YT48" s="24"/>
      <c r="YU48" s="24"/>
      <c r="YV48" s="24"/>
      <c r="YW48" s="24"/>
      <c r="YX48" s="24"/>
      <c r="YY48" s="24"/>
      <c r="YZ48" s="24"/>
      <c r="ZA48" s="24"/>
      <c r="ZB48" s="24"/>
      <c r="ZC48" s="24"/>
      <c r="ZD48" s="24"/>
      <c r="ZE48" s="24"/>
      <c r="ZF48" s="24"/>
      <c r="ZG48" s="24"/>
      <c r="ZH48" s="24"/>
      <c r="ZI48" s="24"/>
      <c r="ZJ48" s="24"/>
      <c r="ZK48" s="24"/>
      <c r="ZL48" s="24"/>
      <c r="ZM48" s="24"/>
      <c r="ZN48" s="24"/>
      <c r="ZO48" s="24"/>
      <c r="ZP48" s="24"/>
      <c r="ZQ48" s="24"/>
      <c r="ZR48" s="24"/>
      <c r="ZS48" s="24">
        <f t="shared" ref="ZS48:ZS56" si="156">XK48+XM48+XO48+XQ48+XS48+XU48+XW48+XY48+YA48+YC48+YE48+YG48+YI48+YK48+YM48+YO48+YQ48+YS48+YU48+YW48+YY48+ZA48+ZC48+ZE48+ZG48+ZI48+ZK48+ZM48+ZO48+ZQ48</f>
        <v>0</v>
      </c>
      <c r="ZT48" s="24">
        <f t="shared" ref="ZT48:ZT56" si="157">XL48+XN48+XP48+XR48+XT48+XV48+XX48+XZ48+YB48+YD48+YF48+YH48+YJ48+YL48+YN48+YP48+YR48+YT48+YV48+YX48+YZ48+ZB48+ZD48+ZF48+ZH48+ZJ48+ZL48+ZN48+ZP48+ZR48</f>
        <v>0</v>
      </c>
      <c r="ZU48" s="24"/>
      <c r="ZV48" s="24"/>
      <c r="ZW48" s="24"/>
      <c r="ZX48" s="24"/>
      <c r="ZY48" s="24"/>
      <c r="ZZ48" s="24"/>
      <c r="AAA48" s="24"/>
      <c r="AAB48" s="24"/>
      <c r="AAC48" s="24"/>
      <c r="AAD48" s="24"/>
      <c r="AAE48" s="24"/>
      <c r="AAF48" s="24"/>
      <c r="AAG48" s="24"/>
      <c r="AAH48" s="24"/>
      <c r="AAI48" s="24"/>
      <c r="AAJ48" s="24"/>
      <c r="AAK48" s="24"/>
      <c r="AAL48" s="24"/>
      <c r="AAM48" s="24"/>
      <c r="AAN48" s="24"/>
      <c r="AAO48" s="24"/>
      <c r="AAP48" s="24"/>
      <c r="AAQ48" s="24"/>
      <c r="AAR48" s="24"/>
      <c r="AAS48" s="24"/>
      <c r="AAT48" s="24"/>
      <c r="AAU48" s="24"/>
      <c r="AAV48" s="24"/>
      <c r="AAW48" s="24"/>
      <c r="AAX48" s="24"/>
      <c r="AAY48" s="24"/>
      <c r="AAZ48" s="24"/>
      <c r="ABA48" s="24"/>
      <c r="ABB48" s="24"/>
      <c r="ABC48" s="24"/>
      <c r="ABD48" s="24"/>
      <c r="ABE48" s="24"/>
      <c r="ABF48" s="24"/>
      <c r="ABG48" s="24"/>
      <c r="ABH48" s="24"/>
      <c r="ABI48" s="24"/>
      <c r="ABJ48" s="24"/>
      <c r="ABK48" s="24"/>
      <c r="ABL48" s="24"/>
      <c r="ABM48" s="24"/>
      <c r="ABN48" s="24"/>
      <c r="ABO48" s="24"/>
      <c r="ABP48" s="24"/>
      <c r="ABQ48" s="24"/>
      <c r="ABR48" s="24"/>
      <c r="ABS48" s="24"/>
      <c r="ABT48" s="24"/>
      <c r="ABU48" s="24"/>
      <c r="ABV48" s="24"/>
      <c r="ABW48" s="24"/>
      <c r="ABX48" s="24"/>
      <c r="ABY48" s="24"/>
      <c r="ABZ48" s="24"/>
      <c r="ACA48" s="24"/>
      <c r="ACB48" s="24"/>
      <c r="ACC48" s="24"/>
      <c r="ACD48" s="24"/>
      <c r="ACE48" s="24">
        <f t="shared" ref="ACE48:ACE56" si="158">ZU48+ZW48+ZY48+AAA48+AAC48+AAE48+AAG48+AAI48+AAK48+AAM48+AAO48+AAQ48+AAS48+AAU48+AAW48+AAY48+ABA48+ABC48+ABE48+ABG48+ABI48+ABK48+ABM48+ABO48+ABQ48+ABS48+ABU48+ABW48+ABY48+ACA48+ACC48</f>
        <v>0</v>
      </c>
      <c r="ACF48" s="24"/>
      <c r="ACG48" s="24">
        <f t="shared" ref="ACG48:ACG56" si="159">BO48+DW48+GI48+IS48+LE48+NO48+QA48+SM48+UW48+XI48+ZS48+ACE48</f>
        <v>14225.48</v>
      </c>
      <c r="ACH48" s="25"/>
      <c r="ACI48" s="71" t="s">
        <v>163</v>
      </c>
      <c r="ACJ48" s="71" t="s">
        <v>90</v>
      </c>
    </row>
    <row r="49" spans="1:764" x14ac:dyDescent="0.25">
      <c r="A49" s="162"/>
      <c r="B49" s="152"/>
      <c r="C49" s="155"/>
      <c r="D49" s="50" t="s">
        <v>4</v>
      </c>
      <c r="E49" s="74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24" cm="1">
        <f t="array" ref="BO49">SUMPRODUCT(E49:BM49,--(E$2:BM$2=BO$2))</f>
        <v>0</v>
      </c>
      <c r="BP49" s="24" cm="1">
        <f t="array" ref="BP49">SUMPRODUCT(F49:BN49,--(F$2:BN$2=BP$2))</f>
        <v>0</v>
      </c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 cm="1">
        <f t="array" ref="DW49">SUMPRODUCT(BQ49:DU49,--(BQ$2:DU$2=DW$2))</f>
        <v>0</v>
      </c>
      <c r="DX49" s="24" cm="1">
        <f t="array" ref="DX49">SUMPRODUCT(BR49:DV49,--(BR$2:DV$2=DX$2))</f>
        <v>0</v>
      </c>
      <c r="DY49" s="24"/>
      <c r="DZ49" s="24"/>
      <c r="EA49" s="24"/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  <c r="ES49" s="24"/>
      <c r="ET49" s="24"/>
      <c r="EU49" s="24"/>
      <c r="EV49" s="24"/>
      <c r="EW49" s="24"/>
      <c r="EX49" s="24"/>
      <c r="EY49" s="24"/>
      <c r="EZ49" s="24"/>
      <c r="FA49" s="24"/>
      <c r="FB49" s="24"/>
      <c r="FC49" s="24"/>
      <c r="FD49" s="24"/>
      <c r="FE49" s="24"/>
      <c r="FF49" s="24"/>
      <c r="FG49" s="24"/>
      <c r="FH49" s="24"/>
      <c r="FI49" s="24"/>
      <c r="FJ49" s="24"/>
      <c r="FK49" s="24"/>
      <c r="FL49" s="24"/>
      <c r="FM49" s="24"/>
      <c r="FN49" s="24"/>
      <c r="FO49" s="24"/>
      <c r="FP49" s="24"/>
      <c r="FQ49" s="24"/>
      <c r="FR49" s="24"/>
      <c r="FS49" s="24"/>
      <c r="FT49" s="24"/>
      <c r="FU49" s="24"/>
      <c r="FV49" s="24"/>
      <c r="FW49" s="24"/>
      <c r="FX49" s="24"/>
      <c r="FY49" s="24"/>
      <c r="FZ49" s="24"/>
      <c r="GA49" s="24"/>
      <c r="GB49" s="24"/>
      <c r="GC49" s="24"/>
      <c r="GD49" s="24"/>
      <c r="GE49" s="24"/>
      <c r="GF49" s="24"/>
      <c r="GG49" s="24"/>
      <c r="GH49" s="24"/>
      <c r="GI49" s="24" cm="1">
        <f t="array" ref="GI49">SUMPRODUCT(DY49:GG49,--(DY$2:GG$2=GI$2))</f>
        <v>0</v>
      </c>
      <c r="GJ49" s="24" cm="1">
        <f t="array" ref="GJ49">SUMPRODUCT(DZ49:GH49,--(DZ$2:GH$2=GJ$2))</f>
        <v>0</v>
      </c>
      <c r="GK49" s="24"/>
      <c r="GL49" s="24"/>
      <c r="GM49" s="24"/>
      <c r="GN49" s="24"/>
      <c r="GO49" s="24"/>
      <c r="GP49" s="24"/>
      <c r="GQ49" s="24"/>
      <c r="GR49" s="24"/>
      <c r="GS49" s="24"/>
      <c r="GT49" s="24"/>
      <c r="GU49" s="24"/>
      <c r="GV49" s="24"/>
      <c r="GW49" s="24"/>
      <c r="GX49" s="24"/>
      <c r="GY49" s="24"/>
      <c r="GZ49" s="24"/>
      <c r="HA49" s="24"/>
      <c r="HB49" s="24"/>
      <c r="HC49" s="24"/>
      <c r="HD49" s="24"/>
      <c r="HE49" s="24"/>
      <c r="HF49" s="24"/>
      <c r="HG49" s="24"/>
      <c r="HH49" s="24"/>
      <c r="HI49" s="24"/>
      <c r="HJ49" s="24"/>
      <c r="HK49" s="24"/>
      <c r="HL49" s="24"/>
      <c r="HM49" s="24"/>
      <c r="HN49" s="24"/>
      <c r="HO49" s="24"/>
      <c r="HP49" s="24"/>
      <c r="HQ49" s="24"/>
      <c r="HR49" s="24"/>
      <c r="HS49" s="24"/>
      <c r="HT49" s="24"/>
      <c r="HU49" s="24"/>
      <c r="HV49" s="24"/>
      <c r="HW49" s="24"/>
      <c r="HX49" s="24"/>
      <c r="HY49" s="24"/>
      <c r="HZ49" s="24"/>
      <c r="IA49" s="24"/>
      <c r="IB49" s="24"/>
      <c r="IC49" s="24"/>
      <c r="ID49" s="24"/>
      <c r="IE49" s="24"/>
      <c r="IF49" s="24"/>
      <c r="IG49" s="24"/>
      <c r="IH49" s="24"/>
      <c r="II49" s="24"/>
      <c r="IJ49" s="24"/>
      <c r="IK49" s="24"/>
      <c r="IL49" s="24"/>
      <c r="IM49" s="24"/>
      <c r="IN49" s="24"/>
      <c r="IO49" s="24"/>
      <c r="IP49" s="24"/>
      <c r="IQ49" s="24"/>
      <c r="IR49" s="24"/>
      <c r="IS49" s="24">
        <f t="shared" si="142"/>
        <v>0</v>
      </c>
      <c r="IT49" s="24">
        <f t="shared" si="143"/>
        <v>0</v>
      </c>
      <c r="IU49" s="24"/>
      <c r="IV49" s="24"/>
      <c r="IW49" s="24"/>
      <c r="IX49" s="24"/>
      <c r="IY49" s="24"/>
      <c r="IZ49" s="24"/>
      <c r="JA49" s="24"/>
      <c r="JB49" s="24"/>
      <c r="JC49" s="24"/>
      <c r="JD49" s="24"/>
      <c r="JE49" s="24"/>
      <c r="JF49" s="24"/>
      <c r="JG49" s="24"/>
      <c r="JH49" s="24"/>
      <c r="JI49" s="24"/>
      <c r="JJ49" s="24"/>
      <c r="JK49" s="24"/>
      <c r="JL49" s="24"/>
      <c r="JM49" s="24"/>
      <c r="JN49" s="24"/>
      <c r="JO49" s="24"/>
      <c r="JP49" s="24"/>
      <c r="JQ49" s="24"/>
      <c r="JR49" s="24"/>
      <c r="JS49" s="24"/>
      <c r="JT49" s="24"/>
      <c r="JU49" s="24"/>
      <c r="JV49" s="24"/>
      <c r="JW49" s="24"/>
      <c r="JX49" s="24"/>
      <c r="JY49" s="24"/>
      <c r="JZ49" s="24"/>
      <c r="KA49" s="24"/>
      <c r="KB49" s="24"/>
      <c r="KC49" s="24"/>
      <c r="KD49" s="24"/>
      <c r="KE49" s="24"/>
      <c r="KF49" s="24"/>
      <c r="KG49" s="24"/>
      <c r="KH49" s="24"/>
      <c r="KI49" s="24"/>
      <c r="KJ49" s="24"/>
      <c r="KK49" s="24"/>
      <c r="KL49" s="24"/>
      <c r="KM49" s="24"/>
      <c r="KN49" s="24"/>
      <c r="KO49" s="24"/>
      <c r="KP49" s="24"/>
      <c r="KQ49" s="24"/>
      <c r="KR49" s="24"/>
      <c r="KS49" s="24"/>
      <c r="KT49" s="24"/>
      <c r="KU49" s="24"/>
      <c r="KV49" s="24"/>
      <c r="KW49" s="24"/>
      <c r="KX49" s="24"/>
      <c r="KY49" s="24"/>
      <c r="KZ49" s="24"/>
      <c r="LA49" s="24"/>
      <c r="LB49" s="24"/>
      <c r="LC49" s="24"/>
      <c r="LD49" s="24"/>
      <c r="LE49" s="24">
        <f t="shared" si="144"/>
        <v>0</v>
      </c>
      <c r="LF49" s="24">
        <f t="shared" si="145"/>
        <v>0</v>
      </c>
      <c r="LG49" s="24"/>
      <c r="LH49" s="24"/>
      <c r="LI49" s="24"/>
      <c r="LJ49" s="24"/>
      <c r="LK49" s="24"/>
      <c r="LL49" s="24"/>
      <c r="LM49" s="24"/>
      <c r="LN49" s="24"/>
      <c r="LO49" s="24"/>
      <c r="LP49" s="24"/>
      <c r="LQ49" s="24"/>
      <c r="LR49" s="24"/>
      <c r="LS49" s="24"/>
      <c r="LT49" s="24"/>
      <c r="LU49" s="24"/>
      <c r="LV49" s="24"/>
      <c r="LW49" s="24"/>
      <c r="LX49" s="24"/>
      <c r="LY49" s="24"/>
      <c r="LZ49" s="24"/>
      <c r="MA49" s="24"/>
      <c r="MB49" s="24"/>
      <c r="MC49" s="24"/>
      <c r="MD49" s="24"/>
      <c r="ME49" s="24"/>
      <c r="MF49" s="24"/>
      <c r="MG49" s="24"/>
      <c r="MH49" s="24"/>
      <c r="MI49" s="24"/>
      <c r="MJ49" s="24"/>
      <c r="MK49" s="24"/>
      <c r="ML49" s="24"/>
      <c r="MM49" s="24"/>
      <c r="MN49" s="24"/>
      <c r="MO49" s="24"/>
      <c r="MP49" s="24"/>
      <c r="MQ49" s="24"/>
      <c r="MR49" s="24"/>
      <c r="MS49" s="24"/>
      <c r="MT49" s="24"/>
      <c r="MU49" s="24"/>
      <c r="MV49" s="24"/>
      <c r="MW49" s="24"/>
      <c r="MX49" s="24"/>
      <c r="MY49" s="24"/>
      <c r="MZ49" s="24"/>
      <c r="NA49" s="24"/>
      <c r="NB49" s="24"/>
      <c r="NC49" s="24"/>
      <c r="ND49" s="24"/>
      <c r="NE49" s="24"/>
      <c r="NF49" s="24"/>
      <c r="NG49" s="24"/>
      <c r="NH49" s="24"/>
      <c r="NI49" s="24"/>
      <c r="NJ49" s="24"/>
      <c r="NK49" s="24"/>
      <c r="NL49" s="24"/>
      <c r="NM49" s="24"/>
      <c r="NN49" s="24"/>
      <c r="NO49" s="24">
        <f t="shared" si="146"/>
        <v>0</v>
      </c>
      <c r="NP49" s="24">
        <f t="shared" si="147"/>
        <v>0</v>
      </c>
      <c r="NQ49" s="24"/>
      <c r="NR49" s="24"/>
      <c r="NS49" s="24"/>
      <c r="NT49" s="24"/>
      <c r="NU49" s="24"/>
      <c r="NV49" s="24"/>
      <c r="NW49" s="24"/>
      <c r="NX49" s="24"/>
      <c r="NY49" s="24"/>
      <c r="NZ49" s="24"/>
      <c r="OA49" s="24"/>
      <c r="OB49" s="24"/>
      <c r="OC49" s="24"/>
      <c r="OD49" s="24"/>
      <c r="OE49" s="24"/>
      <c r="OF49" s="24"/>
      <c r="OG49" s="24"/>
      <c r="OH49" s="24"/>
      <c r="OI49" s="24"/>
      <c r="OJ49" s="24"/>
      <c r="OK49" s="24"/>
      <c r="OL49" s="24"/>
      <c r="OM49" s="24"/>
      <c r="ON49" s="24"/>
      <c r="OO49" s="24"/>
      <c r="OP49" s="24"/>
      <c r="OQ49" s="24"/>
      <c r="OR49" s="24"/>
      <c r="OS49" s="24"/>
      <c r="OT49" s="24"/>
      <c r="OU49" s="24"/>
      <c r="OV49" s="24"/>
      <c r="OW49" s="24"/>
      <c r="OX49" s="24"/>
      <c r="OY49" s="24"/>
      <c r="OZ49" s="24"/>
      <c r="PA49" s="24"/>
      <c r="PB49" s="24"/>
      <c r="PC49" s="24"/>
      <c r="PD49" s="24"/>
      <c r="PE49" s="24"/>
      <c r="PF49" s="24"/>
      <c r="PG49" s="24"/>
      <c r="PH49" s="24"/>
      <c r="PI49" s="24"/>
      <c r="PJ49" s="24"/>
      <c r="PK49" s="24"/>
      <c r="PL49" s="24"/>
      <c r="PM49" s="24"/>
      <c r="PN49" s="24"/>
      <c r="PO49" s="24"/>
      <c r="PP49" s="24"/>
      <c r="PQ49" s="24"/>
      <c r="PR49" s="24"/>
      <c r="PS49" s="24"/>
      <c r="PT49" s="24"/>
      <c r="PU49" s="24"/>
      <c r="PV49" s="24"/>
      <c r="PW49" s="24"/>
      <c r="PX49" s="24"/>
      <c r="PY49" s="24"/>
      <c r="PZ49" s="24"/>
      <c r="QA49" s="24">
        <f t="shared" si="148"/>
        <v>0</v>
      </c>
      <c r="QB49" s="24">
        <f t="shared" si="149"/>
        <v>0</v>
      </c>
      <c r="QC49" s="24"/>
      <c r="QD49" s="24"/>
      <c r="QE49" s="24"/>
      <c r="QF49" s="24"/>
      <c r="QG49" s="24"/>
      <c r="QH49" s="24"/>
      <c r="QI49" s="24"/>
      <c r="QJ49" s="24"/>
      <c r="QK49" s="24"/>
      <c r="QL49" s="24"/>
      <c r="QM49" s="24"/>
      <c r="QN49" s="24"/>
      <c r="QO49" s="24"/>
      <c r="QP49" s="24"/>
      <c r="QQ49" s="24"/>
      <c r="QR49" s="24"/>
      <c r="QS49" s="24"/>
      <c r="QT49" s="24"/>
      <c r="QU49" s="24"/>
      <c r="QV49" s="24"/>
      <c r="QW49" s="24"/>
      <c r="QX49" s="24"/>
      <c r="QY49" s="24"/>
      <c r="QZ49" s="24"/>
      <c r="RA49" s="24"/>
      <c r="RB49" s="24"/>
      <c r="RC49" s="24"/>
      <c r="RD49" s="24"/>
      <c r="RE49" s="24"/>
      <c r="RF49" s="24"/>
      <c r="RG49" s="24"/>
      <c r="RH49" s="24"/>
      <c r="RI49" s="24"/>
      <c r="RJ49" s="24"/>
      <c r="RK49" s="24"/>
      <c r="RL49" s="24"/>
      <c r="RM49" s="24"/>
      <c r="RN49" s="24"/>
      <c r="RO49" s="24"/>
      <c r="RP49" s="24"/>
      <c r="RQ49" s="24"/>
      <c r="RR49" s="24"/>
      <c r="RS49" s="24"/>
      <c r="RT49" s="24"/>
      <c r="RU49" s="24"/>
      <c r="RV49" s="24"/>
      <c r="RW49" s="24"/>
      <c r="RX49" s="24"/>
      <c r="RY49" s="24"/>
      <c r="RZ49" s="24"/>
      <c r="SA49" s="24"/>
      <c r="SB49" s="24"/>
      <c r="SC49" s="24"/>
      <c r="SD49" s="24"/>
      <c r="SE49" s="24"/>
      <c r="SF49" s="24"/>
      <c r="SG49" s="24"/>
      <c r="SH49" s="24"/>
      <c r="SI49" s="24"/>
      <c r="SJ49" s="24"/>
      <c r="SK49" s="24"/>
      <c r="SL49" s="24"/>
      <c r="SM49" s="24">
        <f t="shared" si="150"/>
        <v>0</v>
      </c>
      <c r="SN49" s="24">
        <f t="shared" si="151"/>
        <v>0</v>
      </c>
      <c r="SO49" s="24"/>
      <c r="SP49" s="24"/>
      <c r="SQ49" s="24"/>
      <c r="SR49" s="24"/>
      <c r="SS49" s="24"/>
      <c r="ST49" s="24"/>
      <c r="SU49" s="24"/>
      <c r="SV49" s="24"/>
      <c r="SW49" s="24"/>
      <c r="SX49" s="24"/>
      <c r="SY49" s="24"/>
      <c r="SZ49" s="24"/>
      <c r="TA49" s="24"/>
      <c r="TB49" s="24"/>
      <c r="TC49" s="24"/>
      <c r="TD49" s="24"/>
      <c r="TE49" s="24"/>
      <c r="TF49" s="24"/>
      <c r="TG49" s="24"/>
      <c r="TH49" s="24"/>
      <c r="TI49" s="24"/>
      <c r="TJ49" s="24"/>
      <c r="TK49" s="24"/>
      <c r="TL49" s="24"/>
      <c r="TM49" s="24"/>
      <c r="TN49" s="24"/>
      <c r="TO49" s="24"/>
      <c r="TP49" s="24"/>
      <c r="TQ49" s="24"/>
      <c r="TR49" s="24"/>
      <c r="TS49" s="24"/>
      <c r="TT49" s="24"/>
      <c r="TU49" s="24"/>
      <c r="TV49" s="24"/>
      <c r="TW49" s="24"/>
      <c r="TX49" s="24"/>
      <c r="TY49" s="24"/>
      <c r="TZ49" s="24"/>
      <c r="UA49" s="24"/>
      <c r="UB49" s="24"/>
      <c r="UC49" s="24"/>
      <c r="UD49" s="24"/>
      <c r="UE49" s="24"/>
      <c r="UF49" s="24"/>
      <c r="UG49" s="24"/>
      <c r="UH49" s="24"/>
      <c r="UI49" s="24"/>
      <c r="UJ49" s="24"/>
      <c r="UK49" s="24"/>
      <c r="UL49" s="24"/>
      <c r="UM49" s="24"/>
      <c r="UN49" s="24"/>
      <c r="UO49" s="24"/>
      <c r="UP49" s="24"/>
      <c r="UQ49" s="24"/>
      <c r="UR49" s="24"/>
      <c r="US49" s="24"/>
      <c r="UT49" s="24"/>
      <c r="UU49" s="24"/>
      <c r="UV49" s="24"/>
      <c r="UW49" s="24">
        <f t="shared" si="152"/>
        <v>0</v>
      </c>
      <c r="UX49" s="24">
        <f t="shared" si="153"/>
        <v>0</v>
      </c>
      <c r="UY49" s="24"/>
      <c r="UZ49" s="24"/>
      <c r="VA49" s="24"/>
      <c r="VB49" s="24"/>
      <c r="VC49" s="24"/>
      <c r="VD49" s="24"/>
      <c r="VE49" s="24"/>
      <c r="VF49" s="24"/>
      <c r="VG49" s="24"/>
      <c r="VH49" s="24"/>
      <c r="VI49" s="24"/>
      <c r="VJ49" s="24"/>
      <c r="VK49" s="24"/>
      <c r="VL49" s="24"/>
      <c r="VM49" s="24"/>
      <c r="VN49" s="24"/>
      <c r="VO49" s="24"/>
      <c r="VP49" s="24"/>
      <c r="VQ49" s="24"/>
      <c r="VR49" s="24"/>
      <c r="VS49" s="24"/>
      <c r="VT49" s="24"/>
      <c r="VU49" s="24"/>
      <c r="VV49" s="24"/>
      <c r="VW49" s="24"/>
      <c r="VX49" s="24"/>
      <c r="VY49" s="24"/>
      <c r="VZ49" s="24"/>
      <c r="WA49" s="24"/>
      <c r="WB49" s="24"/>
      <c r="WC49" s="24"/>
      <c r="WD49" s="24"/>
      <c r="WE49" s="24"/>
      <c r="WF49" s="24"/>
      <c r="WG49" s="24"/>
      <c r="WH49" s="24"/>
      <c r="WI49" s="24"/>
      <c r="WJ49" s="24"/>
      <c r="WK49" s="24"/>
      <c r="WL49" s="24"/>
      <c r="WM49" s="24"/>
      <c r="WN49" s="24"/>
      <c r="WO49" s="24"/>
      <c r="WP49" s="24"/>
      <c r="WQ49" s="24"/>
      <c r="WR49" s="24"/>
      <c r="WS49" s="24"/>
      <c r="WT49" s="24"/>
      <c r="WU49" s="24"/>
      <c r="WV49" s="24"/>
      <c r="WW49" s="24"/>
      <c r="WX49" s="24"/>
      <c r="WY49" s="24"/>
      <c r="WZ49" s="24"/>
      <c r="XA49" s="24"/>
      <c r="XB49" s="24"/>
      <c r="XC49" s="24"/>
      <c r="XD49" s="24"/>
      <c r="XE49" s="24"/>
      <c r="XF49" s="24"/>
      <c r="XG49" s="24"/>
      <c r="XH49" s="24"/>
      <c r="XI49" s="24">
        <f t="shared" si="154"/>
        <v>0</v>
      </c>
      <c r="XJ49" s="24">
        <f t="shared" si="155"/>
        <v>0</v>
      </c>
      <c r="XK49" s="24"/>
      <c r="XL49" s="24"/>
      <c r="XM49" s="24"/>
      <c r="XN49" s="24"/>
      <c r="XO49" s="24"/>
      <c r="XP49" s="24"/>
      <c r="XQ49" s="24"/>
      <c r="XR49" s="24"/>
      <c r="XS49" s="24"/>
      <c r="XT49" s="24"/>
      <c r="XU49" s="24"/>
      <c r="XV49" s="24"/>
      <c r="XW49" s="24"/>
      <c r="XX49" s="24"/>
      <c r="XY49" s="24"/>
      <c r="XZ49" s="24"/>
      <c r="YA49" s="24"/>
      <c r="YB49" s="24"/>
      <c r="YC49" s="24"/>
      <c r="YD49" s="24"/>
      <c r="YE49" s="24"/>
      <c r="YF49" s="24"/>
      <c r="YG49" s="24"/>
      <c r="YH49" s="24"/>
      <c r="YI49" s="24"/>
      <c r="YJ49" s="24"/>
      <c r="YK49" s="24"/>
      <c r="YL49" s="24"/>
      <c r="YM49" s="24"/>
      <c r="YN49" s="24"/>
      <c r="YO49" s="24"/>
      <c r="YP49" s="24"/>
      <c r="YQ49" s="24"/>
      <c r="YR49" s="24"/>
      <c r="YS49" s="24"/>
      <c r="YT49" s="24"/>
      <c r="YU49" s="24"/>
      <c r="YV49" s="24"/>
      <c r="YW49" s="24"/>
      <c r="YX49" s="24"/>
      <c r="YY49" s="24"/>
      <c r="YZ49" s="24"/>
      <c r="ZA49" s="24"/>
      <c r="ZB49" s="24"/>
      <c r="ZC49" s="24"/>
      <c r="ZD49" s="24"/>
      <c r="ZE49" s="24"/>
      <c r="ZF49" s="24"/>
      <c r="ZG49" s="24"/>
      <c r="ZH49" s="24"/>
      <c r="ZI49" s="24"/>
      <c r="ZJ49" s="24"/>
      <c r="ZK49" s="24"/>
      <c r="ZL49" s="24"/>
      <c r="ZM49" s="24"/>
      <c r="ZN49" s="24"/>
      <c r="ZO49" s="24"/>
      <c r="ZP49" s="24"/>
      <c r="ZQ49" s="24"/>
      <c r="ZR49" s="24"/>
      <c r="ZS49" s="24">
        <f t="shared" si="156"/>
        <v>0</v>
      </c>
      <c r="ZT49" s="24">
        <f t="shared" si="157"/>
        <v>0</v>
      </c>
      <c r="ZU49" s="24"/>
      <c r="ZV49" s="24"/>
      <c r="ZW49" s="24"/>
      <c r="ZX49" s="24"/>
      <c r="ZY49" s="24"/>
      <c r="ZZ49" s="24"/>
      <c r="AAA49" s="24"/>
      <c r="AAB49" s="24"/>
      <c r="AAC49" s="24"/>
      <c r="AAD49" s="24"/>
      <c r="AAE49" s="24"/>
      <c r="AAF49" s="24"/>
      <c r="AAG49" s="24"/>
      <c r="AAH49" s="24"/>
      <c r="AAI49" s="24"/>
      <c r="AAJ49" s="24"/>
      <c r="AAK49" s="24"/>
      <c r="AAL49" s="24"/>
      <c r="AAM49" s="24"/>
      <c r="AAN49" s="24"/>
      <c r="AAO49" s="24"/>
      <c r="AAP49" s="24"/>
      <c r="AAQ49" s="24"/>
      <c r="AAR49" s="24"/>
      <c r="AAS49" s="24"/>
      <c r="AAT49" s="24"/>
      <c r="AAU49" s="24"/>
      <c r="AAV49" s="24"/>
      <c r="AAW49" s="24"/>
      <c r="AAX49" s="24"/>
      <c r="AAY49" s="24"/>
      <c r="AAZ49" s="24"/>
      <c r="ABA49" s="24"/>
      <c r="ABB49" s="24"/>
      <c r="ABC49" s="24"/>
      <c r="ABD49" s="24"/>
      <c r="ABE49" s="24"/>
      <c r="ABF49" s="24"/>
      <c r="ABG49" s="24"/>
      <c r="ABH49" s="24"/>
      <c r="ABI49" s="24"/>
      <c r="ABJ49" s="24"/>
      <c r="ABK49" s="24"/>
      <c r="ABL49" s="24"/>
      <c r="ABM49" s="24"/>
      <c r="ABN49" s="24"/>
      <c r="ABO49" s="24"/>
      <c r="ABP49" s="24"/>
      <c r="ABQ49" s="24"/>
      <c r="ABR49" s="24"/>
      <c r="ABS49" s="24"/>
      <c r="ABT49" s="24"/>
      <c r="ABU49" s="24"/>
      <c r="ABV49" s="24"/>
      <c r="ABW49" s="24"/>
      <c r="ABX49" s="24"/>
      <c r="ABY49" s="24"/>
      <c r="ABZ49" s="24"/>
      <c r="ACA49" s="24"/>
      <c r="ACB49" s="24"/>
      <c r="ACC49" s="24"/>
      <c r="ACD49" s="24"/>
      <c r="ACE49" s="24">
        <f t="shared" si="158"/>
        <v>0</v>
      </c>
      <c r="ACF49" s="24"/>
      <c r="ACG49" s="24">
        <f t="shared" si="159"/>
        <v>0</v>
      </c>
      <c r="ACH49" s="25"/>
      <c r="ACI49" s="71" t="s">
        <v>164</v>
      </c>
      <c r="ACJ49" s="71" t="s">
        <v>90</v>
      </c>
    </row>
    <row r="50" spans="1:764" x14ac:dyDescent="0.25">
      <c r="A50" s="162"/>
      <c r="B50" s="152"/>
      <c r="C50" s="155"/>
      <c r="D50" s="50" t="s">
        <v>8</v>
      </c>
      <c r="E50" s="74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>
        <v>103.04</v>
      </c>
      <c r="BH50" s="75">
        <v>103.66000000000001</v>
      </c>
      <c r="BI50" s="75"/>
      <c r="BJ50" s="75"/>
      <c r="BK50" s="75"/>
      <c r="BL50" s="75"/>
      <c r="BM50" s="75"/>
      <c r="BN50" s="75"/>
      <c r="BO50" s="24" cm="1">
        <f t="array" ref="BO50">SUMPRODUCT(E50:BM50,--(E$2:BM$2=BO$2))</f>
        <v>103.04</v>
      </c>
      <c r="BP50" s="24" cm="1">
        <f t="array" ref="BP50">SUMPRODUCT(F50:BN50,--(F$2:BN$2=BP$2))</f>
        <v>103.66000000000001</v>
      </c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>
        <v>27.16</v>
      </c>
      <c r="DR50" s="24">
        <v>27.14</v>
      </c>
      <c r="DS50" s="24">
        <v>25.54</v>
      </c>
      <c r="DT50" s="24">
        <v>25.54</v>
      </c>
      <c r="DU50" s="24"/>
      <c r="DV50" s="24"/>
      <c r="DW50" s="24" cm="1">
        <f t="array" ref="DW50">SUMPRODUCT(BQ50:DU50,--(BQ$2:DU$2=DW$2))</f>
        <v>52.7</v>
      </c>
      <c r="DX50" s="24" cm="1">
        <f t="array" ref="DX50">SUMPRODUCT(BR50:DV50,--(BR$2:DV$2=DX$2))</f>
        <v>52.68</v>
      </c>
      <c r="DY50" s="24"/>
      <c r="DZ50" s="24"/>
      <c r="EA50" s="24"/>
      <c r="EB50" s="24"/>
      <c r="EC50" s="24"/>
      <c r="ED50" s="24"/>
      <c r="EE50" s="24"/>
      <c r="EF50" s="24"/>
      <c r="EG50" s="24"/>
      <c r="EH50" s="24"/>
      <c r="EI50" s="24">
        <v>26.62</v>
      </c>
      <c r="EJ50" s="24">
        <v>26.06</v>
      </c>
      <c r="EK50" s="24"/>
      <c r="EL50" s="24"/>
      <c r="EM50" s="24"/>
      <c r="EN50" s="24"/>
      <c r="EO50" s="24"/>
      <c r="EP50" s="24"/>
      <c r="EQ50" s="24">
        <v>23.84</v>
      </c>
      <c r="ER50" s="24">
        <v>23.84</v>
      </c>
      <c r="ES50" s="24"/>
      <c r="ET50" s="24"/>
      <c r="EU50" s="24">
        <v>54.620000000000005</v>
      </c>
      <c r="EV50" s="24">
        <v>53.78</v>
      </c>
      <c r="EW50" s="24">
        <v>47.94</v>
      </c>
      <c r="EX50" s="24">
        <v>48.08</v>
      </c>
      <c r="EY50" s="24"/>
      <c r="EZ50" s="24"/>
      <c r="FA50" s="24"/>
      <c r="FB50" s="24"/>
      <c r="FC50" s="24">
        <v>59.8</v>
      </c>
      <c r="FD50" s="24">
        <v>59.34</v>
      </c>
      <c r="FE50" s="24"/>
      <c r="FF50" s="24"/>
      <c r="FG50" s="24"/>
      <c r="FH50" s="24"/>
      <c r="FI50" s="24"/>
      <c r="FJ50" s="24"/>
      <c r="FK50" s="24">
        <v>81.88000000000001</v>
      </c>
      <c r="FL50" s="24">
        <v>82.14</v>
      </c>
      <c r="FM50" s="24">
        <v>24.74</v>
      </c>
      <c r="FN50" s="24">
        <v>24.38</v>
      </c>
      <c r="FO50" s="24"/>
      <c r="FP50" s="24"/>
      <c r="FQ50" s="24"/>
      <c r="FR50" s="24"/>
      <c r="FS50" s="24">
        <v>29.6</v>
      </c>
      <c r="FT50" s="24">
        <v>29.42</v>
      </c>
      <c r="FU50" s="24">
        <v>108.80000000000001</v>
      </c>
      <c r="FV50" s="24">
        <v>108.56</v>
      </c>
      <c r="FW50" s="24"/>
      <c r="FX50" s="24"/>
      <c r="FY50" s="24"/>
      <c r="FZ50" s="24"/>
      <c r="GA50" s="24"/>
      <c r="GB50" s="24"/>
      <c r="GC50" s="24"/>
      <c r="GD50" s="24"/>
      <c r="GE50" s="24">
        <v>53.019999999999996</v>
      </c>
      <c r="GF50" s="24">
        <v>53.760000000000005</v>
      </c>
      <c r="GG50" s="24">
        <v>58.08</v>
      </c>
      <c r="GH50" s="24">
        <v>57.879999999999995</v>
      </c>
      <c r="GI50" s="24" cm="1">
        <f t="array" ref="GI50">SUMPRODUCT(DY50:GG50,--(DY$2:GG$2=GI$2))</f>
        <v>568.94000000000005</v>
      </c>
      <c r="GJ50" s="24" cm="1">
        <f t="array" ref="GJ50">SUMPRODUCT(DZ50:GH50,--(DZ$2:GH$2=GJ$2))</f>
        <v>567.24</v>
      </c>
      <c r="GK50" s="24"/>
      <c r="GL50" s="24"/>
      <c r="GM50" s="24"/>
      <c r="GN50" s="24"/>
      <c r="GO50" s="24"/>
      <c r="GP50" s="24"/>
      <c r="GQ50" s="24">
        <v>26</v>
      </c>
      <c r="GR50" s="24">
        <v>25.86</v>
      </c>
      <c r="GS50" s="24"/>
      <c r="GT50" s="24"/>
      <c r="GU50" s="24"/>
      <c r="GV50" s="24"/>
      <c r="GW50" s="24"/>
      <c r="GX50" s="24"/>
      <c r="GY50" s="24"/>
      <c r="GZ50" s="24"/>
      <c r="HA50" s="24"/>
      <c r="HB50" s="24"/>
      <c r="HC50" s="24">
        <v>106.73</v>
      </c>
      <c r="HD50" s="24">
        <v>106.26</v>
      </c>
      <c r="HE50" s="24">
        <v>57.519999999999996</v>
      </c>
      <c r="HF50" s="24">
        <v>57.92</v>
      </c>
      <c r="HG50" s="24">
        <v>162.79999999999998</v>
      </c>
      <c r="HH50" s="24">
        <v>163.04000000000002</v>
      </c>
      <c r="HI50" s="24">
        <v>48.68</v>
      </c>
      <c r="HJ50" s="24">
        <v>48.900000000000006</v>
      </c>
      <c r="HK50" s="24">
        <v>205.85999999999999</v>
      </c>
      <c r="HL50" s="24">
        <v>205.35999999999999</v>
      </c>
      <c r="HM50" s="24">
        <v>123.06</v>
      </c>
      <c r="HN50" s="24">
        <v>123.08</v>
      </c>
      <c r="HO50" s="24">
        <v>49.42</v>
      </c>
      <c r="HP50" s="24">
        <v>49.28</v>
      </c>
      <c r="HQ50" s="24">
        <v>150.12</v>
      </c>
      <c r="HR50" s="24">
        <v>149.66</v>
      </c>
      <c r="HS50" s="24">
        <v>171.9</v>
      </c>
      <c r="HT50" s="24">
        <v>172.70000000000002</v>
      </c>
      <c r="HU50" s="24">
        <v>143.84</v>
      </c>
      <c r="HV50" s="24">
        <v>143.58000000000001</v>
      </c>
      <c r="HW50" s="24">
        <v>171.28</v>
      </c>
      <c r="HX50" s="24">
        <v>170.86</v>
      </c>
      <c r="HY50" s="24">
        <v>98.300000000000011</v>
      </c>
      <c r="HZ50" s="24">
        <v>98.44</v>
      </c>
      <c r="IA50" s="24">
        <v>165.16</v>
      </c>
      <c r="IB50" s="24">
        <v>165.32</v>
      </c>
      <c r="IC50" s="24">
        <v>163.16</v>
      </c>
      <c r="ID50" s="24">
        <v>163.20000000000002</v>
      </c>
      <c r="IE50" s="24">
        <v>236.94000000000003</v>
      </c>
      <c r="IF50" s="24">
        <v>236.78</v>
      </c>
      <c r="IG50" s="24"/>
      <c r="IH50" s="24"/>
      <c r="II50" s="24">
        <v>132.44</v>
      </c>
      <c r="IJ50" s="24">
        <v>132.06</v>
      </c>
      <c r="IK50" s="24"/>
      <c r="IL50" s="24"/>
      <c r="IM50" s="24"/>
      <c r="IN50" s="24"/>
      <c r="IO50" s="24"/>
      <c r="IP50" s="24"/>
      <c r="IQ50" s="24"/>
      <c r="IR50" s="24"/>
      <c r="IS50" s="24">
        <f t="shared" si="142"/>
        <v>2213.21</v>
      </c>
      <c r="IT50" s="24">
        <f t="shared" si="143"/>
        <v>2212.3000000000002</v>
      </c>
      <c r="IU50" s="24">
        <v>178.63</v>
      </c>
      <c r="IV50" s="24">
        <v>177.76</v>
      </c>
      <c r="IW50" s="24">
        <v>109.42</v>
      </c>
      <c r="IX50" s="24">
        <v>108.94</v>
      </c>
      <c r="IY50" s="24">
        <v>142.74</v>
      </c>
      <c r="IZ50" s="24">
        <v>141.45999999999998</v>
      </c>
      <c r="JA50" s="24">
        <v>106.10000000000001</v>
      </c>
      <c r="JB50" s="24">
        <v>106.24000000000001</v>
      </c>
      <c r="JC50" s="24">
        <v>26.08</v>
      </c>
      <c r="JD50" s="24">
        <v>25.92</v>
      </c>
      <c r="JE50" s="24">
        <v>88.1</v>
      </c>
      <c r="JF50" s="24">
        <v>87.84</v>
      </c>
      <c r="JG50" s="24">
        <v>123.02</v>
      </c>
      <c r="JH50" s="24">
        <v>123.35999999999999</v>
      </c>
      <c r="JI50" s="24">
        <v>150.06</v>
      </c>
      <c r="JJ50" s="24">
        <v>150.12</v>
      </c>
      <c r="JK50" s="24">
        <v>76.02000000000001</v>
      </c>
      <c r="JL50" s="24">
        <v>76.02</v>
      </c>
      <c r="JM50" s="24">
        <v>110.7</v>
      </c>
      <c r="JN50" s="24">
        <v>111.42000000000002</v>
      </c>
      <c r="JO50" s="24">
        <v>88.320000000000007</v>
      </c>
      <c r="JP50" s="24">
        <v>88.320000000000007</v>
      </c>
      <c r="JQ50" s="24">
        <v>99.11</v>
      </c>
      <c r="JR50" s="24">
        <v>98.96</v>
      </c>
      <c r="JS50" s="24">
        <v>76.359999999999985</v>
      </c>
      <c r="JT50" s="24">
        <v>76.34</v>
      </c>
      <c r="JU50" s="24">
        <v>76.94</v>
      </c>
      <c r="JV50" s="24">
        <v>76.899999999999991</v>
      </c>
      <c r="JW50" s="24"/>
      <c r="JX50" s="24"/>
      <c r="JY50" s="24"/>
      <c r="JZ50" s="24"/>
      <c r="KA50" s="24"/>
      <c r="KB50" s="24"/>
      <c r="KC50" s="24"/>
      <c r="KD50" s="24"/>
      <c r="KE50" s="24"/>
      <c r="KF50" s="24"/>
      <c r="KG50" s="24"/>
      <c r="KH50" s="24"/>
      <c r="KI50" s="24"/>
      <c r="KJ50" s="24"/>
      <c r="KK50" s="24"/>
      <c r="KL50" s="24"/>
      <c r="KM50" s="24"/>
      <c r="KN50" s="24"/>
      <c r="KO50" s="24"/>
      <c r="KP50" s="24"/>
      <c r="KQ50" s="24"/>
      <c r="KR50" s="24"/>
      <c r="KS50" s="24"/>
      <c r="KT50" s="24"/>
      <c r="KU50" s="24"/>
      <c r="KV50" s="24"/>
      <c r="KW50" s="24"/>
      <c r="KX50" s="24"/>
      <c r="KY50" s="24"/>
      <c r="KZ50" s="24"/>
      <c r="LA50" s="24"/>
      <c r="LB50" s="24"/>
      <c r="LC50" s="24"/>
      <c r="LD50" s="24"/>
      <c r="LE50" s="24">
        <f t="shared" si="144"/>
        <v>1451.6</v>
      </c>
      <c r="LF50" s="24">
        <f t="shared" si="145"/>
        <v>1449.6</v>
      </c>
      <c r="LG50" s="24"/>
      <c r="LH50" s="24"/>
      <c r="LI50" s="24"/>
      <c r="LJ50" s="24"/>
      <c r="LK50" s="24"/>
      <c r="LL50" s="24"/>
      <c r="LM50" s="24"/>
      <c r="LN50" s="24"/>
      <c r="LO50" s="24"/>
      <c r="LP50" s="24"/>
      <c r="LQ50" s="24"/>
      <c r="LR50" s="24"/>
      <c r="LS50" s="24"/>
      <c r="LT50" s="24"/>
      <c r="LU50" s="24"/>
      <c r="LV50" s="24"/>
      <c r="LW50" s="24"/>
      <c r="LX50" s="24"/>
      <c r="LY50" s="24"/>
      <c r="LZ50" s="24"/>
      <c r="MA50" s="24"/>
      <c r="MB50" s="24"/>
      <c r="MC50" s="24"/>
      <c r="MD50" s="24"/>
      <c r="ME50" s="24"/>
      <c r="MF50" s="24"/>
      <c r="MG50" s="24"/>
      <c r="MH50" s="24"/>
      <c r="MI50" s="24"/>
      <c r="MJ50" s="24"/>
      <c r="MK50" s="24"/>
      <c r="ML50" s="24"/>
      <c r="MM50" s="24"/>
      <c r="MN50" s="24"/>
      <c r="MO50" s="24"/>
      <c r="MP50" s="24"/>
      <c r="MQ50" s="24"/>
      <c r="MR50" s="24"/>
      <c r="MS50" s="24"/>
      <c r="MT50" s="24"/>
      <c r="MU50" s="24"/>
      <c r="MV50" s="24"/>
      <c r="MW50" s="24"/>
      <c r="MX50" s="24"/>
      <c r="MY50" s="24"/>
      <c r="MZ50" s="24"/>
      <c r="NA50" s="24"/>
      <c r="NB50" s="24"/>
      <c r="NC50" s="24"/>
      <c r="ND50" s="24"/>
      <c r="NE50" s="24"/>
      <c r="NF50" s="24"/>
      <c r="NG50" s="24"/>
      <c r="NH50" s="24"/>
      <c r="NI50" s="24"/>
      <c r="NJ50" s="24"/>
      <c r="NK50" s="24"/>
      <c r="NL50" s="24"/>
      <c r="NM50" s="24"/>
      <c r="NN50" s="24"/>
      <c r="NO50" s="24">
        <f t="shared" si="146"/>
        <v>0</v>
      </c>
      <c r="NP50" s="24">
        <f t="shared" si="147"/>
        <v>0</v>
      </c>
      <c r="NQ50" s="24"/>
      <c r="NR50" s="24"/>
      <c r="NS50" s="24"/>
      <c r="NT50" s="24"/>
      <c r="NU50" s="24"/>
      <c r="NV50" s="24"/>
      <c r="NW50" s="24"/>
      <c r="NX50" s="24"/>
      <c r="NY50" s="24"/>
      <c r="NZ50" s="24"/>
      <c r="OA50" s="24"/>
      <c r="OB50" s="24"/>
      <c r="OC50" s="24"/>
      <c r="OD50" s="24"/>
      <c r="OE50" s="24"/>
      <c r="OF50" s="24"/>
      <c r="OG50" s="24"/>
      <c r="OH50" s="24"/>
      <c r="OI50" s="24"/>
      <c r="OJ50" s="24"/>
      <c r="OK50" s="24"/>
      <c r="OL50" s="24"/>
      <c r="OM50" s="24"/>
      <c r="ON50" s="24"/>
      <c r="OO50" s="24"/>
      <c r="OP50" s="24"/>
      <c r="OQ50" s="24"/>
      <c r="OR50" s="24"/>
      <c r="OS50" s="24"/>
      <c r="OT50" s="24"/>
      <c r="OU50" s="24"/>
      <c r="OV50" s="24"/>
      <c r="OW50" s="24"/>
      <c r="OX50" s="24"/>
      <c r="OY50" s="24"/>
      <c r="OZ50" s="24"/>
      <c r="PA50" s="24"/>
      <c r="PB50" s="24"/>
      <c r="PC50" s="24"/>
      <c r="PD50" s="24"/>
      <c r="PE50" s="24"/>
      <c r="PF50" s="24"/>
      <c r="PG50" s="24"/>
      <c r="PH50" s="24"/>
      <c r="PI50" s="24"/>
      <c r="PJ50" s="24"/>
      <c r="PK50" s="24"/>
      <c r="PL50" s="24"/>
      <c r="PM50" s="24"/>
      <c r="PN50" s="24"/>
      <c r="PO50" s="24"/>
      <c r="PP50" s="24"/>
      <c r="PQ50" s="24"/>
      <c r="PR50" s="24"/>
      <c r="PS50" s="24"/>
      <c r="PT50" s="24"/>
      <c r="PU50" s="24"/>
      <c r="PV50" s="24"/>
      <c r="PW50" s="24"/>
      <c r="PX50" s="24"/>
      <c r="PY50" s="24"/>
      <c r="PZ50" s="24"/>
      <c r="QA50" s="24">
        <f t="shared" si="148"/>
        <v>0</v>
      </c>
      <c r="QB50" s="24">
        <f t="shared" si="149"/>
        <v>0</v>
      </c>
      <c r="QC50" s="24"/>
      <c r="QD50" s="24"/>
      <c r="QE50" s="24"/>
      <c r="QF50" s="24"/>
      <c r="QG50" s="24"/>
      <c r="QH50" s="24"/>
      <c r="QI50" s="24"/>
      <c r="QJ50" s="24"/>
      <c r="QK50" s="24"/>
      <c r="QL50" s="24"/>
      <c r="QM50" s="24"/>
      <c r="QN50" s="24"/>
      <c r="QO50" s="24"/>
      <c r="QP50" s="24"/>
      <c r="QQ50" s="24"/>
      <c r="QR50" s="24"/>
      <c r="QS50" s="24"/>
      <c r="QT50" s="24"/>
      <c r="QU50" s="24"/>
      <c r="QV50" s="24"/>
      <c r="QW50" s="24"/>
      <c r="QX50" s="24"/>
      <c r="QY50" s="24"/>
      <c r="QZ50" s="24"/>
      <c r="RA50" s="24"/>
      <c r="RB50" s="24"/>
      <c r="RC50" s="24"/>
      <c r="RD50" s="24"/>
      <c r="RE50" s="24"/>
      <c r="RF50" s="24"/>
      <c r="RG50" s="24"/>
      <c r="RH50" s="24"/>
      <c r="RI50" s="24"/>
      <c r="RJ50" s="24"/>
      <c r="RK50" s="24"/>
      <c r="RL50" s="24"/>
      <c r="RM50" s="24"/>
      <c r="RN50" s="24"/>
      <c r="RO50" s="24"/>
      <c r="RP50" s="24"/>
      <c r="RQ50" s="24"/>
      <c r="RR50" s="24"/>
      <c r="RS50" s="24"/>
      <c r="RT50" s="24"/>
      <c r="RU50" s="24"/>
      <c r="RV50" s="24"/>
      <c r="RW50" s="24"/>
      <c r="RX50" s="24"/>
      <c r="RY50" s="24"/>
      <c r="RZ50" s="24"/>
      <c r="SA50" s="24"/>
      <c r="SB50" s="24"/>
      <c r="SC50" s="24"/>
      <c r="SD50" s="24"/>
      <c r="SE50" s="24"/>
      <c r="SF50" s="24"/>
      <c r="SG50" s="24"/>
      <c r="SH50" s="24"/>
      <c r="SI50" s="24"/>
      <c r="SJ50" s="24"/>
      <c r="SK50" s="24"/>
      <c r="SL50" s="24"/>
      <c r="SM50" s="24">
        <f t="shared" si="150"/>
        <v>0</v>
      </c>
      <c r="SN50" s="24">
        <f t="shared" si="151"/>
        <v>0</v>
      </c>
      <c r="SO50" s="24"/>
      <c r="SP50" s="24"/>
      <c r="SQ50" s="24"/>
      <c r="SR50" s="24"/>
      <c r="SS50" s="24"/>
      <c r="ST50" s="24"/>
      <c r="SU50" s="24"/>
      <c r="SV50" s="24"/>
      <c r="SW50" s="24"/>
      <c r="SX50" s="24"/>
      <c r="SY50" s="24"/>
      <c r="SZ50" s="24"/>
      <c r="TA50" s="24"/>
      <c r="TB50" s="24"/>
      <c r="TC50" s="24"/>
      <c r="TD50" s="24"/>
      <c r="TE50" s="24"/>
      <c r="TF50" s="24"/>
      <c r="TG50" s="24"/>
      <c r="TH50" s="24"/>
      <c r="TI50" s="24"/>
      <c r="TJ50" s="24"/>
      <c r="TK50" s="24"/>
      <c r="TL50" s="24"/>
      <c r="TM50" s="24"/>
      <c r="TN50" s="24"/>
      <c r="TO50" s="24"/>
      <c r="TP50" s="24"/>
      <c r="TQ50" s="24"/>
      <c r="TR50" s="24"/>
      <c r="TS50" s="24"/>
      <c r="TT50" s="24"/>
      <c r="TU50" s="24"/>
      <c r="TV50" s="24"/>
      <c r="TW50" s="24"/>
      <c r="TX50" s="24"/>
      <c r="TY50" s="24"/>
      <c r="TZ50" s="24"/>
      <c r="UA50" s="24"/>
      <c r="UB50" s="24"/>
      <c r="UC50" s="24"/>
      <c r="UD50" s="24"/>
      <c r="UE50" s="24"/>
      <c r="UF50" s="24"/>
      <c r="UG50" s="24"/>
      <c r="UH50" s="24"/>
      <c r="UI50" s="24"/>
      <c r="UJ50" s="24"/>
      <c r="UK50" s="24"/>
      <c r="UL50" s="24"/>
      <c r="UM50" s="24"/>
      <c r="UN50" s="24"/>
      <c r="UO50" s="24"/>
      <c r="UP50" s="24"/>
      <c r="UQ50" s="24"/>
      <c r="UR50" s="24"/>
      <c r="US50" s="24"/>
      <c r="UT50" s="24"/>
      <c r="UU50" s="24"/>
      <c r="UV50" s="24"/>
      <c r="UW50" s="24">
        <f t="shared" si="152"/>
        <v>0</v>
      </c>
      <c r="UX50" s="24">
        <f t="shared" si="153"/>
        <v>0</v>
      </c>
      <c r="UY50" s="24"/>
      <c r="UZ50" s="24"/>
      <c r="VA50" s="24"/>
      <c r="VB50" s="24"/>
      <c r="VC50" s="24"/>
      <c r="VD50" s="24"/>
      <c r="VE50" s="24"/>
      <c r="VF50" s="24"/>
      <c r="VG50" s="24"/>
      <c r="VH50" s="24"/>
      <c r="VI50" s="24"/>
      <c r="VJ50" s="24"/>
      <c r="VK50" s="24"/>
      <c r="VL50" s="24"/>
      <c r="VM50" s="24"/>
      <c r="VN50" s="24"/>
      <c r="VO50" s="24"/>
      <c r="VP50" s="24"/>
      <c r="VQ50" s="24"/>
      <c r="VR50" s="24"/>
      <c r="VS50" s="24"/>
      <c r="VT50" s="24"/>
      <c r="VU50" s="24"/>
      <c r="VV50" s="24"/>
      <c r="VW50" s="24"/>
      <c r="VX50" s="24"/>
      <c r="VY50" s="24"/>
      <c r="VZ50" s="24"/>
      <c r="WA50" s="24"/>
      <c r="WB50" s="24"/>
      <c r="WC50" s="24"/>
      <c r="WD50" s="24"/>
      <c r="WE50" s="24"/>
      <c r="WF50" s="24"/>
      <c r="WG50" s="24"/>
      <c r="WH50" s="24"/>
      <c r="WI50" s="24"/>
      <c r="WJ50" s="24"/>
      <c r="WK50" s="24"/>
      <c r="WL50" s="24"/>
      <c r="WM50" s="24"/>
      <c r="WN50" s="24"/>
      <c r="WO50" s="24"/>
      <c r="WP50" s="24"/>
      <c r="WQ50" s="24"/>
      <c r="WR50" s="24"/>
      <c r="WS50" s="24"/>
      <c r="WT50" s="24"/>
      <c r="WU50" s="24"/>
      <c r="WV50" s="24"/>
      <c r="WW50" s="24"/>
      <c r="WX50" s="24"/>
      <c r="WY50" s="24"/>
      <c r="WZ50" s="24"/>
      <c r="XA50" s="24"/>
      <c r="XB50" s="24"/>
      <c r="XC50" s="24"/>
      <c r="XD50" s="24"/>
      <c r="XE50" s="24"/>
      <c r="XF50" s="24"/>
      <c r="XG50" s="24"/>
      <c r="XH50" s="24"/>
      <c r="XI50" s="24">
        <f t="shared" si="154"/>
        <v>0</v>
      </c>
      <c r="XJ50" s="24">
        <f t="shared" si="155"/>
        <v>0</v>
      </c>
      <c r="XK50" s="24"/>
      <c r="XL50" s="24"/>
      <c r="XM50" s="24"/>
      <c r="XN50" s="24"/>
      <c r="XO50" s="24"/>
      <c r="XP50" s="24"/>
      <c r="XQ50" s="24"/>
      <c r="XR50" s="24"/>
      <c r="XS50" s="24"/>
      <c r="XT50" s="24"/>
      <c r="XU50" s="24"/>
      <c r="XV50" s="24"/>
      <c r="XW50" s="24"/>
      <c r="XX50" s="24"/>
      <c r="XY50" s="24"/>
      <c r="XZ50" s="24"/>
      <c r="YA50" s="24"/>
      <c r="YB50" s="24"/>
      <c r="YC50" s="24"/>
      <c r="YD50" s="24"/>
      <c r="YE50" s="24"/>
      <c r="YF50" s="24"/>
      <c r="YG50" s="24"/>
      <c r="YH50" s="24"/>
      <c r="YI50" s="24"/>
      <c r="YJ50" s="24"/>
      <c r="YK50" s="24"/>
      <c r="YL50" s="24"/>
      <c r="YM50" s="24"/>
      <c r="YN50" s="24"/>
      <c r="YO50" s="24"/>
      <c r="YP50" s="24"/>
      <c r="YQ50" s="24"/>
      <c r="YR50" s="24"/>
      <c r="YS50" s="24"/>
      <c r="YT50" s="24"/>
      <c r="YU50" s="24"/>
      <c r="YV50" s="24"/>
      <c r="YW50" s="24"/>
      <c r="YX50" s="24"/>
      <c r="YY50" s="24"/>
      <c r="YZ50" s="24"/>
      <c r="ZA50" s="24"/>
      <c r="ZB50" s="24"/>
      <c r="ZC50" s="24"/>
      <c r="ZD50" s="24"/>
      <c r="ZE50" s="24"/>
      <c r="ZF50" s="24"/>
      <c r="ZG50" s="24"/>
      <c r="ZH50" s="24"/>
      <c r="ZI50" s="24"/>
      <c r="ZJ50" s="24"/>
      <c r="ZK50" s="24"/>
      <c r="ZL50" s="24"/>
      <c r="ZM50" s="24"/>
      <c r="ZN50" s="24"/>
      <c r="ZO50" s="24"/>
      <c r="ZP50" s="24"/>
      <c r="ZQ50" s="24"/>
      <c r="ZR50" s="24"/>
      <c r="ZS50" s="24">
        <f t="shared" si="156"/>
        <v>0</v>
      </c>
      <c r="ZT50" s="24">
        <f t="shared" si="157"/>
        <v>0</v>
      </c>
      <c r="ZU50" s="24"/>
      <c r="ZV50" s="24"/>
      <c r="ZW50" s="24"/>
      <c r="ZX50" s="24"/>
      <c r="ZY50" s="24"/>
      <c r="ZZ50" s="24"/>
      <c r="AAA50" s="24"/>
      <c r="AAB50" s="24"/>
      <c r="AAC50" s="24"/>
      <c r="AAD50" s="24"/>
      <c r="AAE50" s="24"/>
      <c r="AAF50" s="24"/>
      <c r="AAG50" s="24"/>
      <c r="AAH50" s="24"/>
      <c r="AAI50" s="24"/>
      <c r="AAJ50" s="24"/>
      <c r="AAK50" s="24"/>
      <c r="AAL50" s="24"/>
      <c r="AAM50" s="24"/>
      <c r="AAN50" s="24"/>
      <c r="AAO50" s="24"/>
      <c r="AAP50" s="24"/>
      <c r="AAQ50" s="24"/>
      <c r="AAR50" s="24"/>
      <c r="AAS50" s="24"/>
      <c r="AAT50" s="24"/>
      <c r="AAU50" s="24"/>
      <c r="AAV50" s="24"/>
      <c r="AAW50" s="24"/>
      <c r="AAX50" s="24"/>
      <c r="AAY50" s="24"/>
      <c r="AAZ50" s="24"/>
      <c r="ABA50" s="24"/>
      <c r="ABB50" s="24"/>
      <c r="ABC50" s="24"/>
      <c r="ABD50" s="24"/>
      <c r="ABE50" s="24"/>
      <c r="ABF50" s="24"/>
      <c r="ABG50" s="24"/>
      <c r="ABH50" s="24"/>
      <c r="ABI50" s="24"/>
      <c r="ABJ50" s="24"/>
      <c r="ABK50" s="24"/>
      <c r="ABL50" s="24"/>
      <c r="ABM50" s="24"/>
      <c r="ABN50" s="24"/>
      <c r="ABO50" s="24"/>
      <c r="ABP50" s="24"/>
      <c r="ABQ50" s="24"/>
      <c r="ABR50" s="24"/>
      <c r="ABS50" s="24"/>
      <c r="ABT50" s="24"/>
      <c r="ABU50" s="24"/>
      <c r="ABV50" s="24"/>
      <c r="ABW50" s="24"/>
      <c r="ABX50" s="24"/>
      <c r="ABY50" s="24"/>
      <c r="ABZ50" s="24"/>
      <c r="ACA50" s="24"/>
      <c r="ACB50" s="24"/>
      <c r="ACC50" s="24"/>
      <c r="ACD50" s="24"/>
      <c r="ACE50" s="24">
        <f t="shared" si="158"/>
        <v>0</v>
      </c>
      <c r="ACF50" s="24"/>
      <c r="ACG50" s="24">
        <f t="shared" si="159"/>
        <v>4389.49</v>
      </c>
      <c r="ACH50" s="25"/>
      <c r="ACI50" s="71" t="s">
        <v>165</v>
      </c>
      <c r="ACJ50" s="71" t="s">
        <v>90</v>
      </c>
    </row>
    <row r="51" spans="1:764" x14ac:dyDescent="0.25">
      <c r="A51" s="162"/>
      <c r="B51" s="152"/>
      <c r="C51" s="156"/>
      <c r="D51" s="51" t="s">
        <v>9</v>
      </c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24" cm="1">
        <f t="array" ref="BO51">SUMPRODUCT(E51:BM51,--(E$2:BM$2=BO$2))</f>
        <v>0</v>
      </c>
      <c r="BP51" s="24" cm="1">
        <f t="array" ref="BP51">SUMPRODUCT(F51:BN51,--(F$2:BN$2=BP$2))</f>
        <v>0</v>
      </c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 cm="1">
        <f t="array" ref="DW51">SUMPRODUCT(BQ51:DU51,--(BQ$2:DU$2=DW$2))</f>
        <v>0</v>
      </c>
      <c r="DX51" s="24" cm="1">
        <f t="array" ref="DX51">SUMPRODUCT(BR51:DV51,--(BR$2:DV$2=DX$2))</f>
        <v>0</v>
      </c>
      <c r="DY51" s="24"/>
      <c r="DZ51" s="24"/>
      <c r="EA51" s="24"/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  <c r="ES51" s="24"/>
      <c r="ET51" s="24"/>
      <c r="EU51" s="24"/>
      <c r="EV51" s="24"/>
      <c r="EW51" s="24"/>
      <c r="EX51" s="24"/>
      <c r="EY51" s="24"/>
      <c r="EZ51" s="24"/>
      <c r="FA51" s="24"/>
      <c r="FB51" s="24"/>
      <c r="FC51" s="24"/>
      <c r="FD51" s="24"/>
      <c r="FE51" s="24"/>
      <c r="FF51" s="24"/>
      <c r="FG51" s="24"/>
      <c r="FH51" s="24"/>
      <c r="FI51" s="24"/>
      <c r="FJ51" s="24"/>
      <c r="FK51" s="24"/>
      <c r="FL51" s="24"/>
      <c r="FM51" s="24"/>
      <c r="FN51" s="24"/>
      <c r="FO51" s="24"/>
      <c r="FP51" s="24"/>
      <c r="FQ51" s="24"/>
      <c r="FR51" s="24"/>
      <c r="FS51" s="24"/>
      <c r="FT51" s="24"/>
      <c r="FU51" s="24"/>
      <c r="FV51" s="24"/>
      <c r="FW51" s="24"/>
      <c r="FX51" s="24"/>
      <c r="FY51" s="24"/>
      <c r="FZ51" s="24"/>
      <c r="GA51" s="24"/>
      <c r="GB51" s="24"/>
      <c r="GC51" s="24"/>
      <c r="GD51" s="24"/>
      <c r="GE51" s="24"/>
      <c r="GF51" s="24"/>
      <c r="GG51" s="24"/>
      <c r="GH51" s="24"/>
      <c r="GI51" s="24" cm="1">
        <f t="array" ref="GI51">SUMPRODUCT(DY51:GG51,--(DY$2:GG$2=GI$2))</f>
        <v>0</v>
      </c>
      <c r="GJ51" s="24" cm="1">
        <f t="array" ref="GJ51">SUMPRODUCT(DZ51:GH51,--(DZ$2:GH$2=GJ$2))</f>
        <v>0</v>
      </c>
      <c r="GK51" s="24"/>
      <c r="GL51" s="24"/>
      <c r="GM51" s="24"/>
      <c r="GN51" s="24"/>
      <c r="GO51" s="24"/>
      <c r="GP51" s="24"/>
      <c r="GQ51" s="24"/>
      <c r="GR51" s="24"/>
      <c r="GS51" s="24"/>
      <c r="GT51" s="24"/>
      <c r="GU51" s="24"/>
      <c r="GV51" s="24"/>
      <c r="GW51" s="24"/>
      <c r="GX51" s="24"/>
      <c r="GY51" s="24"/>
      <c r="GZ51" s="24"/>
      <c r="HA51" s="24"/>
      <c r="HB51" s="24"/>
      <c r="HC51" s="24"/>
      <c r="HD51" s="24"/>
      <c r="HE51" s="24"/>
      <c r="HF51" s="24"/>
      <c r="HG51" s="24"/>
      <c r="HH51" s="24"/>
      <c r="HI51" s="24"/>
      <c r="HJ51" s="24"/>
      <c r="HK51" s="24"/>
      <c r="HL51" s="24"/>
      <c r="HM51" s="24"/>
      <c r="HN51" s="24"/>
      <c r="HO51" s="24"/>
      <c r="HP51" s="24"/>
      <c r="HQ51" s="24"/>
      <c r="HR51" s="24"/>
      <c r="HS51" s="24"/>
      <c r="HT51" s="24"/>
      <c r="HU51" s="24"/>
      <c r="HV51" s="24"/>
      <c r="HW51" s="24"/>
      <c r="HX51" s="24"/>
      <c r="HY51" s="24"/>
      <c r="HZ51" s="24"/>
      <c r="IA51" s="24"/>
      <c r="IB51" s="24"/>
      <c r="IC51" s="24"/>
      <c r="ID51" s="24"/>
      <c r="IE51" s="24"/>
      <c r="IF51" s="24"/>
      <c r="IG51" s="24"/>
      <c r="IH51" s="24"/>
      <c r="II51" s="24"/>
      <c r="IJ51" s="24"/>
      <c r="IK51" s="24"/>
      <c r="IL51" s="24"/>
      <c r="IM51" s="24"/>
      <c r="IN51" s="24"/>
      <c r="IO51" s="24"/>
      <c r="IP51" s="24"/>
      <c r="IQ51" s="24"/>
      <c r="IR51" s="24"/>
      <c r="IS51" s="24">
        <f t="shared" si="142"/>
        <v>0</v>
      </c>
      <c r="IT51" s="24">
        <f t="shared" si="143"/>
        <v>0</v>
      </c>
      <c r="IU51" s="24"/>
      <c r="IV51" s="24"/>
      <c r="IW51" s="24"/>
      <c r="IX51" s="24"/>
      <c r="IY51" s="24"/>
      <c r="IZ51" s="24"/>
      <c r="JA51" s="24"/>
      <c r="JB51" s="24"/>
      <c r="JC51" s="24"/>
      <c r="JD51" s="24"/>
      <c r="JE51" s="24"/>
      <c r="JF51" s="24"/>
      <c r="JG51" s="24"/>
      <c r="JH51" s="24"/>
      <c r="JI51" s="24"/>
      <c r="JJ51" s="24"/>
      <c r="JK51" s="24"/>
      <c r="JL51" s="24"/>
      <c r="JM51" s="24"/>
      <c r="JN51" s="24"/>
      <c r="JO51" s="24"/>
      <c r="JP51" s="24"/>
      <c r="JQ51" s="24"/>
      <c r="JR51" s="24"/>
      <c r="JS51" s="24"/>
      <c r="JT51" s="24"/>
      <c r="JU51" s="24"/>
      <c r="JV51" s="24"/>
      <c r="JW51" s="24"/>
      <c r="JX51" s="24"/>
      <c r="JY51" s="24"/>
      <c r="JZ51" s="24"/>
      <c r="KA51" s="24"/>
      <c r="KB51" s="24"/>
      <c r="KC51" s="24"/>
      <c r="KD51" s="24"/>
      <c r="KE51" s="24"/>
      <c r="KF51" s="24"/>
      <c r="KG51" s="24"/>
      <c r="KH51" s="24"/>
      <c r="KI51" s="24"/>
      <c r="KJ51" s="24"/>
      <c r="KK51" s="24"/>
      <c r="KL51" s="24"/>
      <c r="KM51" s="24"/>
      <c r="KN51" s="24"/>
      <c r="KO51" s="24"/>
      <c r="KP51" s="24"/>
      <c r="KQ51" s="24"/>
      <c r="KR51" s="24"/>
      <c r="KS51" s="24"/>
      <c r="KT51" s="24"/>
      <c r="KU51" s="24"/>
      <c r="KV51" s="24"/>
      <c r="KW51" s="24"/>
      <c r="KX51" s="24"/>
      <c r="KY51" s="24"/>
      <c r="KZ51" s="24"/>
      <c r="LA51" s="24"/>
      <c r="LB51" s="24"/>
      <c r="LC51" s="24"/>
      <c r="LD51" s="24"/>
      <c r="LE51" s="24">
        <f t="shared" si="144"/>
        <v>0</v>
      </c>
      <c r="LF51" s="24">
        <f t="shared" si="145"/>
        <v>0</v>
      </c>
      <c r="LG51" s="24"/>
      <c r="LH51" s="24"/>
      <c r="LI51" s="24"/>
      <c r="LJ51" s="24"/>
      <c r="LK51" s="24"/>
      <c r="LL51" s="24"/>
      <c r="LM51" s="24"/>
      <c r="LN51" s="24"/>
      <c r="LO51" s="24"/>
      <c r="LP51" s="24"/>
      <c r="LQ51" s="24"/>
      <c r="LR51" s="24"/>
      <c r="LS51" s="24"/>
      <c r="LT51" s="24"/>
      <c r="LU51" s="24"/>
      <c r="LV51" s="24"/>
      <c r="LW51" s="24"/>
      <c r="LX51" s="24"/>
      <c r="LY51" s="24"/>
      <c r="LZ51" s="24"/>
      <c r="MA51" s="24"/>
      <c r="MB51" s="24"/>
      <c r="MC51" s="24"/>
      <c r="MD51" s="24"/>
      <c r="ME51" s="24"/>
      <c r="MF51" s="24"/>
      <c r="MG51" s="24"/>
      <c r="MH51" s="24"/>
      <c r="MI51" s="24"/>
      <c r="MJ51" s="24"/>
      <c r="MK51" s="24"/>
      <c r="ML51" s="24"/>
      <c r="MM51" s="24"/>
      <c r="MN51" s="24"/>
      <c r="MO51" s="24"/>
      <c r="MP51" s="24"/>
      <c r="MQ51" s="24"/>
      <c r="MR51" s="24"/>
      <c r="MS51" s="24"/>
      <c r="MT51" s="24"/>
      <c r="MU51" s="24"/>
      <c r="MV51" s="24"/>
      <c r="MW51" s="24"/>
      <c r="MX51" s="24"/>
      <c r="MY51" s="24"/>
      <c r="MZ51" s="24"/>
      <c r="NA51" s="24"/>
      <c r="NB51" s="24"/>
      <c r="NC51" s="24"/>
      <c r="ND51" s="24"/>
      <c r="NE51" s="24"/>
      <c r="NF51" s="24"/>
      <c r="NG51" s="24"/>
      <c r="NH51" s="24"/>
      <c r="NI51" s="24"/>
      <c r="NJ51" s="24"/>
      <c r="NK51" s="24"/>
      <c r="NL51" s="24"/>
      <c r="NM51" s="24"/>
      <c r="NN51" s="24"/>
      <c r="NO51" s="24">
        <f t="shared" si="146"/>
        <v>0</v>
      </c>
      <c r="NP51" s="24">
        <f t="shared" si="147"/>
        <v>0</v>
      </c>
      <c r="NQ51" s="24"/>
      <c r="NR51" s="24"/>
      <c r="NS51" s="24"/>
      <c r="NT51" s="24"/>
      <c r="NU51" s="24"/>
      <c r="NV51" s="24"/>
      <c r="NW51" s="24"/>
      <c r="NX51" s="24"/>
      <c r="NY51" s="24"/>
      <c r="NZ51" s="24"/>
      <c r="OA51" s="24"/>
      <c r="OB51" s="24"/>
      <c r="OC51" s="24"/>
      <c r="OD51" s="24"/>
      <c r="OE51" s="24"/>
      <c r="OF51" s="24"/>
      <c r="OG51" s="24"/>
      <c r="OH51" s="24"/>
      <c r="OI51" s="24"/>
      <c r="OJ51" s="24"/>
      <c r="OK51" s="24"/>
      <c r="OL51" s="24"/>
      <c r="OM51" s="24"/>
      <c r="ON51" s="24"/>
      <c r="OO51" s="24"/>
      <c r="OP51" s="24"/>
      <c r="OQ51" s="24"/>
      <c r="OR51" s="24"/>
      <c r="OS51" s="24"/>
      <c r="OT51" s="24"/>
      <c r="OU51" s="24"/>
      <c r="OV51" s="24"/>
      <c r="OW51" s="24"/>
      <c r="OX51" s="24"/>
      <c r="OY51" s="24"/>
      <c r="OZ51" s="24"/>
      <c r="PA51" s="24"/>
      <c r="PB51" s="24"/>
      <c r="PC51" s="24"/>
      <c r="PD51" s="24"/>
      <c r="PE51" s="24"/>
      <c r="PF51" s="24"/>
      <c r="PG51" s="24"/>
      <c r="PH51" s="24"/>
      <c r="PI51" s="24"/>
      <c r="PJ51" s="24"/>
      <c r="PK51" s="24"/>
      <c r="PL51" s="24"/>
      <c r="PM51" s="24"/>
      <c r="PN51" s="24"/>
      <c r="PO51" s="24"/>
      <c r="PP51" s="24"/>
      <c r="PQ51" s="24"/>
      <c r="PR51" s="24"/>
      <c r="PS51" s="24"/>
      <c r="PT51" s="24"/>
      <c r="PU51" s="24"/>
      <c r="PV51" s="24"/>
      <c r="PW51" s="24"/>
      <c r="PX51" s="24"/>
      <c r="PY51" s="24"/>
      <c r="PZ51" s="24"/>
      <c r="QA51" s="24">
        <f t="shared" si="148"/>
        <v>0</v>
      </c>
      <c r="QB51" s="24">
        <f t="shared" si="149"/>
        <v>0</v>
      </c>
      <c r="QC51" s="24"/>
      <c r="QD51" s="24"/>
      <c r="QE51" s="24"/>
      <c r="QF51" s="24"/>
      <c r="QG51" s="24"/>
      <c r="QH51" s="24"/>
      <c r="QI51" s="24"/>
      <c r="QJ51" s="24"/>
      <c r="QK51" s="24"/>
      <c r="QL51" s="24"/>
      <c r="QM51" s="24"/>
      <c r="QN51" s="24"/>
      <c r="QO51" s="24"/>
      <c r="QP51" s="24"/>
      <c r="QQ51" s="24"/>
      <c r="QR51" s="24"/>
      <c r="QS51" s="24"/>
      <c r="QT51" s="24"/>
      <c r="QU51" s="24"/>
      <c r="QV51" s="24"/>
      <c r="QW51" s="24"/>
      <c r="QX51" s="24"/>
      <c r="QY51" s="24"/>
      <c r="QZ51" s="24"/>
      <c r="RA51" s="24"/>
      <c r="RB51" s="24"/>
      <c r="RC51" s="24"/>
      <c r="RD51" s="24"/>
      <c r="RE51" s="24"/>
      <c r="RF51" s="24"/>
      <c r="RG51" s="24"/>
      <c r="RH51" s="24"/>
      <c r="RI51" s="24"/>
      <c r="RJ51" s="24"/>
      <c r="RK51" s="24"/>
      <c r="RL51" s="24"/>
      <c r="RM51" s="24"/>
      <c r="RN51" s="24"/>
      <c r="RO51" s="24"/>
      <c r="RP51" s="24"/>
      <c r="RQ51" s="24"/>
      <c r="RR51" s="24"/>
      <c r="RS51" s="24"/>
      <c r="RT51" s="24"/>
      <c r="RU51" s="24"/>
      <c r="RV51" s="24"/>
      <c r="RW51" s="24"/>
      <c r="RX51" s="24"/>
      <c r="RY51" s="24"/>
      <c r="RZ51" s="24"/>
      <c r="SA51" s="24"/>
      <c r="SB51" s="24"/>
      <c r="SC51" s="24"/>
      <c r="SD51" s="24"/>
      <c r="SE51" s="24"/>
      <c r="SF51" s="24"/>
      <c r="SG51" s="24"/>
      <c r="SH51" s="24"/>
      <c r="SI51" s="24"/>
      <c r="SJ51" s="24"/>
      <c r="SK51" s="24"/>
      <c r="SL51" s="24"/>
      <c r="SM51" s="24">
        <f t="shared" si="150"/>
        <v>0</v>
      </c>
      <c r="SN51" s="24">
        <f t="shared" si="151"/>
        <v>0</v>
      </c>
      <c r="SO51" s="24"/>
      <c r="SP51" s="24"/>
      <c r="SQ51" s="24"/>
      <c r="SR51" s="24"/>
      <c r="SS51" s="24"/>
      <c r="ST51" s="24"/>
      <c r="SU51" s="24"/>
      <c r="SV51" s="24"/>
      <c r="SW51" s="24"/>
      <c r="SX51" s="24"/>
      <c r="SY51" s="24"/>
      <c r="SZ51" s="24"/>
      <c r="TA51" s="24"/>
      <c r="TB51" s="24"/>
      <c r="TC51" s="24"/>
      <c r="TD51" s="24"/>
      <c r="TE51" s="24"/>
      <c r="TF51" s="24"/>
      <c r="TG51" s="24"/>
      <c r="TH51" s="24"/>
      <c r="TI51" s="24"/>
      <c r="TJ51" s="24"/>
      <c r="TK51" s="24"/>
      <c r="TL51" s="24"/>
      <c r="TM51" s="24"/>
      <c r="TN51" s="24"/>
      <c r="TO51" s="24"/>
      <c r="TP51" s="24"/>
      <c r="TQ51" s="24"/>
      <c r="TR51" s="24"/>
      <c r="TS51" s="24"/>
      <c r="TT51" s="24"/>
      <c r="TU51" s="24"/>
      <c r="TV51" s="24"/>
      <c r="TW51" s="24"/>
      <c r="TX51" s="24"/>
      <c r="TY51" s="24"/>
      <c r="TZ51" s="24"/>
      <c r="UA51" s="24"/>
      <c r="UB51" s="24"/>
      <c r="UC51" s="24"/>
      <c r="UD51" s="24"/>
      <c r="UE51" s="24"/>
      <c r="UF51" s="24"/>
      <c r="UG51" s="24"/>
      <c r="UH51" s="24"/>
      <c r="UI51" s="24"/>
      <c r="UJ51" s="24"/>
      <c r="UK51" s="24"/>
      <c r="UL51" s="24"/>
      <c r="UM51" s="24"/>
      <c r="UN51" s="24"/>
      <c r="UO51" s="24"/>
      <c r="UP51" s="24"/>
      <c r="UQ51" s="24"/>
      <c r="UR51" s="24"/>
      <c r="US51" s="24"/>
      <c r="UT51" s="24"/>
      <c r="UU51" s="24"/>
      <c r="UV51" s="24"/>
      <c r="UW51" s="24">
        <f t="shared" si="152"/>
        <v>0</v>
      </c>
      <c r="UX51" s="24">
        <f t="shared" si="153"/>
        <v>0</v>
      </c>
      <c r="UY51" s="24"/>
      <c r="UZ51" s="24"/>
      <c r="VA51" s="24"/>
      <c r="VB51" s="24"/>
      <c r="VC51" s="24"/>
      <c r="VD51" s="24"/>
      <c r="VE51" s="24"/>
      <c r="VF51" s="24"/>
      <c r="VG51" s="24"/>
      <c r="VH51" s="24"/>
      <c r="VI51" s="24"/>
      <c r="VJ51" s="24"/>
      <c r="VK51" s="24"/>
      <c r="VL51" s="24"/>
      <c r="VM51" s="24"/>
      <c r="VN51" s="24"/>
      <c r="VO51" s="24"/>
      <c r="VP51" s="24"/>
      <c r="VQ51" s="24"/>
      <c r="VR51" s="24"/>
      <c r="VS51" s="24"/>
      <c r="VT51" s="24"/>
      <c r="VU51" s="24"/>
      <c r="VV51" s="24"/>
      <c r="VW51" s="24"/>
      <c r="VX51" s="24"/>
      <c r="VY51" s="24"/>
      <c r="VZ51" s="24"/>
      <c r="WA51" s="24"/>
      <c r="WB51" s="24"/>
      <c r="WC51" s="24"/>
      <c r="WD51" s="24"/>
      <c r="WE51" s="24"/>
      <c r="WF51" s="24"/>
      <c r="WG51" s="24"/>
      <c r="WH51" s="24"/>
      <c r="WI51" s="24"/>
      <c r="WJ51" s="24"/>
      <c r="WK51" s="24"/>
      <c r="WL51" s="24"/>
      <c r="WM51" s="24"/>
      <c r="WN51" s="24"/>
      <c r="WO51" s="24"/>
      <c r="WP51" s="24"/>
      <c r="WQ51" s="24"/>
      <c r="WR51" s="24"/>
      <c r="WS51" s="24"/>
      <c r="WT51" s="24"/>
      <c r="WU51" s="24"/>
      <c r="WV51" s="24"/>
      <c r="WW51" s="24"/>
      <c r="WX51" s="24"/>
      <c r="WY51" s="24"/>
      <c r="WZ51" s="24"/>
      <c r="XA51" s="24"/>
      <c r="XB51" s="24"/>
      <c r="XC51" s="24"/>
      <c r="XD51" s="24"/>
      <c r="XE51" s="24"/>
      <c r="XF51" s="24"/>
      <c r="XG51" s="24"/>
      <c r="XH51" s="24"/>
      <c r="XI51" s="24">
        <f t="shared" si="154"/>
        <v>0</v>
      </c>
      <c r="XJ51" s="24">
        <f t="shared" si="155"/>
        <v>0</v>
      </c>
      <c r="XK51" s="24"/>
      <c r="XL51" s="24"/>
      <c r="XM51" s="24"/>
      <c r="XN51" s="24"/>
      <c r="XO51" s="24"/>
      <c r="XP51" s="24"/>
      <c r="XQ51" s="24"/>
      <c r="XR51" s="24"/>
      <c r="XS51" s="24"/>
      <c r="XT51" s="24"/>
      <c r="XU51" s="24"/>
      <c r="XV51" s="24"/>
      <c r="XW51" s="24"/>
      <c r="XX51" s="24"/>
      <c r="XY51" s="24"/>
      <c r="XZ51" s="24"/>
      <c r="YA51" s="24"/>
      <c r="YB51" s="24"/>
      <c r="YC51" s="24"/>
      <c r="YD51" s="24"/>
      <c r="YE51" s="24"/>
      <c r="YF51" s="24"/>
      <c r="YG51" s="24"/>
      <c r="YH51" s="24"/>
      <c r="YI51" s="24"/>
      <c r="YJ51" s="24"/>
      <c r="YK51" s="24"/>
      <c r="YL51" s="24"/>
      <c r="YM51" s="24"/>
      <c r="YN51" s="24"/>
      <c r="YO51" s="24"/>
      <c r="YP51" s="24"/>
      <c r="YQ51" s="24"/>
      <c r="YR51" s="24"/>
      <c r="YS51" s="24"/>
      <c r="YT51" s="24"/>
      <c r="YU51" s="24"/>
      <c r="YV51" s="24"/>
      <c r="YW51" s="24"/>
      <c r="YX51" s="24"/>
      <c r="YY51" s="24"/>
      <c r="YZ51" s="24"/>
      <c r="ZA51" s="24"/>
      <c r="ZB51" s="24"/>
      <c r="ZC51" s="24"/>
      <c r="ZD51" s="24"/>
      <c r="ZE51" s="24"/>
      <c r="ZF51" s="24"/>
      <c r="ZG51" s="24"/>
      <c r="ZH51" s="24"/>
      <c r="ZI51" s="24"/>
      <c r="ZJ51" s="24"/>
      <c r="ZK51" s="24"/>
      <c r="ZL51" s="24"/>
      <c r="ZM51" s="24"/>
      <c r="ZN51" s="24"/>
      <c r="ZO51" s="24"/>
      <c r="ZP51" s="24"/>
      <c r="ZQ51" s="24"/>
      <c r="ZR51" s="24"/>
      <c r="ZS51" s="24">
        <f t="shared" si="156"/>
        <v>0</v>
      </c>
      <c r="ZT51" s="24">
        <f t="shared" si="157"/>
        <v>0</v>
      </c>
      <c r="ZU51" s="24"/>
      <c r="ZV51" s="24"/>
      <c r="ZW51" s="24"/>
      <c r="ZX51" s="24"/>
      <c r="ZY51" s="24"/>
      <c r="ZZ51" s="24"/>
      <c r="AAA51" s="24"/>
      <c r="AAB51" s="24"/>
      <c r="AAC51" s="24"/>
      <c r="AAD51" s="24"/>
      <c r="AAE51" s="24"/>
      <c r="AAF51" s="24"/>
      <c r="AAG51" s="24"/>
      <c r="AAH51" s="24"/>
      <c r="AAI51" s="24"/>
      <c r="AAJ51" s="24"/>
      <c r="AAK51" s="24"/>
      <c r="AAL51" s="24"/>
      <c r="AAM51" s="24"/>
      <c r="AAN51" s="24"/>
      <c r="AAO51" s="24"/>
      <c r="AAP51" s="24"/>
      <c r="AAQ51" s="24"/>
      <c r="AAR51" s="24"/>
      <c r="AAS51" s="24"/>
      <c r="AAT51" s="24"/>
      <c r="AAU51" s="24"/>
      <c r="AAV51" s="24"/>
      <c r="AAW51" s="24"/>
      <c r="AAX51" s="24"/>
      <c r="AAY51" s="24"/>
      <c r="AAZ51" s="24"/>
      <c r="ABA51" s="24"/>
      <c r="ABB51" s="24"/>
      <c r="ABC51" s="24"/>
      <c r="ABD51" s="24"/>
      <c r="ABE51" s="24"/>
      <c r="ABF51" s="24"/>
      <c r="ABG51" s="24"/>
      <c r="ABH51" s="24"/>
      <c r="ABI51" s="24"/>
      <c r="ABJ51" s="24"/>
      <c r="ABK51" s="24"/>
      <c r="ABL51" s="24"/>
      <c r="ABM51" s="24"/>
      <c r="ABN51" s="24"/>
      <c r="ABO51" s="24"/>
      <c r="ABP51" s="24"/>
      <c r="ABQ51" s="24"/>
      <c r="ABR51" s="24"/>
      <c r="ABS51" s="24"/>
      <c r="ABT51" s="24"/>
      <c r="ABU51" s="24"/>
      <c r="ABV51" s="24"/>
      <c r="ABW51" s="24"/>
      <c r="ABX51" s="24"/>
      <c r="ABY51" s="24"/>
      <c r="ABZ51" s="24"/>
      <c r="ACA51" s="24"/>
      <c r="ACB51" s="24"/>
      <c r="ACC51" s="24"/>
      <c r="ACD51" s="24"/>
      <c r="ACE51" s="24">
        <f t="shared" si="158"/>
        <v>0</v>
      </c>
      <c r="ACF51" s="24"/>
      <c r="ACG51" s="24">
        <f t="shared" si="159"/>
        <v>0</v>
      </c>
      <c r="ACH51" s="25"/>
      <c r="ACI51" s="71" t="s">
        <v>166</v>
      </c>
      <c r="ACJ51" s="71" t="s">
        <v>90</v>
      </c>
    </row>
    <row r="52" spans="1:764" x14ac:dyDescent="0.25">
      <c r="A52" s="162"/>
      <c r="B52" s="152"/>
      <c r="C52" s="157" t="s">
        <v>2</v>
      </c>
      <c r="D52" s="50" t="s">
        <v>6</v>
      </c>
      <c r="E52" s="74">
        <v>47.8</v>
      </c>
      <c r="F52" s="75">
        <v>46.36</v>
      </c>
      <c r="G52" s="75">
        <v>63.5</v>
      </c>
      <c r="H52" s="75">
        <v>61.26</v>
      </c>
      <c r="I52" s="75">
        <v>76.22</v>
      </c>
      <c r="J52" s="75">
        <v>74</v>
      </c>
      <c r="K52" s="75">
        <v>79.349999999999994</v>
      </c>
      <c r="L52" s="75">
        <v>81.56</v>
      </c>
      <c r="M52" s="75">
        <v>104.46</v>
      </c>
      <c r="N52" s="75">
        <v>103.86</v>
      </c>
      <c r="O52" s="75">
        <v>41.36</v>
      </c>
      <c r="P52" s="75">
        <v>40.760000000000005</v>
      </c>
      <c r="Q52" s="75">
        <v>42.86</v>
      </c>
      <c r="R52" s="75">
        <v>42.480000000000004</v>
      </c>
      <c r="S52" s="75">
        <v>45.86</v>
      </c>
      <c r="T52" s="75">
        <v>45.78</v>
      </c>
      <c r="U52" s="75">
        <v>105.78</v>
      </c>
      <c r="V52" s="75">
        <v>108.32</v>
      </c>
      <c r="W52" s="75"/>
      <c r="X52" s="75"/>
      <c r="Y52" s="75">
        <v>28.7</v>
      </c>
      <c r="Z52" s="75">
        <v>29.24</v>
      </c>
      <c r="AA52" s="75">
        <v>24.13</v>
      </c>
      <c r="AB52" s="75">
        <v>25.26</v>
      </c>
      <c r="AC52" s="75"/>
      <c r="AD52" s="75"/>
      <c r="AE52" s="75">
        <v>20.12</v>
      </c>
      <c r="AF52" s="75">
        <v>19.5</v>
      </c>
      <c r="AG52" s="75">
        <v>109.85999999999999</v>
      </c>
      <c r="AH52" s="75">
        <v>111.42</v>
      </c>
      <c r="AI52" s="75">
        <v>50.82</v>
      </c>
      <c r="AJ52" s="75">
        <v>50.8</v>
      </c>
      <c r="AK52" s="75">
        <v>198.72</v>
      </c>
      <c r="AL52" s="75">
        <v>198.32</v>
      </c>
      <c r="AM52" s="75">
        <v>170.98</v>
      </c>
      <c r="AN52" s="75">
        <v>173.2</v>
      </c>
      <c r="AO52" s="75">
        <v>65.239999999999995</v>
      </c>
      <c r="AP52" s="75">
        <v>65.459999999999994</v>
      </c>
      <c r="AQ52" s="75"/>
      <c r="AR52" s="75"/>
      <c r="AS52" s="75">
        <v>62.5</v>
      </c>
      <c r="AT52" s="75">
        <v>61.559999999999995</v>
      </c>
      <c r="AU52" s="75">
        <v>151.81000000000003</v>
      </c>
      <c r="AV52" s="75">
        <v>153.20000000000002</v>
      </c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24" cm="1">
        <f t="array" ref="BO52">SUMPRODUCT(E52:BM52,--(E$2:BM$2=BO$2))</f>
        <v>1490.0700000000002</v>
      </c>
      <c r="BP52" s="24" cm="1">
        <f t="array" ref="BP52">SUMPRODUCT(F52:BN52,--(F$2:BN$2=BP$2))</f>
        <v>1492.3400000000001</v>
      </c>
      <c r="BQ52" s="24">
        <v>28.22</v>
      </c>
      <c r="BR52" s="24">
        <v>28.18</v>
      </c>
      <c r="BS52" s="24">
        <v>131.97</v>
      </c>
      <c r="BT52" s="24">
        <v>130.9</v>
      </c>
      <c r="BU52" s="24">
        <v>130.23999999999998</v>
      </c>
      <c r="BV52" s="24">
        <v>129.38</v>
      </c>
      <c r="BW52" s="24">
        <v>75.8</v>
      </c>
      <c r="BX52" s="24">
        <v>75.36</v>
      </c>
      <c r="BY52" s="24">
        <v>115.06</v>
      </c>
      <c r="BZ52" s="24">
        <v>114.36</v>
      </c>
      <c r="CA52" s="24">
        <v>135.57999999999998</v>
      </c>
      <c r="CB52" s="24">
        <v>134.89999999999998</v>
      </c>
      <c r="CC52" s="24">
        <v>123.27</v>
      </c>
      <c r="CD52" s="24">
        <v>122.17999999999999</v>
      </c>
      <c r="CE52" s="24">
        <v>137.94</v>
      </c>
      <c r="CF52" s="24">
        <v>138.58000000000001</v>
      </c>
      <c r="CG52" s="24">
        <v>47.14</v>
      </c>
      <c r="CH52" s="24">
        <v>47.36</v>
      </c>
      <c r="CI52" s="24">
        <v>45.22</v>
      </c>
      <c r="CJ52" s="24">
        <v>44.82</v>
      </c>
      <c r="CK52" s="24">
        <v>46.24</v>
      </c>
      <c r="CL52" s="24">
        <v>46.38</v>
      </c>
      <c r="CM52" s="24">
        <v>86.62</v>
      </c>
      <c r="CN52" s="24">
        <v>86.28</v>
      </c>
      <c r="CO52" s="24">
        <v>151.72000000000003</v>
      </c>
      <c r="CP52" s="24">
        <v>151.56</v>
      </c>
      <c r="CQ52" s="24">
        <v>21.32</v>
      </c>
      <c r="CR52" s="24">
        <v>21.6</v>
      </c>
      <c r="CS52" s="24">
        <v>22.2</v>
      </c>
      <c r="CT52" s="24">
        <v>22.48</v>
      </c>
      <c r="CU52" s="24">
        <v>77.900000000000006</v>
      </c>
      <c r="CV52" s="24">
        <v>77.599999999999994</v>
      </c>
      <c r="CW52" s="24">
        <v>224.78</v>
      </c>
      <c r="CX52" s="24">
        <v>228.12</v>
      </c>
      <c r="CY52" s="24">
        <v>187.44</v>
      </c>
      <c r="CZ52" s="24">
        <v>185.7</v>
      </c>
      <c r="DA52" s="24">
        <v>71.02000000000001</v>
      </c>
      <c r="DB52" s="24">
        <v>70.64</v>
      </c>
      <c r="DC52" s="24">
        <v>97.86</v>
      </c>
      <c r="DD52" s="24">
        <v>97.74</v>
      </c>
      <c r="DE52" s="24">
        <v>331.52000000000004</v>
      </c>
      <c r="DF52" s="24">
        <v>330.67999999999995</v>
      </c>
      <c r="DG52" s="24">
        <v>164.88</v>
      </c>
      <c r="DH52" s="24">
        <v>164.39999999999998</v>
      </c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 cm="1">
        <f t="array" ref="DW52">SUMPRODUCT(BQ52:DU52,--(BQ$2:DU$2=DW$2))</f>
        <v>2453.94</v>
      </c>
      <c r="DX52" s="24" cm="1">
        <f t="array" ref="DX52">SUMPRODUCT(BR52:DV52,--(BR$2:DV$2=DX$2))</f>
        <v>2449.2000000000003</v>
      </c>
      <c r="DY52" s="24"/>
      <c r="DZ52" s="24"/>
      <c r="EA52" s="24"/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/>
      <c r="EV52" s="24"/>
      <c r="EW52" s="24"/>
      <c r="EX52" s="24"/>
      <c r="EY52" s="24"/>
      <c r="EZ52" s="24"/>
      <c r="FA52" s="24"/>
      <c r="FB52" s="24"/>
      <c r="FC52" s="24"/>
      <c r="FD52" s="24"/>
      <c r="FE52" s="24"/>
      <c r="FF52" s="24"/>
      <c r="FG52" s="24"/>
      <c r="FH52" s="24"/>
      <c r="FI52" s="24"/>
      <c r="FJ52" s="24"/>
      <c r="FK52" s="24"/>
      <c r="FL52" s="24"/>
      <c r="FM52" s="24"/>
      <c r="FN52" s="24"/>
      <c r="FO52" s="24"/>
      <c r="FP52" s="24"/>
      <c r="FQ52" s="24"/>
      <c r="FR52" s="24"/>
      <c r="FS52" s="24"/>
      <c r="FT52" s="24"/>
      <c r="FU52" s="24"/>
      <c r="FV52" s="24"/>
      <c r="FW52" s="24"/>
      <c r="FX52" s="24"/>
      <c r="FY52" s="24"/>
      <c r="FZ52" s="24"/>
      <c r="GA52" s="24"/>
      <c r="GB52" s="24"/>
      <c r="GC52" s="24"/>
      <c r="GD52" s="24"/>
      <c r="GE52" s="24"/>
      <c r="GF52" s="24"/>
      <c r="GG52" s="24"/>
      <c r="GH52" s="24"/>
      <c r="GI52" s="24" cm="1">
        <f t="array" ref="GI52">SUMPRODUCT(DY52:GG52,--(DY$2:GG$2=GI$2))</f>
        <v>0</v>
      </c>
      <c r="GJ52" s="24" cm="1">
        <f t="array" ref="GJ52">SUMPRODUCT(DZ52:GH52,--(DZ$2:GH$2=GJ$2))</f>
        <v>0</v>
      </c>
      <c r="GK52" s="24"/>
      <c r="GL52" s="24"/>
      <c r="GM52" s="24"/>
      <c r="GN52" s="24"/>
      <c r="GO52" s="24"/>
      <c r="GP52" s="24"/>
      <c r="GQ52" s="24"/>
      <c r="GR52" s="24"/>
      <c r="GS52" s="24"/>
      <c r="GT52" s="24"/>
      <c r="GU52" s="24"/>
      <c r="GV52" s="24"/>
      <c r="GW52" s="24"/>
      <c r="GX52" s="24"/>
      <c r="GY52" s="24"/>
      <c r="GZ52" s="24"/>
      <c r="HA52" s="24"/>
      <c r="HB52" s="24"/>
      <c r="HC52" s="24"/>
      <c r="HD52" s="24"/>
      <c r="HE52" s="24"/>
      <c r="HF52" s="24"/>
      <c r="HG52" s="24"/>
      <c r="HH52" s="24"/>
      <c r="HI52" s="24"/>
      <c r="HJ52" s="24"/>
      <c r="HK52" s="24"/>
      <c r="HL52" s="24"/>
      <c r="HM52" s="24"/>
      <c r="HN52" s="24"/>
      <c r="HO52" s="24"/>
      <c r="HP52" s="24"/>
      <c r="HQ52" s="24"/>
      <c r="HR52" s="24"/>
      <c r="HS52" s="24"/>
      <c r="HT52" s="24"/>
      <c r="HU52" s="24"/>
      <c r="HV52" s="24"/>
      <c r="HW52" s="24"/>
      <c r="HX52" s="24"/>
      <c r="HY52" s="24"/>
      <c r="HZ52" s="24"/>
      <c r="IA52" s="24"/>
      <c r="IB52" s="24"/>
      <c r="IC52" s="24"/>
      <c r="ID52" s="24"/>
      <c r="IE52" s="24"/>
      <c r="IF52" s="24"/>
      <c r="IG52" s="24"/>
      <c r="IH52" s="24"/>
      <c r="II52" s="24"/>
      <c r="IJ52" s="24"/>
      <c r="IK52" s="24"/>
      <c r="IL52" s="24"/>
      <c r="IM52" s="24"/>
      <c r="IN52" s="24"/>
      <c r="IO52" s="24"/>
      <c r="IP52" s="24"/>
      <c r="IQ52" s="24"/>
      <c r="IR52" s="24"/>
      <c r="IS52" s="24">
        <f t="shared" si="142"/>
        <v>0</v>
      </c>
      <c r="IT52" s="24">
        <f t="shared" si="143"/>
        <v>0</v>
      </c>
      <c r="IU52" s="24"/>
      <c r="IV52" s="24"/>
      <c r="IW52" s="24"/>
      <c r="IX52" s="24"/>
      <c r="IY52" s="24"/>
      <c r="IZ52" s="24"/>
      <c r="JA52" s="24"/>
      <c r="JB52" s="24"/>
      <c r="JC52" s="24"/>
      <c r="JD52" s="24"/>
      <c r="JE52" s="24"/>
      <c r="JF52" s="24"/>
      <c r="JG52" s="24"/>
      <c r="JH52" s="24"/>
      <c r="JI52" s="24"/>
      <c r="JJ52" s="24"/>
      <c r="JK52" s="24"/>
      <c r="JL52" s="24"/>
      <c r="JM52" s="24"/>
      <c r="JN52" s="24"/>
      <c r="JO52" s="24"/>
      <c r="JP52" s="24"/>
      <c r="JQ52" s="24"/>
      <c r="JR52" s="24"/>
      <c r="JS52" s="24"/>
      <c r="JT52" s="24"/>
      <c r="JU52" s="24"/>
      <c r="JV52" s="24"/>
      <c r="JW52" s="24"/>
      <c r="JX52" s="24"/>
      <c r="JY52" s="24"/>
      <c r="JZ52" s="24"/>
      <c r="KA52" s="24"/>
      <c r="KB52" s="24"/>
      <c r="KC52" s="24"/>
      <c r="KD52" s="24"/>
      <c r="KE52" s="24"/>
      <c r="KF52" s="24"/>
      <c r="KG52" s="24"/>
      <c r="KH52" s="24"/>
      <c r="KI52" s="24"/>
      <c r="KJ52" s="24"/>
      <c r="KK52" s="24"/>
      <c r="KL52" s="24"/>
      <c r="KM52" s="24"/>
      <c r="KN52" s="24"/>
      <c r="KO52" s="24"/>
      <c r="KP52" s="24"/>
      <c r="KQ52" s="24"/>
      <c r="KR52" s="24"/>
      <c r="KS52" s="24"/>
      <c r="KT52" s="24"/>
      <c r="KU52" s="24"/>
      <c r="KV52" s="24"/>
      <c r="KW52" s="24"/>
      <c r="KX52" s="24"/>
      <c r="KY52" s="24"/>
      <c r="KZ52" s="24"/>
      <c r="LA52" s="24"/>
      <c r="LB52" s="24"/>
      <c r="LC52" s="24"/>
      <c r="LD52" s="24"/>
      <c r="LE52" s="24">
        <f t="shared" si="144"/>
        <v>0</v>
      </c>
      <c r="LF52" s="24">
        <f t="shared" si="145"/>
        <v>0</v>
      </c>
      <c r="LG52" s="24"/>
      <c r="LH52" s="24"/>
      <c r="LI52" s="24"/>
      <c r="LJ52" s="24"/>
      <c r="LK52" s="24"/>
      <c r="LL52" s="24"/>
      <c r="LM52" s="24"/>
      <c r="LN52" s="24"/>
      <c r="LO52" s="24"/>
      <c r="LP52" s="24"/>
      <c r="LQ52" s="24"/>
      <c r="LR52" s="24"/>
      <c r="LS52" s="24"/>
      <c r="LT52" s="24"/>
      <c r="LU52" s="24"/>
      <c r="LV52" s="24"/>
      <c r="LW52" s="24"/>
      <c r="LX52" s="24"/>
      <c r="LY52" s="24"/>
      <c r="LZ52" s="24"/>
      <c r="MA52" s="24"/>
      <c r="MB52" s="24"/>
      <c r="MC52" s="24"/>
      <c r="MD52" s="24"/>
      <c r="ME52" s="24"/>
      <c r="MF52" s="24"/>
      <c r="MG52" s="24"/>
      <c r="MH52" s="24"/>
      <c r="MI52" s="24"/>
      <c r="MJ52" s="24"/>
      <c r="MK52" s="24"/>
      <c r="ML52" s="24"/>
      <c r="MM52" s="24"/>
      <c r="MN52" s="24"/>
      <c r="MO52" s="24"/>
      <c r="MP52" s="24"/>
      <c r="MQ52" s="24"/>
      <c r="MR52" s="24"/>
      <c r="MS52" s="24"/>
      <c r="MT52" s="24"/>
      <c r="MU52" s="24"/>
      <c r="MV52" s="24"/>
      <c r="MW52" s="24"/>
      <c r="MX52" s="24"/>
      <c r="MY52" s="24"/>
      <c r="MZ52" s="24"/>
      <c r="NA52" s="24"/>
      <c r="NB52" s="24"/>
      <c r="NC52" s="24"/>
      <c r="ND52" s="24"/>
      <c r="NE52" s="24"/>
      <c r="NF52" s="24"/>
      <c r="NG52" s="24"/>
      <c r="NH52" s="24"/>
      <c r="NI52" s="24"/>
      <c r="NJ52" s="24"/>
      <c r="NK52" s="24"/>
      <c r="NL52" s="24"/>
      <c r="NM52" s="24"/>
      <c r="NN52" s="24"/>
      <c r="NO52" s="24">
        <f t="shared" si="146"/>
        <v>0</v>
      </c>
      <c r="NP52" s="24">
        <f t="shared" si="147"/>
        <v>0</v>
      </c>
      <c r="NQ52" s="24"/>
      <c r="NR52" s="24"/>
      <c r="NS52" s="24"/>
      <c r="NT52" s="24"/>
      <c r="NU52" s="24"/>
      <c r="NV52" s="24"/>
      <c r="NW52" s="24"/>
      <c r="NX52" s="24"/>
      <c r="NY52" s="24"/>
      <c r="NZ52" s="24"/>
      <c r="OA52" s="24"/>
      <c r="OB52" s="24"/>
      <c r="OC52" s="24"/>
      <c r="OD52" s="24"/>
      <c r="OE52" s="24"/>
      <c r="OF52" s="24"/>
      <c r="OG52" s="24"/>
      <c r="OH52" s="24"/>
      <c r="OI52" s="24"/>
      <c r="OJ52" s="24"/>
      <c r="OK52" s="24"/>
      <c r="OL52" s="24"/>
      <c r="OM52" s="24"/>
      <c r="ON52" s="24"/>
      <c r="OO52" s="24"/>
      <c r="OP52" s="24"/>
      <c r="OQ52" s="24"/>
      <c r="OR52" s="24"/>
      <c r="OS52" s="24"/>
      <c r="OT52" s="24"/>
      <c r="OU52" s="24"/>
      <c r="OV52" s="24"/>
      <c r="OW52" s="24"/>
      <c r="OX52" s="24"/>
      <c r="OY52" s="24"/>
      <c r="OZ52" s="24"/>
      <c r="PA52" s="24"/>
      <c r="PB52" s="24"/>
      <c r="PC52" s="24"/>
      <c r="PD52" s="24"/>
      <c r="PE52" s="24"/>
      <c r="PF52" s="24"/>
      <c r="PG52" s="24"/>
      <c r="PH52" s="24"/>
      <c r="PI52" s="24"/>
      <c r="PJ52" s="24"/>
      <c r="PK52" s="24"/>
      <c r="PL52" s="24"/>
      <c r="PM52" s="24"/>
      <c r="PN52" s="24"/>
      <c r="PO52" s="24"/>
      <c r="PP52" s="24"/>
      <c r="PQ52" s="24"/>
      <c r="PR52" s="24"/>
      <c r="PS52" s="24"/>
      <c r="PT52" s="24"/>
      <c r="PU52" s="24"/>
      <c r="PV52" s="24"/>
      <c r="PW52" s="24"/>
      <c r="PX52" s="24"/>
      <c r="PY52" s="24"/>
      <c r="PZ52" s="24"/>
      <c r="QA52" s="24">
        <f t="shared" si="148"/>
        <v>0</v>
      </c>
      <c r="QB52" s="24">
        <f t="shared" si="149"/>
        <v>0</v>
      </c>
      <c r="QC52" s="24"/>
      <c r="QD52" s="24"/>
      <c r="QE52" s="24"/>
      <c r="QF52" s="24"/>
      <c r="QG52" s="24"/>
      <c r="QH52" s="24"/>
      <c r="QI52" s="24"/>
      <c r="QJ52" s="24"/>
      <c r="QK52" s="24"/>
      <c r="QL52" s="24"/>
      <c r="QM52" s="24"/>
      <c r="QN52" s="24"/>
      <c r="QO52" s="24"/>
      <c r="QP52" s="24"/>
      <c r="QQ52" s="24"/>
      <c r="QR52" s="24"/>
      <c r="QS52" s="24"/>
      <c r="QT52" s="24"/>
      <c r="QU52" s="24"/>
      <c r="QV52" s="24"/>
      <c r="QW52" s="24"/>
      <c r="QX52" s="24"/>
      <c r="QY52" s="24"/>
      <c r="QZ52" s="24"/>
      <c r="RA52" s="24"/>
      <c r="RB52" s="24"/>
      <c r="RC52" s="24"/>
      <c r="RD52" s="24"/>
      <c r="RE52" s="24"/>
      <c r="RF52" s="24"/>
      <c r="RG52" s="24"/>
      <c r="RH52" s="24"/>
      <c r="RI52" s="24"/>
      <c r="RJ52" s="24"/>
      <c r="RK52" s="24"/>
      <c r="RL52" s="24"/>
      <c r="RM52" s="24"/>
      <c r="RN52" s="24"/>
      <c r="RO52" s="24"/>
      <c r="RP52" s="24"/>
      <c r="RQ52" s="24"/>
      <c r="RR52" s="24"/>
      <c r="RS52" s="24"/>
      <c r="RT52" s="24"/>
      <c r="RU52" s="24"/>
      <c r="RV52" s="24"/>
      <c r="RW52" s="24"/>
      <c r="RX52" s="24"/>
      <c r="RY52" s="24"/>
      <c r="RZ52" s="24"/>
      <c r="SA52" s="24"/>
      <c r="SB52" s="24"/>
      <c r="SC52" s="24"/>
      <c r="SD52" s="24"/>
      <c r="SE52" s="24"/>
      <c r="SF52" s="24"/>
      <c r="SG52" s="24"/>
      <c r="SH52" s="24"/>
      <c r="SI52" s="24"/>
      <c r="SJ52" s="24"/>
      <c r="SK52" s="24"/>
      <c r="SL52" s="24"/>
      <c r="SM52" s="24">
        <f t="shared" si="150"/>
        <v>0</v>
      </c>
      <c r="SN52" s="24">
        <f t="shared" si="151"/>
        <v>0</v>
      </c>
      <c r="SO52" s="24"/>
      <c r="SP52" s="24"/>
      <c r="SQ52" s="24"/>
      <c r="SR52" s="24"/>
      <c r="SS52" s="24"/>
      <c r="ST52" s="24"/>
      <c r="SU52" s="24"/>
      <c r="SV52" s="24"/>
      <c r="SW52" s="24"/>
      <c r="SX52" s="24"/>
      <c r="SY52" s="24"/>
      <c r="SZ52" s="24"/>
      <c r="TA52" s="24"/>
      <c r="TB52" s="24"/>
      <c r="TC52" s="24"/>
      <c r="TD52" s="24"/>
      <c r="TE52" s="24"/>
      <c r="TF52" s="24"/>
      <c r="TG52" s="24"/>
      <c r="TH52" s="24"/>
      <c r="TI52" s="24"/>
      <c r="TJ52" s="24"/>
      <c r="TK52" s="24"/>
      <c r="TL52" s="24"/>
      <c r="TM52" s="24"/>
      <c r="TN52" s="24"/>
      <c r="TO52" s="24"/>
      <c r="TP52" s="24"/>
      <c r="TQ52" s="24"/>
      <c r="TR52" s="24"/>
      <c r="TS52" s="24"/>
      <c r="TT52" s="24"/>
      <c r="TU52" s="24"/>
      <c r="TV52" s="24"/>
      <c r="TW52" s="24"/>
      <c r="TX52" s="24"/>
      <c r="TY52" s="24"/>
      <c r="TZ52" s="24"/>
      <c r="UA52" s="24"/>
      <c r="UB52" s="24"/>
      <c r="UC52" s="24"/>
      <c r="UD52" s="24"/>
      <c r="UE52" s="24"/>
      <c r="UF52" s="24"/>
      <c r="UG52" s="24"/>
      <c r="UH52" s="24"/>
      <c r="UI52" s="24"/>
      <c r="UJ52" s="24"/>
      <c r="UK52" s="24"/>
      <c r="UL52" s="24"/>
      <c r="UM52" s="24"/>
      <c r="UN52" s="24"/>
      <c r="UO52" s="24"/>
      <c r="UP52" s="24"/>
      <c r="UQ52" s="24"/>
      <c r="UR52" s="24"/>
      <c r="US52" s="24"/>
      <c r="UT52" s="24"/>
      <c r="UU52" s="24"/>
      <c r="UV52" s="24"/>
      <c r="UW52" s="24">
        <f t="shared" si="152"/>
        <v>0</v>
      </c>
      <c r="UX52" s="24">
        <f t="shared" si="153"/>
        <v>0</v>
      </c>
      <c r="UY52" s="24"/>
      <c r="UZ52" s="24"/>
      <c r="VA52" s="24"/>
      <c r="VB52" s="24"/>
      <c r="VC52" s="24"/>
      <c r="VD52" s="24"/>
      <c r="VE52" s="24"/>
      <c r="VF52" s="24"/>
      <c r="VG52" s="24"/>
      <c r="VH52" s="24"/>
      <c r="VI52" s="24"/>
      <c r="VJ52" s="24"/>
      <c r="VK52" s="24"/>
      <c r="VL52" s="24"/>
      <c r="VM52" s="24"/>
      <c r="VN52" s="24"/>
      <c r="VO52" s="24"/>
      <c r="VP52" s="24"/>
      <c r="VQ52" s="24"/>
      <c r="VR52" s="24"/>
      <c r="VS52" s="24"/>
      <c r="VT52" s="24"/>
      <c r="VU52" s="24"/>
      <c r="VV52" s="24"/>
      <c r="VW52" s="24"/>
      <c r="VX52" s="24"/>
      <c r="VY52" s="24"/>
      <c r="VZ52" s="24"/>
      <c r="WA52" s="24"/>
      <c r="WB52" s="24"/>
      <c r="WC52" s="24"/>
      <c r="WD52" s="24"/>
      <c r="WE52" s="24"/>
      <c r="WF52" s="24"/>
      <c r="WG52" s="24"/>
      <c r="WH52" s="24"/>
      <c r="WI52" s="24"/>
      <c r="WJ52" s="24"/>
      <c r="WK52" s="24"/>
      <c r="WL52" s="24"/>
      <c r="WM52" s="24"/>
      <c r="WN52" s="24"/>
      <c r="WO52" s="24"/>
      <c r="WP52" s="24"/>
      <c r="WQ52" s="24"/>
      <c r="WR52" s="24"/>
      <c r="WS52" s="24"/>
      <c r="WT52" s="24"/>
      <c r="WU52" s="24"/>
      <c r="WV52" s="24"/>
      <c r="WW52" s="24"/>
      <c r="WX52" s="24"/>
      <c r="WY52" s="24"/>
      <c r="WZ52" s="24"/>
      <c r="XA52" s="24"/>
      <c r="XB52" s="24"/>
      <c r="XC52" s="24"/>
      <c r="XD52" s="24"/>
      <c r="XE52" s="24"/>
      <c r="XF52" s="24"/>
      <c r="XG52" s="24"/>
      <c r="XH52" s="24"/>
      <c r="XI52" s="24">
        <f t="shared" si="154"/>
        <v>0</v>
      </c>
      <c r="XJ52" s="24">
        <f t="shared" si="155"/>
        <v>0</v>
      </c>
      <c r="XK52" s="24"/>
      <c r="XL52" s="24"/>
      <c r="XM52" s="24"/>
      <c r="XN52" s="24"/>
      <c r="XO52" s="24"/>
      <c r="XP52" s="24"/>
      <c r="XQ52" s="24"/>
      <c r="XR52" s="24"/>
      <c r="XS52" s="24"/>
      <c r="XT52" s="24"/>
      <c r="XU52" s="24"/>
      <c r="XV52" s="24"/>
      <c r="XW52" s="24"/>
      <c r="XX52" s="24"/>
      <c r="XY52" s="24"/>
      <c r="XZ52" s="24"/>
      <c r="YA52" s="24"/>
      <c r="YB52" s="24"/>
      <c r="YC52" s="24"/>
      <c r="YD52" s="24"/>
      <c r="YE52" s="24"/>
      <c r="YF52" s="24"/>
      <c r="YG52" s="24"/>
      <c r="YH52" s="24"/>
      <c r="YI52" s="24"/>
      <c r="YJ52" s="24"/>
      <c r="YK52" s="24"/>
      <c r="YL52" s="24"/>
      <c r="YM52" s="24"/>
      <c r="YN52" s="24"/>
      <c r="YO52" s="24"/>
      <c r="YP52" s="24"/>
      <c r="YQ52" s="24"/>
      <c r="YR52" s="24"/>
      <c r="YS52" s="24"/>
      <c r="YT52" s="24"/>
      <c r="YU52" s="24"/>
      <c r="YV52" s="24"/>
      <c r="YW52" s="24"/>
      <c r="YX52" s="24"/>
      <c r="YY52" s="24"/>
      <c r="YZ52" s="24"/>
      <c r="ZA52" s="24"/>
      <c r="ZB52" s="24"/>
      <c r="ZC52" s="24"/>
      <c r="ZD52" s="24"/>
      <c r="ZE52" s="24"/>
      <c r="ZF52" s="24"/>
      <c r="ZG52" s="24"/>
      <c r="ZH52" s="24"/>
      <c r="ZI52" s="24"/>
      <c r="ZJ52" s="24"/>
      <c r="ZK52" s="24"/>
      <c r="ZL52" s="24"/>
      <c r="ZM52" s="24"/>
      <c r="ZN52" s="24"/>
      <c r="ZO52" s="24"/>
      <c r="ZP52" s="24"/>
      <c r="ZQ52" s="24"/>
      <c r="ZR52" s="24"/>
      <c r="ZS52" s="24">
        <f t="shared" si="156"/>
        <v>0</v>
      </c>
      <c r="ZT52" s="24">
        <f t="shared" si="157"/>
        <v>0</v>
      </c>
      <c r="ZU52" s="24"/>
      <c r="ZV52" s="24"/>
      <c r="ZW52" s="24"/>
      <c r="ZX52" s="24"/>
      <c r="ZY52" s="24"/>
      <c r="ZZ52" s="24"/>
      <c r="AAA52" s="24"/>
      <c r="AAB52" s="24"/>
      <c r="AAC52" s="24"/>
      <c r="AAD52" s="24"/>
      <c r="AAE52" s="24"/>
      <c r="AAF52" s="24"/>
      <c r="AAG52" s="24"/>
      <c r="AAH52" s="24"/>
      <c r="AAI52" s="24"/>
      <c r="AAJ52" s="24"/>
      <c r="AAK52" s="24"/>
      <c r="AAL52" s="24"/>
      <c r="AAM52" s="24"/>
      <c r="AAN52" s="24"/>
      <c r="AAO52" s="24"/>
      <c r="AAP52" s="24"/>
      <c r="AAQ52" s="24"/>
      <c r="AAR52" s="24"/>
      <c r="AAS52" s="24"/>
      <c r="AAT52" s="24"/>
      <c r="AAU52" s="24"/>
      <c r="AAV52" s="24"/>
      <c r="AAW52" s="24"/>
      <c r="AAX52" s="24"/>
      <c r="AAY52" s="24"/>
      <c r="AAZ52" s="24"/>
      <c r="ABA52" s="24"/>
      <c r="ABB52" s="24"/>
      <c r="ABC52" s="24"/>
      <c r="ABD52" s="24"/>
      <c r="ABE52" s="24"/>
      <c r="ABF52" s="24"/>
      <c r="ABG52" s="24"/>
      <c r="ABH52" s="24"/>
      <c r="ABI52" s="24"/>
      <c r="ABJ52" s="24"/>
      <c r="ABK52" s="24"/>
      <c r="ABL52" s="24"/>
      <c r="ABM52" s="24"/>
      <c r="ABN52" s="24"/>
      <c r="ABO52" s="24"/>
      <c r="ABP52" s="24"/>
      <c r="ABQ52" s="24"/>
      <c r="ABR52" s="24"/>
      <c r="ABS52" s="24"/>
      <c r="ABT52" s="24"/>
      <c r="ABU52" s="24"/>
      <c r="ABV52" s="24"/>
      <c r="ABW52" s="24"/>
      <c r="ABX52" s="24"/>
      <c r="ABY52" s="24"/>
      <c r="ABZ52" s="24"/>
      <c r="ACA52" s="24"/>
      <c r="ACB52" s="24"/>
      <c r="ACC52" s="24"/>
      <c r="ACD52" s="24"/>
      <c r="ACE52" s="24">
        <f t="shared" si="158"/>
        <v>0</v>
      </c>
      <c r="ACF52" s="24"/>
      <c r="ACG52" s="24">
        <f t="shared" si="159"/>
        <v>3944.01</v>
      </c>
      <c r="ACH52" s="25"/>
      <c r="ACI52" s="71" t="s">
        <v>157</v>
      </c>
      <c r="ACJ52" s="71" t="s">
        <v>90</v>
      </c>
    </row>
    <row r="53" spans="1:764" x14ac:dyDescent="0.25">
      <c r="A53" s="162"/>
      <c r="B53" s="152"/>
      <c r="C53" s="155"/>
      <c r="D53" s="50" t="s">
        <v>7</v>
      </c>
      <c r="E53" s="74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24" cm="1">
        <f t="array" ref="BO53">SUMPRODUCT(E53:BM53,--(E$2:BM$2=BO$2))</f>
        <v>0</v>
      </c>
      <c r="BP53" s="24" cm="1">
        <f t="array" ref="BP53">SUMPRODUCT(F53:BN53,--(F$2:BN$2=BP$2))</f>
        <v>0</v>
      </c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  <c r="DJ53" s="24"/>
      <c r="DK53" s="24"/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 cm="1">
        <f t="array" ref="DW53">SUMPRODUCT(BQ53:DU53,--(BQ$2:DU$2=DW$2))</f>
        <v>0</v>
      </c>
      <c r="DX53" s="24" cm="1">
        <f t="array" ref="DX53">SUMPRODUCT(BR53:DV53,--(BR$2:DV$2=DX$2))</f>
        <v>0</v>
      </c>
      <c r="DY53" s="24"/>
      <c r="DZ53" s="24"/>
      <c r="EA53" s="24"/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  <c r="ES53" s="24"/>
      <c r="ET53" s="24"/>
      <c r="EU53" s="24"/>
      <c r="EV53" s="24"/>
      <c r="EW53" s="24"/>
      <c r="EX53" s="24"/>
      <c r="EY53" s="24"/>
      <c r="EZ53" s="24"/>
      <c r="FA53" s="24"/>
      <c r="FB53" s="24"/>
      <c r="FC53" s="24"/>
      <c r="FD53" s="24"/>
      <c r="FE53" s="24"/>
      <c r="FF53" s="24"/>
      <c r="FG53" s="24"/>
      <c r="FH53" s="24"/>
      <c r="FI53" s="24"/>
      <c r="FJ53" s="24"/>
      <c r="FK53" s="24"/>
      <c r="FL53" s="24"/>
      <c r="FM53" s="24"/>
      <c r="FN53" s="24"/>
      <c r="FO53" s="24"/>
      <c r="FP53" s="24"/>
      <c r="FQ53" s="24"/>
      <c r="FR53" s="24"/>
      <c r="FS53" s="24"/>
      <c r="FT53" s="24"/>
      <c r="FU53" s="24"/>
      <c r="FV53" s="24"/>
      <c r="FW53" s="24"/>
      <c r="FX53" s="24"/>
      <c r="FY53" s="24"/>
      <c r="FZ53" s="24"/>
      <c r="GA53" s="24"/>
      <c r="GB53" s="24"/>
      <c r="GC53" s="24"/>
      <c r="GD53" s="24"/>
      <c r="GE53" s="24"/>
      <c r="GF53" s="24"/>
      <c r="GG53" s="24"/>
      <c r="GH53" s="24"/>
      <c r="GI53" s="24" cm="1">
        <f t="array" ref="GI53">SUMPRODUCT(DY53:GG53,--(DY$2:GG$2=GI$2))</f>
        <v>0</v>
      </c>
      <c r="GJ53" s="24" cm="1">
        <f t="array" ref="GJ53">SUMPRODUCT(DZ53:GH53,--(DZ$2:GH$2=GJ$2))</f>
        <v>0</v>
      </c>
      <c r="GK53" s="24"/>
      <c r="GL53" s="24"/>
      <c r="GM53" s="24"/>
      <c r="GN53" s="24"/>
      <c r="GO53" s="24"/>
      <c r="GP53" s="24"/>
      <c r="GQ53" s="24"/>
      <c r="GR53" s="24"/>
      <c r="GS53" s="24"/>
      <c r="GT53" s="24"/>
      <c r="GU53" s="24"/>
      <c r="GV53" s="24"/>
      <c r="GW53" s="24"/>
      <c r="GX53" s="24"/>
      <c r="GY53" s="24"/>
      <c r="GZ53" s="24"/>
      <c r="HA53" s="24"/>
      <c r="HB53" s="24"/>
      <c r="HC53" s="24"/>
      <c r="HD53" s="24"/>
      <c r="HE53" s="24"/>
      <c r="HF53" s="24"/>
      <c r="HG53" s="24"/>
      <c r="HH53" s="24"/>
      <c r="HI53" s="24"/>
      <c r="HJ53" s="24"/>
      <c r="HK53" s="24"/>
      <c r="HL53" s="24"/>
      <c r="HM53" s="24"/>
      <c r="HN53" s="24"/>
      <c r="HO53" s="24"/>
      <c r="HP53" s="24"/>
      <c r="HQ53" s="24"/>
      <c r="HR53" s="24"/>
      <c r="HS53" s="24"/>
      <c r="HT53" s="24"/>
      <c r="HU53" s="24"/>
      <c r="HV53" s="24"/>
      <c r="HW53" s="24"/>
      <c r="HX53" s="24"/>
      <c r="HY53" s="24"/>
      <c r="HZ53" s="24"/>
      <c r="IA53" s="24"/>
      <c r="IB53" s="24"/>
      <c r="IC53" s="24"/>
      <c r="ID53" s="24"/>
      <c r="IE53" s="24"/>
      <c r="IF53" s="24"/>
      <c r="IG53" s="24"/>
      <c r="IH53" s="24"/>
      <c r="II53" s="24"/>
      <c r="IJ53" s="24"/>
      <c r="IK53" s="24"/>
      <c r="IL53" s="24"/>
      <c r="IM53" s="24"/>
      <c r="IN53" s="24"/>
      <c r="IO53" s="24"/>
      <c r="IP53" s="24"/>
      <c r="IQ53" s="24"/>
      <c r="IR53" s="24"/>
      <c r="IS53" s="24">
        <f t="shared" si="142"/>
        <v>0</v>
      </c>
      <c r="IT53" s="24">
        <f t="shared" si="143"/>
        <v>0</v>
      </c>
      <c r="IU53" s="24"/>
      <c r="IV53" s="24"/>
      <c r="IW53" s="24"/>
      <c r="IX53" s="24"/>
      <c r="IY53" s="24"/>
      <c r="IZ53" s="24"/>
      <c r="JA53" s="24"/>
      <c r="JB53" s="24"/>
      <c r="JC53" s="24"/>
      <c r="JD53" s="24"/>
      <c r="JE53" s="24"/>
      <c r="JF53" s="24"/>
      <c r="JG53" s="24"/>
      <c r="JH53" s="24"/>
      <c r="JI53" s="24"/>
      <c r="JJ53" s="24"/>
      <c r="JK53" s="24"/>
      <c r="JL53" s="24"/>
      <c r="JM53" s="24"/>
      <c r="JN53" s="24"/>
      <c r="JO53" s="24"/>
      <c r="JP53" s="24"/>
      <c r="JQ53" s="24"/>
      <c r="JR53" s="24"/>
      <c r="JS53" s="24"/>
      <c r="JT53" s="24"/>
      <c r="JU53" s="24"/>
      <c r="JV53" s="24"/>
      <c r="JW53" s="24"/>
      <c r="JX53" s="24"/>
      <c r="JY53" s="24"/>
      <c r="JZ53" s="24"/>
      <c r="KA53" s="24"/>
      <c r="KB53" s="24"/>
      <c r="KC53" s="24"/>
      <c r="KD53" s="24"/>
      <c r="KE53" s="24"/>
      <c r="KF53" s="24"/>
      <c r="KG53" s="24"/>
      <c r="KH53" s="24"/>
      <c r="KI53" s="24"/>
      <c r="KJ53" s="24"/>
      <c r="KK53" s="24"/>
      <c r="KL53" s="24"/>
      <c r="KM53" s="24"/>
      <c r="KN53" s="24"/>
      <c r="KO53" s="24"/>
      <c r="KP53" s="24"/>
      <c r="KQ53" s="24"/>
      <c r="KR53" s="24"/>
      <c r="KS53" s="24"/>
      <c r="KT53" s="24"/>
      <c r="KU53" s="24"/>
      <c r="KV53" s="24"/>
      <c r="KW53" s="24"/>
      <c r="KX53" s="24"/>
      <c r="KY53" s="24"/>
      <c r="KZ53" s="24"/>
      <c r="LA53" s="24"/>
      <c r="LB53" s="24"/>
      <c r="LC53" s="24"/>
      <c r="LD53" s="24"/>
      <c r="LE53" s="24">
        <f t="shared" si="144"/>
        <v>0</v>
      </c>
      <c r="LF53" s="24">
        <f t="shared" si="145"/>
        <v>0</v>
      </c>
      <c r="LG53" s="24"/>
      <c r="LH53" s="24"/>
      <c r="LI53" s="24"/>
      <c r="LJ53" s="24"/>
      <c r="LK53" s="24"/>
      <c r="LL53" s="24"/>
      <c r="LM53" s="24"/>
      <c r="LN53" s="24"/>
      <c r="LO53" s="24"/>
      <c r="LP53" s="24"/>
      <c r="LQ53" s="24"/>
      <c r="LR53" s="24"/>
      <c r="LS53" s="24"/>
      <c r="LT53" s="24"/>
      <c r="LU53" s="24"/>
      <c r="LV53" s="24"/>
      <c r="LW53" s="24"/>
      <c r="LX53" s="24"/>
      <c r="LY53" s="24"/>
      <c r="LZ53" s="24"/>
      <c r="MA53" s="24"/>
      <c r="MB53" s="24"/>
      <c r="MC53" s="24"/>
      <c r="MD53" s="24"/>
      <c r="ME53" s="24"/>
      <c r="MF53" s="24"/>
      <c r="MG53" s="24"/>
      <c r="MH53" s="24"/>
      <c r="MI53" s="24"/>
      <c r="MJ53" s="24"/>
      <c r="MK53" s="24"/>
      <c r="ML53" s="24"/>
      <c r="MM53" s="24"/>
      <c r="MN53" s="24"/>
      <c r="MO53" s="24"/>
      <c r="MP53" s="24"/>
      <c r="MQ53" s="24"/>
      <c r="MR53" s="24"/>
      <c r="MS53" s="24"/>
      <c r="MT53" s="24"/>
      <c r="MU53" s="24"/>
      <c r="MV53" s="24"/>
      <c r="MW53" s="24"/>
      <c r="MX53" s="24"/>
      <c r="MY53" s="24"/>
      <c r="MZ53" s="24"/>
      <c r="NA53" s="24"/>
      <c r="NB53" s="24"/>
      <c r="NC53" s="24"/>
      <c r="ND53" s="24"/>
      <c r="NE53" s="24"/>
      <c r="NF53" s="24"/>
      <c r="NG53" s="24"/>
      <c r="NH53" s="24"/>
      <c r="NI53" s="24"/>
      <c r="NJ53" s="24"/>
      <c r="NK53" s="24"/>
      <c r="NL53" s="24"/>
      <c r="NM53" s="24"/>
      <c r="NN53" s="24"/>
      <c r="NO53" s="24">
        <f t="shared" si="146"/>
        <v>0</v>
      </c>
      <c r="NP53" s="24">
        <f t="shared" si="147"/>
        <v>0</v>
      </c>
      <c r="NQ53" s="24"/>
      <c r="NR53" s="24"/>
      <c r="NS53" s="24"/>
      <c r="NT53" s="24"/>
      <c r="NU53" s="24"/>
      <c r="NV53" s="24"/>
      <c r="NW53" s="24"/>
      <c r="NX53" s="24"/>
      <c r="NY53" s="24"/>
      <c r="NZ53" s="24"/>
      <c r="OA53" s="24"/>
      <c r="OB53" s="24"/>
      <c r="OC53" s="24"/>
      <c r="OD53" s="24"/>
      <c r="OE53" s="24"/>
      <c r="OF53" s="24"/>
      <c r="OG53" s="24"/>
      <c r="OH53" s="24"/>
      <c r="OI53" s="24"/>
      <c r="OJ53" s="24"/>
      <c r="OK53" s="24"/>
      <c r="OL53" s="24"/>
      <c r="OM53" s="24"/>
      <c r="ON53" s="24"/>
      <c r="OO53" s="24"/>
      <c r="OP53" s="24"/>
      <c r="OQ53" s="24"/>
      <c r="OR53" s="24"/>
      <c r="OS53" s="24"/>
      <c r="OT53" s="24"/>
      <c r="OU53" s="24"/>
      <c r="OV53" s="24"/>
      <c r="OW53" s="24"/>
      <c r="OX53" s="24"/>
      <c r="OY53" s="24"/>
      <c r="OZ53" s="24"/>
      <c r="PA53" s="24"/>
      <c r="PB53" s="24"/>
      <c r="PC53" s="24"/>
      <c r="PD53" s="24"/>
      <c r="PE53" s="24"/>
      <c r="PF53" s="24"/>
      <c r="PG53" s="24"/>
      <c r="PH53" s="24"/>
      <c r="PI53" s="24"/>
      <c r="PJ53" s="24"/>
      <c r="PK53" s="24"/>
      <c r="PL53" s="24"/>
      <c r="PM53" s="24"/>
      <c r="PN53" s="24"/>
      <c r="PO53" s="24"/>
      <c r="PP53" s="24"/>
      <c r="PQ53" s="24"/>
      <c r="PR53" s="24"/>
      <c r="PS53" s="24"/>
      <c r="PT53" s="24"/>
      <c r="PU53" s="24"/>
      <c r="PV53" s="24"/>
      <c r="PW53" s="24"/>
      <c r="PX53" s="24"/>
      <c r="PY53" s="24"/>
      <c r="PZ53" s="24"/>
      <c r="QA53" s="24">
        <f t="shared" si="148"/>
        <v>0</v>
      </c>
      <c r="QB53" s="24">
        <f t="shared" si="149"/>
        <v>0</v>
      </c>
      <c r="QC53" s="24"/>
      <c r="QD53" s="24"/>
      <c r="QE53" s="24"/>
      <c r="QF53" s="24"/>
      <c r="QG53" s="24"/>
      <c r="QH53" s="24"/>
      <c r="QI53" s="24"/>
      <c r="QJ53" s="24"/>
      <c r="QK53" s="24"/>
      <c r="QL53" s="24"/>
      <c r="QM53" s="24"/>
      <c r="QN53" s="24"/>
      <c r="QO53" s="24"/>
      <c r="QP53" s="24"/>
      <c r="QQ53" s="24"/>
      <c r="QR53" s="24"/>
      <c r="QS53" s="24"/>
      <c r="QT53" s="24"/>
      <c r="QU53" s="24"/>
      <c r="QV53" s="24"/>
      <c r="QW53" s="24"/>
      <c r="QX53" s="24"/>
      <c r="QY53" s="24"/>
      <c r="QZ53" s="24"/>
      <c r="RA53" s="24"/>
      <c r="RB53" s="24"/>
      <c r="RC53" s="24"/>
      <c r="RD53" s="24"/>
      <c r="RE53" s="24"/>
      <c r="RF53" s="24"/>
      <c r="RG53" s="24"/>
      <c r="RH53" s="24"/>
      <c r="RI53" s="24"/>
      <c r="RJ53" s="24"/>
      <c r="RK53" s="24"/>
      <c r="RL53" s="24"/>
      <c r="RM53" s="24"/>
      <c r="RN53" s="24"/>
      <c r="RO53" s="24"/>
      <c r="RP53" s="24"/>
      <c r="RQ53" s="24"/>
      <c r="RR53" s="24"/>
      <c r="RS53" s="24"/>
      <c r="RT53" s="24"/>
      <c r="RU53" s="24"/>
      <c r="RV53" s="24"/>
      <c r="RW53" s="24"/>
      <c r="RX53" s="24"/>
      <c r="RY53" s="24"/>
      <c r="RZ53" s="24"/>
      <c r="SA53" s="24"/>
      <c r="SB53" s="24"/>
      <c r="SC53" s="24"/>
      <c r="SD53" s="24"/>
      <c r="SE53" s="24"/>
      <c r="SF53" s="24"/>
      <c r="SG53" s="24"/>
      <c r="SH53" s="24"/>
      <c r="SI53" s="24"/>
      <c r="SJ53" s="24"/>
      <c r="SK53" s="24"/>
      <c r="SL53" s="24"/>
      <c r="SM53" s="24">
        <f t="shared" si="150"/>
        <v>0</v>
      </c>
      <c r="SN53" s="24">
        <f t="shared" si="151"/>
        <v>0</v>
      </c>
      <c r="SO53" s="24"/>
      <c r="SP53" s="24"/>
      <c r="SQ53" s="24"/>
      <c r="SR53" s="24"/>
      <c r="SS53" s="24"/>
      <c r="ST53" s="24"/>
      <c r="SU53" s="24"/>
      <c r="SV53" s="24"/>
      <c r="SW53" s="24"/>
      <c r="SX53" s="24"/>
      <c r="SY53" s="24"/>
      <c r="SZ53" s="24"/>
      <c r="TA53" s="24"/>
      <c r="TB53" s="24"/>
      <c r="TC53" s="24"/>
      <c r="TD53" s="24"/>
      <c r="TE53" s="24"/>
      <c r="TF53" s="24"/>
      <c r="TG53" s="24"/>
      <c r="TH53" s="24"/>
      <c r="TI53" s="24"/>
      <c r="TJ53" s="24"/>
      <c r="TK53" s="24"/>
      <c r="TL53" s="24"/>
      <c r="TM53" s="24"/>
      <c r="TN53" s="24"/>
      <c r="TO53" s="24"/>
      <c r="TP53" s="24"/>
      <c r="TQ53" s="24"/>
      <c r="TR53" s="24"/>
      <c r="TS53" s="24"/>
      <c r="TT53" s="24"/>
      <c r="TU53" s="24"/>
      <c r="TV53" s="24"/>
      <c r="TW53" s="24"/>
      <c r="TX53" s="24"/>
      <c r="TY53" s="24"/>
      <c r="TZ53" s="24"/>
      <c r="UA53" s="24"/>
      <c r="UB53" s="24"/>
      <c r="UC53" s="24"/>
      <c r="UD53" s="24"/>
      <c r="UE53" s="24"/>
      <c r="UF53" s="24"/>
      <c r="UG53" s="24"/>
      <c r="UH53" s="24"/>
      <c r="UI53" s="24"/>
      <c r="UJ53" s="24"/>
      <c r="UK53" s="24"/>
      <c r="UL53" s="24"/>
      <c r="UM53" s="24"/>
      <c r="UN53" s="24"/>
      <c r="UO53" s="24"/>
      <c r="UP53" s="24"/>
      <c r="UQ53" s="24"/>
      <c r="UR53" s="24"/>
      <c r="US53" s="24"/>
      <c r="UT53" s="24"/>
      <c r="UU53" s="24"/>
      <c r="UV53" s="24"/>
      <c r="UW53" s="24">
        <f t="shared" si="152"/>
        <v>0</v>
      </c>
      <c r="UX53" s="24">
        <f t="shared" si="153"/>
        <v>0</v>
      </c>
      <c r="UY53" s="24"/>
      <c r="UZ53" s="24"/>
      <c r="VA53" s="24"/>
      <c r="VB53" s="24"/>
      <c r="VC53" s="24"/>
      <c r="VD53" s="24"/>
      <c r="VE53" s="24"/>
      <c r="VF53" s="24"/>
      <c r="VG53" s="24"/>
      <c r="VH53" s="24"/>
      <c r="VI53" s="24"/>
      <c r="VJ53" s="24"/>
      <c r="VK53" s="24"/>
      <c r="VL53" s="24"/>
      <c r="VM53" s="24"/>
      <c r="VN53" s="24"/>
      <c r="VO53" s="24"/>
      <c r="VP53" s="24"/>
      <c r="VQ53" s="24"/>
      <c r="VR53" s="24"/>
      <c r="VS53" s="24"/>
      <c r="VT53" s="24"/>
      <c r="VU53" s="24"/>
      <c r="VV53" s="24"/>
      <c r="VW53" s="24"/>
      <c r="VX53" s="24"/>
      <c r="VY53" s="24"/>
      <c r="VZ53" s="24"/>
      <c r="WA53" s="24"/>
      <c r="WB53" s="24"/>
      <c r="WC53" s="24"/>
      <c r="WD53" s="24"/>
      <c r="WE53" s="24"/>
      <c r="WF53" s="24"/>
      <c r="WG53" s="24"/>
      <c r="WH53" s="24"/>
      <c r="WI53" s="24"/>
      <c r="WJ53" s="24"/>
      <c r="WK53" s="24"/>
      <c r="WL53" s="24"/>
      <c r="WM53" s="24"/>
      <c r="WN53" s="24"/>
      <c r="WO53" s="24"/>
      <c r="WP53" s="24"/>
      <c r="WQ53" s="24"/>
      <c r="WR53" s="24"/>
      <c r="WS53" s="24"/>
      <c r="WT53" s="24"/>
      <c r="WU53" s="24"/>
      <c r="WV53" s="24"/>
      <c r="WW53" s="24"/>
      <c r="WX53" s="24"/>
      <c r="WY53" s="24"/>
      <c r="WZ53" s="24"/>
      <c r="XA53" s="24"/>
      <c r="XB53" s="24"/>
      <c r="XC53" s="24"/>
      <c r="XD53" s="24"/>
      <c r="XE53" s="24"/>
      <c r="XF53" s="24"/>
      <c r="XG53" s="24"/>
      <c r="XH53" s="24"/>
      <c r="XI53" s="24">
        <f t="shared" si="154"/>
        <v>0</v>
      </c>
      <c r="XJ53" s="24">
        <f t="shared" si="155"/>
        <v>0</v>
      </c>
      <c r="XK53" s="24"/>
      <c r="XL53" s="24"/>
      <c r="XM53" s="24"/>
      <c r="XN53" s="24"/>
      <c r="XO53" s="24"/>
      <c r="XP53" s="24"/>
      <c r="XQ53" s="24"/>
      <c r="XR53" s="24"/>
      <c r="XS53" s="24"/>
      <c r="XT53" s="24"/>
      <c r="XU53" s="24"/>
      <c r="XV53" s="24"/>
      <c r="XW53" s="24"/>
      <c r="XX53" s="24"/>
      <c r="XY53" s="24"/>
      <c r="XZ53" s="24"/>
      <c r="YA53" s="24"/>
      <c r="YB53" s="24"/>
      <c r="YC53" s="24"/>
      <c r="YD53" s="24"/>
      <c r="YE53" s="24"/>
      <c r="YF53" s="24"/>
      <c r="YG53" s="24"/>
      <c r="YH53" s="24"/>
      <c r="YI53" s="24"/>
      <c r="YJ53" s="24"/>
      <c r="YK53" s="24"/>
      <c r="YL53" s="24"/>
      <c r="YM53" s="24"/>
      <c r="YN53" s="24"/>
      <c r="YO53" s="24"/>
      <c r="YP53" s="24"/>
      <c r="YQ53" s="24"/>
      <c r="YR53" s="24"/>
      <c r="YS53" s="24"/>
      <c r="YT53" s="24"/>
      <c r="YU53" s="24"/>
      <c r="YV53" s="24"/>
      <c r="YW53" s="24"/>
      <c r="YX53" s="24"/>
      <c r="YY53" s="24"/>
      <c r="YZ53" s="24"/>
      <c r="ZA53" s="24"/>
      <c r="ZB53" s="24"/>
      <c r="ZC53" s="24"/>
      <c r="ZD53" s="24"/>
      <c r="ZE53" s="24"/>
      <c r="ZF53" s="24"/>
      <c r="ZG53" s="24"/>
      <c r="ZH53" s="24"/>
      <c r="ZI53" s="24"/>
      <c r="ZJ53" s="24"/>
      <c r="ZK53" s="24"/>
      <c r="ZL53" s="24"/>
      <c r="ZM53" s="24"/>
      <c r="ZN53" s="24"/>
      <c r="ZO53" s="24"/>
      <c r="ZP53" s="24"/>
      <c r="ZQ53" s="24"/>
      <c r="ZR53" s="24"/>
      <c r="ZS53" s="24">
        <f t="shared" si="156"/>
        <v>0</v>
      </c>
      <c r="ZT53" s="24">
        <f t="shared" si="157"/>
        <v>0</v>
      </c>
      <c r="ZU53" s="24"/>
      <c r="ZV53" s="24"/>
      <c r="ZW53" s="24"/>
      <c r="ZX53" s="24"/>
      <c r="ZY53" s="24"/>
      <c r="ZZ53" s="24"/>
      <c r="AAA53" s="24"/>
      <c r="AAB53" s="24"/>
      <c r="AAC53" s="24"/>
      <c r="AAD53" s="24"/>
      <c r="AAE53" s="24"/>
      <c r="AAF53" s="24"/>
      <c r="AAG53" s="24"/>
      <c r="AAH53" s="24"/>
      <c r="AAI53" s="24"/>
      <c r="AAJ53" s="24"/>
      <c r="AAK53" s="24"/>
      <c r="AAL53" s="24"/>
      <c r="AAM53" s="24"/>
      <c r="AAN53" s="24"/>
      <c r="AAO53" s="24"/>
      <c r="AAP53" s="24"/>
      <c r="AAQ53" s="24"/>
      <c r="AAR53" s="24"/>
      <c r="AAS53" s="24"/>
      <c r="AAT53" s="24"/>
      <c r="AAU53" s="24"/>
      <c r="AAV53" s="24"/>
      <c r="AAW53" s="24"/>
      <c r="AAX53" s="24"/>
      <c r="AAY53" s="24"/>
      <c r="AAZ53" s="24"/>
      <c r="ABA53" s="24"/>
      <c r="ABB53" s="24"/>
      <c r="ABC53" s="24"/>
      <c r="ABD53" s="24"/>
      <c r="ABE53" s="24"/>
      <c r="ABF53" s="24"/>
      <c r="ABG53" s="24"/>
      <c r="ABH53" s="24"/>
      <c r="ABI53" s="24"/>
      <c r="ABJ53" s="24"/>
      <c r="ABK53" s="24"/>
      <c r="ABL53" s="24"/>
      <c r="ABM53" s="24"/>
      <c r="ABN53" s="24"/>
      <c r="ABO53" s="24"/>
      <c r="ABP53" s="24"/>
      <c r="ABQ53" s="24"/>
      <c r="ABR53" s="24"/>
      <c r="ABS53" s="24"/>
      <c r="ABT53" s="24"/>
      <c r="ABU53" s="24"/>
      <c r="ABV53" s="24"/>
      <c r="ABW53" s="24"/>
      <c r="ABX53" s="24"/>
      <c r="ABY53" s="24"/>
      <c r="ABZ53" s="24"/>
      <c r="ACA53" s="24"/>
      <c r="ACB53" s="24"/>
      <c r="ACC53" s="24"/>
      <c r="ACD53" s="24"/>
      <c r="ACE53" s="24">
        <f t="shared" si="158"/>
        <v>0</v>
      </c>
      <c r="ACF53" s="24"/>
      <c r="ACG53" s="24">
        <f t="shared" si="159"/>
        <v>0</v>
      </c>
      <c r="ACH53" s="25"/>
      <c r="ACI53" s="71" t="s">
        <v>158</v>
      </c>
      <c r="ACJ53" s="71" t="s">
        <v>90</v>
      </c>
    </row>
    <row r="54" spans="1:764" x14ac:dyDescent="0.25">
      <c r="A54" s="162"/>
      <c r="B54" s="152"/>
      <c r="C54" s="155"/>
      <c r="D54" s="50" t="s">
        <v>4</v>
      </c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24" cm="1">
        <f t="array" ref="BO54">SUMPRODUCT(E54:BM54,--(E$2:BM$2=BO$2))</f>
        <v>0</v>
      </c>
      <c r="BP54" s="24" cm="1">
        <f t="array" ref="BP54">SUMPRODUCT(F54:BN54,--(F$2:BN$2=BP$2))</f>
        <v>0</v>
      </c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  <c r="DJ54" s="24"/>
      <c r="DK54" s="24"/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 cm="1">
        <f t="array" ref="DW54">SUMPRODUCT(BQ54:DU54,--(BQ$2:DU$2=DW$2))</f>
        <v>0</v>
      </c>
      <c r="DX54" s="24" cm="1">
        <f t="array" ref="DX54">SUMPRODUCT(BR54:DV54,--(BR$2:DV$2=DX$2))</f>
        <v>0</v>
      </c>
      <c r="DY54" s="24"/>
      <c r="DZ54" s="24"/>
      <c r="EA54" s="24"/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/>
      <c r="EV54" s="24"/>
      <c r="EW54" s="24"/>
      <c r="EX54" s="24"/>
      <c r="EY54" s="24"/>
      <c r="EZ54" s="24"/>
      <c r="FA54" s="24"/>
      <c r="FB54" s="24"/>
      <c r="FC54" s="24"/>
      <c r="FD54" s="24"/>
      <c r="FE54" s="24"/>
      <c r="FF54" s="24"/>
      <c r="FG54" s="24"/>
      <c r="FH54" s="24"/>
      <c r="FI54" s="24"/>
      <c r="FJ54" s="24"/>
      <c r="FK54" s="24"/>
      <c r="FL54" s="24"/>
      <c r="FM54" s="24"/>
      <c r="FN54" s="24"/>
      <c r="FO54" s="24"/>
      <c r="FP54" s="24"/>
      <c r="FQ54" s="24"/>
      <c r="FR54" s="24"/>
      <c r="FS54" s="24"/>
      <c r="FT54" s="24"/>
      <c r="FU54" s="24"/>
      <c r="FV54" s="24"/>
      <c r="FW54" s="24"/>
      <c r="FX54" s="24"/>
      <c r="FY54" s="24"/>
      <c r="FZ54" s="24"/>
      <c r="GA54" s="24"/>
      <c r="GB54" s="24"/>
      <c r="GC54" s="24"/>
      <c r="GD54" s="24"/>
      <c r="GE54" s="24"/>
      <c r="GF54" s="24"/>
      <c r="GG54" s="24"/>
      <c r="GH54" s="24"/>
      <c r="GI54" s="24" cm="1">
        <f t="array" ref="GI54">SUMPRODUCT(DY54:GG54,--(DY$2:GG$2=GI$2))</f>
        <v>0</v>
      </c>
      <c r="GJ54" s="24" cm="1">
        <f t="array" ref="GJ54">SUMPRODUCT(DZ54:GH54,--(DZ$2:GH$2=GJ$2))</f>
        <v>0</v>
      </c>
      <c r="GK54" s="24"/>
      <c r="GL54" s="24"/>
      <c r="GM54" s="24"/>
      <c r="GN54" s="24"/>
      <c r="GO54" s="24"/>
      <c r="GP54" s="24"/>
      <c r="GQ54" s="24"/>
      <c r="GR54" s="24"/>
      <c r="GS54" s="24"/>
      <c r="GT54" s="24"/>
      <c r="GU54" s="24"/>
      <c r="GV54" s="24"/>
      <c r="GW54" s="24"/>
      <c r="GX54" s="24"/>
      <c r="GY54" s="24"/>
      <c r="GZ54" s="24"/>
      <c r="HA54" s="24"/>
      <c r="HB54" s="24"/>
      <c r="HC54" s="24"/>
      <c r="HD54" s="24"/>
      <c r="HE54" s="24"/>
      <c r="HF54" s="24"/>
      <c r="HG54" s="24"/>
      <c r="HH54" s="24"/>
      <c r="HI54" s="24"/>
      <c r="HJ54" s="24"/>
      <c r="HK54" s="24"/>
      <c r="HL54" s="24"/>
      <c r="HM54" s="24"/>
      <c r="HN54" s="24"/>
      <c r="HO54" s="24"/>
      <c r="HP54" s="24"/>
      <c r="HQ54" s="24"/>
      <c r="HR54" s="24"/>
      <c r="HS54" s="24"/>
      <c r="HT54" s="24"/>
      <c r="HU54" s="24"/>
      <c r="HV54" s="24"/>
      <c r="HW54" s="24"/>
      <c r="HX54" s="24"/>
      <c r="HY54" s="24"/>
      <c r="HZ54" s="24"/>
      <c r="IA54" s="24"/>
      <c r="IB54" s="24"/>
      <c r="IC54" s="24"/>
      <c r="ID54" s="24"/>
      <c r="IE54" s="24"/>
      <c r="IF54" s="24"/>
      <c r="IG54" s="24"/>
      <c r="IH54" s="24"/>
      <c r="II54" s="24"/>
      <c r="IJ54" s="24"/>
      <c r="IK54" s="24"/>
      <c r="IL54" s="24"/>
      <c r="IM54" s="24"/>
      <c r="IN54" s="24"/>
      <c r="IO54" s="24"/>
      <c r="IP54" s="24"/>
      <c r="IQ54" s="24"/>
      <c r="IR54" s="24"/>
      <c r="IS54" s="24">
        <f t="shared" si="142"/>
        <v>0</v>
      </c>
      <c r="IT54" s="24">
        <f t="shared" si="143"/>
        <v>0</v>
      </c>
      <c r="IU54" s="24"/>
      <c r="IV54" s="24"/>
      <c r="IW54" s="24"/>
      <c r="IX54" s="24"/>
      <c r="IY54" s="24"/>
      <c r="IZ54" s="24"/>
      <c r="JA54" s="24"/>
      <c r="JB54" s="24"/>
      <c r="JC54" s="24"/>
      <c r="JD54" s="24"/>
      <c r="JE54" s="24"/>
      <c r="JF54" s="24"/>
      <c r="JG54" s="24"/>
      <c r="JH54" s="24"/>
      <c r="JI54" s="24"/>
      <c r="JJ54" s="24"/>
      <c r="JK54" s="24"/>
      <c r="JL54" s="24"/>
      <c r="JM54" s="24"/>
      <c r="JN54" s="24"/>
      <c r="JO54" s="24"/>
      <c r="JP54" s="24"/>
      <c r="JQ54" s="24"/>
      <c r="JR54" s="24"/>
      <c r="JS54" s="24"/>
      <c r="JT54" s="24"/>
      <c r="JU54" s="24"/>
      <c r="JV54" s="24"/>
      <c r="JW54" s="24"/>
      <c r="JX54" s="24"/>
      <c r="JY54" s="24"/>
      <c r="JZ54" s="24"/>
      <c r="KA54" s="24"/>
      <c r="KB54" s="24"/>
      <c r="KC54" s="24"/>
      <c r="KD54" s="24"/>
      <c r="KE54" s="24"/>
      <c r="KF54" s="24"/>
      <c r="KG54" s="24"/>
      <c r="KH54" s="24"/>
      <c r="KI54" s="24"/>
      <c r="KJ54" s="24"/>
      <c r="KK54" s="24"/>
      <c r="KL54" s="24"/>
      <c r="KM54" s="24"/>
      <c r="KN54" s="24"/>
      <c r="KO54" s="24"/>
      <c r="KP54" s="24"/>
      <c r="KQ54" s="24"/>
      <c r="KR54" s="24"/>
      <c r="KS54" s="24"/>
      <c r="KT54" s="24"/>
      <c r="KU54" s="24"/>
      <c r="KV54" s="24"/>
      <c r="KW54" s="24"/>
      <c r="KX54" s="24"/>
      <c r="KY54" s="24"/>
      <c r="KZ54" s="24"/>
      <c r="LA54" s="24"/>
      <c r="LB54" s="24"/>
      <c r="LC54" s="24"/>
      <c r="LD54" s="24"/>
      <c r="LE54" s="24">
        <f t="shared" si="144"/>
        <v>0</v>
      </c>
      <c r="LF54" s="24">
        <f t="shared" si="145"/>
        <v>0</v>
      </c>
      <c r="LG54" s="24"/>
      <c r="LH54" s="24"/>
      <c r="LI54" s="24"/>
      <c r="LJ54" s="24"/>
      <c r="LK54" s="24"/>
      <c r="LL54" s="24"/>
      <c r="LM54" s="24"/>
      <c r="LN54" s="24"/>
      <c r="LO54" s="24"/>
      <c r="LP54" s="24"/>
      <c r="LQ54" s="24"/>
      <c r="LR54" s="24"/>
      <c r="LS54" s="24"/>
      <c r="LT54" s="24"/>
      <c r="LU54" s="24"/>
      <c r="LV54" s="24"/>
      <c r="LW54" s="24"/>
      <c r="LX54" s="24"/>
      <c r="LY54" s="24"/>
      <c r="LZ54" s="24"/>
      <c r="MA54" s="24"/>
      <c r="MB54" s="24"/>
      <c r="MC54" s="24"/>
      <c r="MD54" s="24"/>
      <c r="ME54" s="24"/>
      <c r="MF54" s="24"/>
      <c r="MG54" s="24"/>
      <c r="MH54" s="24"/>
      <c r="MI54" s="24"/>
      <c r="MJ54" s="24"/>
      <c r="MK54" s="24"/>
      <c r="ML54" s="24"/>
      <c r="MM54" s="24"/>
      <c r="MN54" s="24"/>
      <c r="MO54" s="24"/>
      <c r="MP54" s="24"/>
      <c r="MQ54" s="24"/>
      <c r="MR54" s="24"/>
      <c r="MS54" s="24"/>
      <c r="MT54" s="24"/>
      <c r="MU54" s="24"/>
      <c r="MV54" s="24"/>
      <c r="MW54" s="24"/>
      <c r="MX54" s="24"/>
      <c r="MY54" s="24"/>
      <c r="MZ54" s="24"/>
      <c r="NA54" s="24"/>
      <c r="NB54" s="24"/>
      <c r="NC54" s="24"/>
      <c r="ND54" s="24"/>
      <c r="NE54" s="24"/>
      <c r="NF54" s="24"/>
      <c r="NG54" s="24"/>
      <c r="NH54" s="24"/>
      <c r="NI54" s="24"/>
      <c r="NJ54" s="24"/>
      <c r="NK54" s="24"/>
      <c r="NL54" s="24"/>
      <c r="NM54" s="24"/>
      <c r="NN54" s="24"/>
      <c r="NO54" s="24">
        <f t="shared" si="146"/>
        <v>0</v>
      </c>
      <c r="NP54" s="24">
        <f t="shared" si="147"/>
        <v>0</v>
      </c>
      <c r="NQ54" s="24"/>
      <c r="NR54" s="24"/>
      <c r="NS54" s="24"/>
      <c r="NT54" s="24"/>
      <c r="NU54" s="24"/>
      <c r="NV54" s="24"/>
      <c r="NW54" s="24"/>
      <c r="NX54" s="24"/>
      <c r="NY54" s="24"/>
      <c r="NZ54" s="24"/>
      <c r="OA54" s="24"/>
      <c r="OB54" s="24"/>
      <c r="OC54" s="24"/>
      <c r="OD54" s="24"/>
      <c r="OE54" s="24"/>
      <c r="OF54" s="24"/>
      <c r="OG54" s="24"/>
      <c r="OH54" s="24"/>
      <c r="OI54" s="24"/>
      <c r="OJ54" s="24"/>
      <c r="OK54" s="24"/>
      <c r="OL54" s="24"/>
      <c r="OM54" s="24"/>
      <c r="ON54" s="24"/>
      <c r="OO54" s="24"/>
      <c r="OP54" s="24"/>
      <c r="OQ54" s="24"/>
      <c r="OR54" s="24"/>
      <c r="OS54" s="24"/>
      <c r="OT54" s="24"/>
      <c r="OU54" s="24"/>
      <c r="OV54" s="24"/>
      <c r="OW54" s="24"/>
      <c r="OX54" s="24"/>
      <c r="OY54" s="24"/>
      <c r="OZ54" s="24"/>
      <c r="PA54" s="24"/>
      <c r="PB54" s="24"/>
      <c r="PC54" s="24"/>
      <c r="PD54" s="24"/>
      <c r="PE54" s="24"/>
      <c r="PF54" s="24"/>
      <c r="PG54" s="24"/>
      <c r="PH54" s="24"/>
      <c r="PI54" s="24"/>
      <c r="PJ54" s="24"/>
      <c r="PK54" s="24"/>
      <c r="PL54" s="24"/>
      <c r="PM54" s="24"/>
      <c r="PN54" s="24"/>
      <c r="PO54" s="24"/>
      <c r="PP54" s="24"/>
      <c r="PQ54" s="24"/>
      <c r="PR54" s="24"/>
      <c r="PS54" s="24"/>
      <c r="PT54" s="24"/>
      <c r="PU54" s="24"/>
      <c r="PV54" s="24"/>
      <c r="PW54" s="24"/>
      <c r="PX54" s="24"/>
      <c r="PY54" s="24"/>
      <c r="PZ54" s="24"/>
      <c r="QA54" s="24">
        <f t="shared" si="148"/>
        <v>0</v>
      </c>
      <c r="QB54" s="24">
        <f t="shared" si="149"/>
        <v>0</v>
      </c>
      <c r="QC54" s="24"/>
      <c r="QD54" s="24"/>
      <c r="QE54" s="24"/>
      <c r="QF54" s="24"/>
      <c r="QG54" s="24"/>
      <c r="QH54" s="24"/>
      <c r="QI54" s="24"/>
      <c r="QJ54" s="24"/>
      <c r="QK54" s="24"/>
      <c r="QL54" s="24"/>
      <c r="QM54" s="24"/>
      <c r="QN54" s="24"/>
      <c r="QO54" s="24"/>
      <c r="QP54" s="24"/>
      <c r="QQ54" s="24"/>
      <c r="QR54" s="24"/>
      <c r="QS54" s="24"/>
      <c r="QT54" s="24"/>
      <c r="QU54" s="24"/>
      <c r="QV54" s="24"/>
      <c r="QW54" s="24"/>
      <c r="QX54" s="24"/>
      <c r="QY54" s="24"/>
      <c r="QZ54" s="24"/>
      <c r="RA54" s="24"/>
      <c r="RB54" s="24"/>
      <c r="RC54" s="24"/>
      <c r="RD54" s="24"/>
      <c r="RE54" s="24"/>
      <c r="RF54" s="24"/>
      <c r="RG54" s="24"/>
      <c r="RH54" s="24"/>
      <c r="RI54" s="24"/>
      <c r="RJ54" s="24"/>
      <c r="RK54" s="24"/>
      <c r="RL54" s="24"/>
      <c r="RM54" s="24"/>
      <c r="RN54" s="24"/>
      <c r="RO54" s="24"/>
      <c r="RP54" s="24"/>
      <c r="RQ54" s="24"/>
      <c r="RR54" s="24"/>
      <c r="RS54" s="24"/>
      <c r="RT54" s="24"/>
      <c r="RU54" s="24"/>
      <c r="RV54" s="24"/>
      <c r="RW54" s="24"/>
      <c r="RX54" s="24"/>
      <c r="RY54" s="24"/>
      <c r="RZ54" s="24"/>
      <c r="SA54" s="24"/>
      <c r="SB54" s="24"/>
      <c r="SC54" s="24"/>
      <c r="SD54" s="24"/>
      <c r="SE54" s="24"/>
      <c r="SF54" s="24"/>
      <c r="SG54" s="24"/>
      <c r="SH54" s="24"/>
      <c r="SI54" s="24"/>
      <c r="SJ54" s="24"/>
      <c r="SK54" s="24"/>
      <c r="SL54" s="24"/>
      <c r="SM54" s="24">
        <f t="shared" si="150"/>
        <v>0</v>
      </c>
      <c r="SN54" s="24">
        <f t="shared" si="151"/>
        <v>0</v>
      </c>
      <c r="SO54" s="24"/>
      <c r="SP54" s="24"/>
      <c r="SQ54" s="24"/>
      <c r="SR54" s="24"/>
      <c r="SS54" s="24"/>
      <c r="ST54" s="24"/>
      <c r="SU54" s="24"/>
      <c r="SV54" s="24"/>
      <c r="SW54" s="24"/>
      <c r="SX54" s="24"/>
      <c r="SY54" s="24"/>
      <c r="SZ54" s="24"/>
      <c r="TA54" s="24"/>
      <c r="TB54" s="24"/>
      <c r="TC54" s="24"/>
      <c r="TD54" s="24"/>
      <c r="TE54" s="24"/>
      <c r="TF54" s="24"/>
      <c r="TG54" s="24"/>
      <c r="TH54" s="24"/>
      <c r="TI54" s="24"/>
      <c r="TJ54" s="24"/>
      <c r="TK54" s="24"/>
      <c r="TL54" s="24"/>
      <c r="TM54" s="24"/>
      <c r="TN54" s="24"/>
      <c r="TO54" s="24"/>
      <c r="TP54" s="24"/>
      <c r="TQ54" s="24"/>
      <c r="TR54" s="24"/>
      <c r="TS54" s="24"/>
      <c r="TT54" s="24"/>
      <c r="TU54" s="24"/>
      <c r="TV54" s="24"/>
      <c r="TW54" s="24"/>
      <c r="TX54" s="24"/>
      <c r="TY54" s="24"/>
      <c r="TZ54" s="24"/>
      <c r="UA54" s="24"/>
      <c r="UB54" s="24"/>
      <c r="UC54" s="24"/>
      <c r="UD54" s="24"/>
      <c r="UE54" s="24"/>
      <c r="UF54" s="24"/>
      <c r="UG54" s="24"/>
      <c r="UH54" s="24"/>
      <c r="UI54" s="24"/>
      <c r="UJ54" s="24"/>
      <c r="UK54" s="24"/>
      <c r="UL54" s="24"/>
      <c r="UM54" s="24"/>
      <c r="UN54" s="24"/>
      <c r="UO54" s="24"/>
      <c r="UP54" s="24"/>
      <c r="UQ54" s="24"/>
      <c r="UR54" s="24"/>
      <c r="US54" s="24"/>
      <c r="UT54" s="24"/>
      <c r="UU54" s="24"/>
      <c r="UV54" s="24"/>
      <c r="UW54" s="24">
        <f t="shared" si="152"/>
        <v>0</v>
      </c>
      <c r="UX54" s="24">
        <f t="shared" si="153"/>
        <v>0</v>
      </c>
      <c r="UY54" s="24"/>
      <c r="UZ54" s="24"/>
      <c r="VA54" s="24"/>
      <c r="VB54" s="24"/>
      <c r="VC54" s="24"/>
      <c r="VD54" s="24"/>
      <c r="VE54" s="24"/>
      <c r="VF54" s="24"/>
      <c r="VG54" s="24"/>
      <c r="VH54" s="24"/>
      <c r="VI54" s="24"/>
      <c r="VJ54" s="24"/>
      <c r="VK54" s="24"/>
      <c r="VL54" s="24"/>
      <c r="VM54" s="24"/>
      <c r="VN54" s="24"/>
      <c r="VO54" s="24"/>
      <c r="VP54" s="24"/>
      <c r="VQ54" s="24"/>
      <c r="VR54" s="24"/>
      <c r="VS54" s="24"/>
      <c r="VT54" s="24"/>
      <c r="VU54" s="24"/>
      <c r="VV54" s="24"/>
      <c r="VW54" s="24"/>
      <c r="VX54" s="24"/>
      <c r="VY54" s="24"/>
      <c r="VZ54" s="24"/>
      <c r="WA54" s="24"/>
      <c r="WB54" s="24"/>
      <c r="WC54" s="24"/>
      <c r="WD54" s="24"/>
      <c r="WE54" s="24"/>
      <c r="WF54" s="24"/>
      <c r="WG54" s="24"/>
      <c r="WH54" s="24"/>
      <c r="WI54" s="24"/>
      <c r="WJ54" s="24"/>
      <c r="WK54" s="24"/>
      <c r="WL54" s="24"/>
      <c r="WM54" s="24"/>
      <c r="WN54" s="24"/>
      <c r="WO54" s="24"/>
      <c r="WP54" s="24"/>
      <c r="WQ54" s="24"/>
      <c r="WR54" s="24"/>
      <c r="WS54" s="24"/>
      <c r="WT54" s="24"/>
      <c r="WU54" s="24"/>
      <c r="WV54" s="24"/>
      <c r="WW54" s="24"/>
      <c r="WX54" s="24"/>
      <c r="WY54" s="24"/>
      <c r="WZ54" s="24"/>
      <c r="XA54" s="24"/>
      <c r="XB54" s="24"/>
      <c r="XC54" s="24"/>
      <c r="XD54" s="24"/>
      <c r="XE54" s="24"/>
      <c r="XF54" s="24"/>
      <c r="XG54" s="24"/>
      <c r="XH54" s="24"/>
      <c r="XI54" s="24">
        <f t="shared" si="154"/>
        <v>0</v>
      </c>
      <c r="XJ54" s="24">
        <f t="shared" si="155"/>
        <v>0</v>
      </c>
      <c r="XK54" s="24"/>
      <c r="XL54" s="24"/>
      <c r="XM54" s="24"/>
      <c r="XN54" s="24"/>
      <c r="XO54" s="24"/>
      <c r="XP54" s="24"/>
      <c r="XQ54" s="24"/>
      <c r="XR54" s="24"/>
      <c r="XS54" s="24"/>
      <c r="XT54" s="24"/>
      <c r="XU54" s="24"/>
      <c r="XV54" s="24"/>
      <c r="XW54" s="24"/>
      <c r="XX54" s="24"/>
      <c r="XY54" s="24"/>
      <c r="XZ54" s="24"/>
      <c r="YA54" s="24"/>
      <c r="YB54" s="24"/>
      <c r="YC54" s="24"/>
      <c r="YD54" s="24"/>
      <c r="YE54" s="24"/>
      <c r="YF54" s="24"/>
      <c r="YG54" s="24"/>
      <c r="YH54" s="24"/>
      <c r="YI54" s="24"/>
      <c r="YJ54" s="24"/>
      <c r="YK54" s="24"/>
      <c r="YL54" s="24"/>
      <c r="YM54" s="24"/>
      <c r="YN54" s="24"/>
      <c r="YO54" s="24"/>
      <c r="YP54" s="24"/>
      <c r="YQ54" s="24"/>
      <c r="YR54" s="24"/>
      <c r="YS54" s="24"/>
      <c r="YT54" s="24"/>
      <c r="YU54" s="24"/>
      <c r="YV54" s="24"/>
      <c r="YW54" s="24"/>
      <c r="YX54" s="24"/>
      <c r="YY54" s="24"/>
      <c r="YZ54" s="24"/>
      <c r="ZA54" s="24"/>
      <c r="ZB54" s="24"/>
      <c r="ZC54" s="24"/>
      <c r="ZD54" s="24"/>
      <c r="ZE54" s="24"/>
      <c r="ZF54" s="24"/>
      <c r="ZG54" s="24"/>
      <c r="ZH54" s="24"/>
      <c r="ZI54" s="24"/>
      <c r="ZJ54" s="24"/>
      <c r="ZK54" s="24"/>
      <c r="ZL54" s="24"/>
      <c r="ZM54" s="24"/>
      <c r="ZN54" s="24"/>
      <c r="ZO54" s="24"/>
      <c r="ZP54" s="24"/>
      <c r="ZQ54" s="24"/>
      <c r="ZR54" s="24"/>
      <c r="ZS54" s="24">
        <f t="shared" si="156"/>
        <v>0</v>
      </c>
      <c r="ZT54" s="24">
        <f t="shared" si="157"/>
        <v>0</v>
      </c>
      <c r="ZU54" s="24"/>
      <c r="ZV54" s="24"/>
      <c r="ZW54" s="24"/>
      <c r="ZX54" s="24"/>
      <c r="ZY54" s="24"/>
      <c r="ZZ54" s="24"/>
      <c r="AAA54" s="24"/>
      <c r="AAB54" s="24"/>
      <c r="AAC54" s="24"/>
      <c r="AAD54" s="24"/>
      <c r="AAE54" s="24"/>
      <c r="AAF54" s="24"/>
      <c r="AAG54" s="24"/>
      <c r="AAH54" s="24"/>
      <c r="AAI54" s="24"/>
      <c r="AAJ54" s="24"/>
      <c r="AAK54" s="24"/>
      <c r="AAL54" s="24"/>
      <c r="AAM54" s="24"/>
      <c r="AAN54" s="24"/>
      <c r="AAO54" s="24"/>
      <c r="AAP54" s="24"/>
      <c r="AAQ54" s="24"/>
      <c r="AAR54" s="24"/>
      <c r="AAS54" s="24"/>
      <c r="AAT54" s="24"/>
      <c r="AAU54" s="24"/>
      <c r="AAV54" s="24"/>
      <c r="AAW54" s="24"/>
      <c r="AAX54" s="24"/>
      <c r="AAY54" s="24"/>
      <c r="AAZ54" s="24"/>
      <c r="ABA54" s="24"/>
      <c r="ABB54" s="24"/>
      <c r="ABC54" s="24"/>
      <c r="ABD54" s="24"/>
      <c r="ABE54" s="24"/>
      <c r="ABF54" s="24"/>
      <c r="ABG54" s="24"/>
      <c r="ABH54" s="24"/>
      <c r="ABI54" s="24"/>
      <c r="ABJ54" s="24"/>
      <c r="ABK54" s="24"/>
      <c r="ABL54" s="24"/>
      <c r="ABM54" s="24"/>
      <c r="ABN54" s="24"/>
      <c r="ABO54" s="24"/>
      <c r="ABP54" s="24"/>
      <c r="ABQ54" s="24"/>
      <c r="ABR54" s="24"/>
      <c r="ABS54" s="24"/>
      <c r="ABT54" s="24"/>
      <c r="ABU54" s="24"/>
      <c r="ABV54" s="24"/>
      <c r="ABW54" s="24"/>
      <c r="ABX54" s="24"/>
      <c r="ABY54" s="24"/>
      <c r="ABZ54" s="24"/>
      <c r="ACA54" s="24"/>
      <c r="ACB54" s="24"/>
      <c r="ACC54" s="24"/>
      <c r="ACD54" s="24"/>
      <c r="ACE54" s="24">
        <f t="shared" si="158"/>
        <v>0</v>
      </c>
      <c r="ACF54" s="24"/>
      <c r="ACG54" s="24">
        <f t="shared" si="159"/>
        <v>0</v>
      </c>
      <c r="ACH54" s="25"/>
      <c r="ACI54" s="71" t="s">
        <v>159</v>
      </c>
      <c r="ACJ54" s="71" t="s">
        <v>90</v>
      </c>
    </row>
    <row r="55" spans="1:764" x14ac:dyDescent="0.25">
      <c r="A55" s="162"/>
      <c r="B55" s="152"/>
      <c r="C55" s="155"/>
      <c r="D55" s="50" t="s">
        <v>8</v>
      </c>
      <c r="E55" s="74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>
        <v>41.7</v>
      </c>
      <c r="AX55" s="75">
        <v>42.879999999999995</v>
      </c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24" cm="1">
        <f t="array" ref="BO55">SUMPRODUCT(E55:BM55,--(E$2:BM$2=BO$2))</f>
        <v>41.7</v>
      </c>
      <c r="BP55" s="24" cm="1">
        <f t="array" ref="BP55">SUMPRODUCT(F55:BN55,--(F$2:BN$2=BP$2))</f>
        <v>42.879999999999995</v>
      </c>
      <c r="BQ55" s="24">
        <v>49.18</v>
      </c>
      <c r="BR55" s="24">
        <v>49.46</v>
      </c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>
        <v>154.83999999999997</v>
      </c>
      <c r="DJ55" s="24">
        <v>153.4</v>
      </c>
      <c r="DK55" s="24">
        <v>25.02</v>
      </c>
      <c r="DL55" s="24">
        <v>25.02</v>
      </c>
      <c r="DM55" s="24">
        <v>76.599999999999994</v>
      </c>
      <c r="DN55" s="24">
        <v>76.56</v>
      </c>
      <c r="DO55" s="24">
        <v>51.379999999999995</v>
      </c>
      <c r="DP55" s="24">
        <v>52.3</v>
      </c>
      <c r="DQ55" s="24">
        <v>182.45999999999998</v>
      </c>
      <c r="DR55" s="24">
        <v>182.95999999999998</v>
      </c>
      <c r="DS55" s="24">
        <v>174.38</v>
      </c>
      <c r="DT55" s="24">
        <v>174.27999999999997</v>
      </c>
      <c r="DU55" s="24">
        <v>125.68</v>
      </c>
      <c r="DV55" s="24">
        <v>125.62</v>
      </c>
      <c r="DW55" s="24" cm="1">
        <f t="array" ref="DW55">SUMPRODUCT(BQ55:DU55,--(BQ$2:DU$2=DW$2))</f>
        <v>839.54</v>
      </c>
      <c r="DX55" s="24" cm="1">
        <f t="array" ref="DX55">SUMPRODUCT(BR55:DV55,--(BR$2:DV$2=DX$2))</f>
        <v>839.6</v>
      </c>
      <c r="DY55" s="24">
        <v>143.68</v>
      </c>
      <c r="DZ55" s="24">
        <v>143.30000000000001</v>
      </c>
      <c r="EA55" s="24"/>
      <c r="EB55" s="24"/>
      <c r="EC55" s="24">
        <v>117.02000000000001</v>
      </c>
      <c r="ED55" s="24">
        <v>117.26000000000002</v>
      </c>
      <c r="EE55" s="24">
        <v>90.28</v>
      </c>
      <c r="EF55" s="24">
        <v>89.559999999999988</v>
      </c>
      <c r="EG55" s="24">
        <v>131.06</v>
      </c>
      <c r="EH55" s="24">
        <v>130.78</v>
      </c>
      <c r="EI55" s="24">
        <v>93.059999999999988</v>
      </c>
      <c r="EJ55" s="24">
        <v>93.059999999999988</v>
      </c>
      <c r="EK55" s="24">
        <v>123.38</v>
      </c>
      <c r="EL55" s="24">
        <v>123.22</v>
      </c>
      <c r="EM55" s="24">
        <v>163.18</v>
      </c>
      <c r="EN55" s="24">
        <v>162.85999999999999</v>
      </c>
      <c r="EO55" s="24">
        <v>122.52</v>
      </c>
      <c r="EP55" s="24">
        <v>121.98</v>
      </c>
      <c r="EQ55" s="24">
        <v>133.29999999999998</v>
      </c>
      <c r="ER55" s="24">
        <v>132.28</v>
      </c>
      <c r="ES55" s="24">
        <v>129.74</v>
      </c>
      <c r="ET55" s="24">
        <v>129.12</v>
      </c>
      <c r="EU55" s="24">
        <v>108.9</v>
      </c>
      <c r="EV55" s="24">
        <v>109.06</v>
      </c>
      <c r="EW55" s="24">
        <v>109.82</v>
      </c>
      <c r="EX55" s="24">
        <v>109.53999999999999</v>
      </c>
      <c r="EY55" s="24">
        <v>25.1</v>
      </c>
      <c r="EZ55" s="24">
        <v>25.12</v>
      </c>
      <c r="FA55" s="24">
        <v>144.4</v>
      </c>
      <c r="FB55" s="24">
        <v>144.52000000000001</v>
      </c>
      <c r="FC55" s="24">
        <v>82.74</v>
      </c>
      <c r="FD55" s="24">
        <v>82.460000000000008</v>
      </c>
      <c r="FE55" s="24">
        <v>100.22</v>
      </c>
      <c r="FF55" s="24">
        <v>101.56</v>
      </c>
      <c r="FG55" s="24">
        <v>139.18</v>
      </c>
      <c r="FH55" s="24">
        <v>139.54</v>
      </c>
      <c r="FI55" s="24">
        <v>75.210000000000008</v>
      </c>
      <c r="FJ55" s="24">
        <v>75.760000000000005</v>
      </c>
      <c r="FK55" s="24">
        <v>146.85000000000002</v>
      </c>
      <c r="FL55" s="24">
        <v>149.18</v>
      </c>
      <c r="FM55" s="24">
        <v>201.04</v>
      </c>
      <c r="FN55" s="24">
        <v>200.85999999999999</v>
      </c>
      <c r="FO55" s="24">
        <v>52.379999999999995</v>
      </c>
      <c r="FP55" s="24">
        <v>52.2</v>
      </c>
      <c r="FQ55" s="24">
        <v>160.66</v>
      </c>
      <c r="FR55" s="24">
        <v>160.48000000000002</v>
      </c>
      <c r="FS55" s="24">
        <v>104.86</v>
      </c>
      <c r="FT55" s="24">
        <v>104.92</v>
      </c>
      <c r="FU55" s="24">
        <v>103.72</v>
      </c>
      <c r="FV55" s="24">
        <v>103.53999999999999</v>
      </c>
      <c r="FW55" s="24">
        <v>122.88</v>
      </c>
      <c r="FX55" s="24">
        <v>122.69999999999999</v>
      </c>
      <c r="FY55" s="24">
        <v>137.56</v>
      </c>
      <c r="FZ55" s="24">
        <v>137.76000000000002</v>
      </c>
      <c r="GA55" s="24">
        <v>26.74</v>
      </c>
      <c r="GB55" s="24">
        <v>26.76</v>
      </c>
      <c r="GC55" s="24">
        <v>133.26</v>
      </c>
      <c r="GD55" s="24">
        <v>132.88</v>
      </c>
      <c r="GE55" s="24">
        <v>138.66</v>
      </c>
      <c r="GF55" s="24">
        <v>138.66</v>
      </c>
      <c r="GG55" s="24">
        <v>85.960000000000008</v>
      </c>
      <c r="GH55" s="24">
        <v>85.44</v>
      </c>
      <c r="GI55" s="24" cm="1">
        <f t="array" ref="GI55">SUMPRODUCT(DY55:GG55,--(DY$2:GG$2=GI$2))</f>
        <v>3447.3599999999997</v>
      </c>
      <c r="GJ55" s="24" cm="1">
        <f t="array" ref="GJ55">SUMPRODUCT(DZ55:GH55,--(DZ$2:GH$2=GJ$2))</f>
        <v>3446.36</v>
      </c>
      <c r="GK55" s="24">
        <v>83.92</v>
      </c>
      <c r="GL55" s="24">
        <v>83.44</v>
      </c>
      <c r="GM55" s="24">
        <v>75</v>
      </c>
      <c r="GN55" s="24">
        <v>74.98</v>
      </c>
      <c r="GO55" s="24">
        <v>108.97999999999999</v>
      </c>
      <c r="GP55" s="24">
        <v>108.58</v>
      </c>
      <c r="GQ55" s="24">
        <v>187.45999999999998</v>
      </c>
      <c r="GR55" s="24">
        <v>187.84</v>
      </c>
      <c r="GS55" s="24">
        <v>68.58</v>
      </c>
      <c r="GT55" s="24">
        <v>68.319999999999993</v>
      </c>
      <c r="GU55" s="24">
        <v>77.72</v>
      </c>
      <c r="GV55" s="24">
        <v>77.539999999999992</v>
      </c>
      <c r="GW55" s="24">
        <v>114.22</v>
      </c>
      <c r="GX55" s="24">
        <v>113.2</v>
      </c>
      <c r="GY55" s="24">
        <v>123.38</v>
      </c>
      <c r="GZ55" s="24">
        <v>123.98</v>
      </c>
      <c r="HA55" s="24">
        <v>180.95999999999998</v>
      </c>
      <c r="HB55" s="24">
        <v>181.06</v>
      </c>
      <c r="HC55" s="24">
        <v>69.180000000000007</v>
      </c>
      <c r="HD55" s="24">
        <v>68.78</v>
      </c>
      <c r="HE55" s="24">
        <v>121.58</v>
      </c>
      <c r="HF55" s="24">
        <v>121.84</v>
      </c>
      <c r="HG55" s="24">
        <v>114.66</v>
      </c>
      <c r="HH55" s="24">
        <v>114.02000000000001</v>
      </c>
      <c r="HI55" s="24">
        <v>114.92</v>
      </c>
      <c r="HJ55" s="24">
        <v>115.32</v>
      </c>
      <c r="HK55" s="24">
        <v>137.94</v>
      </c>
      <c r="HL55" s="24">
        <v>137.94</v>
      </c>
      <c r="HM55" s="24">
        <v>108.10000000000001</v>
      </c>
      <c r="HN55" s="24">
        <v>107.98</v>
      </c>
      <c r="HO55" s="24">
        <v>101.92</v>
      </c>
      <c r="HP55" s="24">
        <v>102.03999999999999</v>
      </c>
      <c r="HQ55" s="24">
        <v>110.44</v>
      </c>
      <c r="HR55" s="24">
        <v>110.30000000000001</v>
      </c>
      <c r="HS55" s="24">
        <v>105.53999999999999</v>
      </c>
      <c r="HT55" s="24">
        <v>105.53999999999999</v>
      </c>
      <c r="HU55" s="24">
        <v>105.46</v>
      </c>
      <c r="HV55" s="24">
        <v>104.8</v>
      </c>
      <c r="HW55" s="24">
        <v>101.41999999999999</v>
      </c>
      <c r="HX55" s="24">
        <v>102.16</v>
      </c>
      <c r="HY55" s="24">
        <v>107.56</v>
      </c>
      <c r="HZ55" s="24">
        <v>107.14000000000001</v>
      </c>
      <c r="IA55" s="24">
        <v>164.92</v>
      </c>
      <c r="IB55" s="24">
        <v>165.2</v>
      </c>
      <c r="IC55" s="24">
        <v>210.23999999999998</v>
      </c>
      <c r="ID55" s="24">
        <v>209.76000000000002</v>
      </c>
      <c r="IE55" s="24">
        <v>115.82</v>
      </c>
      <c r="IF55" s="24">
        <v>115.84</v>
      </c>
      <c r="IG55" s="24">
        <v>110.94</v>
      </c>
      <c r="IH55" s="24">
        <v>111.44</v>
      </c>
      <c r="II55" s="24">
        <v>125.03999999999999</v>
      </c>
      <c r="IJ55" s="24">
        <v>124.86</v>
      </c>
      <c r="IK55" s="24"/>
      <c r="IL55" s="24"/>
      <c r="IM55" s="24"/>
      <c r="IN55" s="24"/>
      <c r="IO55" s="24"/>
      <c r="IP55" s="24"/>
      <c r="IQ55" s="24"/>
      <c r="IR55" s="24"/>
      <c r="IS55" s="24">
        <f t="shared" si="142"/>
        <v>3045.9</v>
      </c>
      <c r="IT55" s="24">
        <f t="shared" si="143"/>
        <v>3043.9</v>
      </c>
      <c r="IU55" s="24">
        <v>124.78</v>
      </c>
      <c r="IV55" s="24">
        <v>124.03999999999999</v>
      </c>
      <c r="IW55" s="24">
        <v>134.32</v>
      </c>
      <c r="IX55" s="24">
        <v>134.89999999999998</v>
      </c>
      <c r="IY55" s="24">
        <v>114.58000000000001</v>
      </c>
      <c r="IZ55" s="24">
        <v>114.25999999999999</v>
      </c>
      <c r="JA55" s="24">
        <v>105.9</v>
      </c>
      <c r="JB55" s="24">
        <v>105.69999999999999</v>
      </c>
      <c r="JC55" s="24">
        <v>94.88</v>
      </c>
      <c r="JD55" s="24">
        <v>94.44</v>
      </c>
      <c r="JE55" s="24">
        <v>119.99999999999999</v>
      </c>
      <c r="JF55" s="24">
        <v>120.89999999999999</v>
      </c>
      <c r="JG55" s="24">
        <v>94.28</v>
      </c>
      <c r="JH55" s="24">
        <v>94.4</v>
      </c>
      <c r="JI55" s="24">
        <v>99.88</v>
      </c>
      <c r="JJ55" s="24">
        <v>99.679999999999993</v>
      </c>
      <c r="JK55" s="24">
        <v>101.16</v>
      </c>
      <c r="JL55" s="24">
        <v>100.89999999999999</v>
      </c>
      <c r="JM55" s="24">
        <v>100.66</v>
      </c>
      <c r="JN55" s="24">
        <v>100.96</v>
      </c>
      <c r="JO55" s="24">
        <v>115.50000000000001</v>
      </c>
      <c r="JP55" s="24">
        <v>114.8</v>
      </c>
      <c r="JQ55" s="24">
        <v>113.02000000000001</v>
      </c>
      <c r="JR55" s="24">
        <v>112.97999999999999</v>
      </c>
      <c r="JS55" s="24">
        <v>89.4</v>
      </c>
      <c r="JT55" s="24">
        <v>89.16</v>
      </c>
      <c r="JU55" s="24">
        <v>91.12</v>
      </c>
      <c r="JV55" s="24">
        <v>91.160000000000011</v>
      </c>
      <c r="JW55" s="24"/>
      <c r="JX55" s="24"/>
      <c r="JY55" s="24"/>
      <c r="JZ55" s="24"/>
      <c r="KA55" s="24"/>
      <c r="KB55" s="24"/>
      <c r="KC55" s="24"/>
      <c r="KD55" s="24"/>
      <c r="KE55" s="24"/>
      <c r="KF55" s="24"/>
      <c r="KG55" s="24"/>
      <c r="KH55" s="24"/>
      <c r="KI55" s="24"/>
      <c r="KJ55" s="24"/>
      <c r="KK55" s="24"/>
      <c r="KL55" s="24"/>
      <c r="KM55" s="24"/>
      <c r="KN55" s="24"/>
      <c r="KO55" s="24"/>
      <c r="KP55" s="24"/>
      <c r="KQ55" s="24"/>
      <c r="KR55" s="24"/>
      <c r="KS55" s="24"/>
      <c r="KT55" s="24"/>
      <c r="KU55" s="24"/>
      <c r="KV55" s="24"/>
      <c r="KW55" s="24"/>
      <c r="KX55" s="24"/>
      <c r="KY55" s="24"/>
      <c r="KZ55" s="24"/>
      <c r="LA55" s="24"/>
      <c r="LB55" s="24"/>
      <c r="LC55" s="24"/>
      <c r="LD55" s="24"/>
      <c r="LE55" s="24">
        <f t="shared" si="144"/>
        <v>1499.48</v>
      </c>
      <c r="LF55" s="24">
        <f t="shared" si="145"/>
        <v>1498.28</v>
      </c>
      <c r="LG55" s="24"/>
      <c r="LH55" s="24"/>
      <c r="LI55" s="24"/>
      <c r="LJ55" s="24"/>
      <c r="LK55" s="24"/>
      <c r="LL55" s="24"/>
      <c r="LM55" s="24"/>
      <c r="LN55" s="24"/>
      <c r="LO55" s="24"/>
      <c r="LP55" s="24"/>
      <c r="LQ55" s="24"/>
      <c r="LR55" s="24"/>
      <c r="LS55" s="24"/>
      <c r="LT55" s="24"/>
      <c r="LU55" s="24"/>
      <c r="LV55" s="24"/>
      <c r="LW55" s="24"/>
      <c r="LX55" s="24"/>
      <c r="LY55" s="24"/>
      <c r="LZ55" s="24"/>
      <c r="MA55" s="24"/>
      <c r="MB55" s="24"/>
      <c r="MC55" s="24"/>
      <c r="MD55" s="24"/>
      <c r="ME55" s="24"/>
      <c r="MF55" s="24"/>
      <c r="MG55" s="24"/>
      <c r="MH55" s="24"/>
      <c r="MI55" s="24"/>
      <c r="MJ55" s="24"/>
      <c r="MK55" s="24"/>
      <c r="ML55" s="24"/>
      <c r="MM55" s="24"/>
      <c r="MN55" s="24"/>
      <c r="MO55" s="24"/>
      <c r="MP55" s="24"/>
      <c r="MQ55" s="24"/>
      <c r="MR55" s="24"/>
      <c r="MS55" s="24"/>
      <c r="MT55" s="24"/>
      <c r="MU55" s="24"/>
      <c r="MV55" s="24"/>
      <c r="MW55" s="24"/>
      <c r="MX55" s="24"/>
      <c r="MY55" s="24"/>
      <c r="MZ55" s="24"/>
      <c r="NA55" s="24"/>
      <c r="NB55" s="24"/>
      <c r="NC55" s="24"/>
      <c r="ND55" s="24"/>
      <c r="NE55" s="24"/>
      <c r="NF55" s="24"/>
      <c r="NG55" s="24"/>
      <c r="NH55" s="24"/>
      <c r="NI55" s="24"/>
      <c r="NJ55" s="24"/>
      <c r="NK55" s="24"/>
      <c r="NL55" s="24"/>
      <c r="NM55" s="24"/>
      <c r="NN55" s="24"/>
      <c r="NO55" s="24">
        <f t="shared" si="146"/>
        <v>0</v>
      </c>
      <c r="NP55" s="24">
        <f t="shared" si="147"/>
        <v>0</v>
      </c>
      <c r="NQ55" s="24"/>
      <c r="NR55" s="24"/>
      <c r="NS55" s="24"/>
      <c r="NT55" s="24"/>
      <c r="NU55" s="24"/>
      <c r="NV55" s="24"/>
      <c r="NW55" s="24"/>
      <c r="NX55" s="24"/>
      <c r="NY55" s="24"/>
      <c r="NZ55" s="24"/>
      <c r="OA55" s="24"/>
      <c r="OB55" s="24"/>
      <c r="OC55" s="24"/>
      <c r="OD55" s="24"/>
      <c r="OE55" s="24"/>
      <c r="OF55" s="24"/>
      <c r="OG55" s="24"/>
      <c r="OH55" s="24"/>
      <c r="OI55" s="24"/>
      <c r="OJ55" s="24"/>
      <c r="OK55" s="24"/>
      <c r="OL55" s="24"/>
      <c r="OM55" s="24"/>
      <c r="ON55" s="24"/>
      <c r="OO55" s="24"/>
      <c r="OP55" s="24"/>
      <c r="OQ55" s="24"/>
      <c r="OR55" s="24"/>
      <c r="OS55" s="24"/>
      <c r="OT55" s="24"/>
      <c r="OU55" s="24"/>
      <c r="OV55" s="24"/>
      <c r="OW55" s="24"/>
      <c r="OX55" s="24"/>
      <c r="OY55" s="24"/>
      <c r="OZ55" s="24"/>
      <c r="PA55" s="24"/>
      <c r="PB55" s="24"/>
      <c r="PC55" s="24"/>
      <c r="PD55" s="24"/>
      <c r="PE55" s="24"/>
      <c r="PF55" s="24"/>
      <c r="PG55" s="24"/>
      <c r="PH55" s="24"/>
      <c r="PI55" s="24"/>
      <c r="PJ55" s="24"/>
      <c r="PK55" s="24"/>
      <c r="PL55" s="24"/>
      <c r="PM55" s="24"/>
      <c r="PN55" s="24"/>
      <c r="PO55" s="24"/>
      <c r="PP55" s="24"/>
      <c r="PQ55" s="24"/>
      <c r="PR55" s="24"/>
      <c r="PS55" s="24"/>
      <c r="PT55" s="24"/>
      <c r="PU55" s="24"/>
      <c r="PV55" s="24"/>
      <c r="PW55" s="24"/>
      <c r="PX55" s="24"/>
      <c r="PY55" s="24"/>
      <c r="PZ55" s="24"/>
      <c r="QA55" s="24">
        <f t="shared" si="148"/>
        <v>0</v>
      </c>
      <c r="QB55" s="24">
        <f t="shared" si="149"/>
        <v>0</v>
      </c>
      <c r="QC55" s="24"/>
      <c r="QD55" s="24"/>
      <c r="QE55" s="24"/>
      <c r="QF55" s="24"/>
      <c r="QG55" s="24"/>
      <c r="QH55" s="24"/>
      <c r="QI55" s="24"/>
      <c r="QJ55" s="24"/>
      <c r="QK55" s="24"/>
      <c r="QL55" s="24"/>
      <c r="QM55" s="24"/>
      <c r="QN55" s="24"/>
      <c r="QO55" s="24"/>
      <c r="QP55" s="24"/>
      <c r="QQ55" s="24"/>
      <c r="QR55" s="24"/>
      <c r="QS55" s="24"/>
      <c r="QT55" s="24"/>
      <c r="QU55" s="24"/>
      <c r="QV55" s="24"/>
      <c r="QW55" s="24"/>
      <c r="QX55" s="24"/>
      <c r="QY55" s="24"/>
      <c r="QZ55" s="24"/>
      <c r="RA55" s="24"/>
      <c r="RB55" s="24"/>
      <c r="RC55" s="24"/>
      <c r="RD55" s="24"/>
      <c r="RE55" s="24"/>
      <c r="RF55" s="24"/>
      <c r="RG55" s="24"/>
      <c r="RH55" s="24"/>
      <c r="RI55" s="24"/>
      <c r="RJ55" s="24"/>
      <c r="RK55" s="24"/>
      <c r="RL55" s="24"/>
      <c r="RM55" s="24"/>
      <c r="RN55" s="24"/>
      <c r="RO55" s="24"/>
      <c r="RP55" s="24"/>
      <c r="RQ55" s="24"/>
      <c r="RR55" s="24"/>
      <c r="RS55" s="24"/>
      <c r="RT55" s="24"/>
      <c r="RU55" s="24"/>
      <c r="RV55" s="24"/>
      <c r="RW55" s="24"/>
      <c r="RX55" s="24"/>
      <c r="RY55" s="24"/>
      <c r="RZ55" s="24"/>
      <c r="SA55" s="24"/>
      <c r="SB55" s="24"/>
      <c r="SC55" s="24"/>
      <c r="SD55" s="24"/>
      <c r="SE55" s="24"/>
      <c r="SF55" s="24"/>
      <c r="SG55" s="24"/>
      <c r="SH55" s="24"/>
      <c r="SI55" s="24"/>
      <c r="SJ55" s="24"/>
      <c r="SK55" s="24"/>
      <c r="SL55" s="24"/>
      <c r="SM55" s="24">
        <f t="shared" si="150"/>
        <v>0</v>
      </c>
      <c r="SN55" s="24">
        <f t="shared" si="151"/>
        <v>0</v>
      </c>
      <c r="SO55" s="24"/>
      <c r="SP55" s="24"/>
      <c r="SQ55" s="24"/>
      <c r="SR55" s="24"/>
      <c r="SS55" s="24"/>
      <c r="ST55" s="24"/>
      <c r="SU55" s="24"/>
      <c r="SV55" s="24"/>
      <c r="SW55" s="24"/>
      <c r="SX55" s="24"/>
      <c r="SY55" s="24"/>
      <c r="SZ55" s="24"/>
      <c r="TA55" s="24"/>
      <c r="TB55" s="24"/>
      <c r="TC55" s="24"/>
      <c r="TD55" s="24"/>
      <c r="TE55" s="24"/>
      <c r="TF55" s="24"/>
      <c r="TG55" s="24"/>
      <c r="TH55" s="24"/>
      <c r="TI55" s="24"/>
      <c r="TJ55" s="24"/>
      <c r="TK55" s="24"/>
      <c r="TL55" s="24"/>
      <c r="TM55" s="24"/>
      <c r="TN55" s="24"/>
      <c r="TO55" s="24"/>
      <c r="TP55" s="24"/>
      <c r="TQ55" s="24"/>
      <c r="TR55" s="24"/>
      <c r="TS55" s="24"/>
      <c r="TT55" s="24"/>
      <c r="TU55" s="24"/>
      <c r="TV55" s="24"/>
      <c r="TW55" s="24"/>
      <c r="TX55" s="24"/>
      <c r="TY55" s="24"/>
      <c r="TZ55" s="24"/>
      <c r="UA55" s="24"/>
      <c r="UB55" s="24"/>
      <c r="UC55" s="24"/>
      <c r="UD55" s="24"/>
      <c r="UE55" s="24"/>
      <c r="UF55" s="24"/>
      <c r="UG55" s="24"/>
      <c r="UH55" s="24"/>
      <c r="UI55" s="24"/>
      <c r="UJ55" s="24"/>
      <c r="UK55" s="24"/>
      <c r="UL55" s="24"/>
      <c r="UM55" s="24"/>
      <c r="UN55" s="24"/>
      <c r="UO55" s="24"/>
      <c r="UP55" s="24"/>
      <c r="UQ55" s="24"/>
      <c r="UR55" s="24"/>
      <c r="US55" s="24"/>
      <c r="UT55" s="24"/>
      <c r="UU55" s="24"/>
      <c r="UV55" s="24"/>
      <c r="UW55" s="24">
        <f t="shared" si="152"/>
        <v>0</v>
      </c>
      <c r="UX55" s="24">
        <f t="shared" si="153"/>
        <v>0</v>
      </c>
      <c r="UY55" s="24"/>
      <c r="UZ55" s="24"/>
      <c r="VA55" s="24"/>
      <c r="VB55" s="24"/>
      <c r="VC55" s="24"/>
      <c r="VD55" s="24"/>
      <c r="VE55" s="24"/>
      <c r="VF55" s="24"/>
      <c r="VG55" s="24"/>
      <c r="VH55" s="24"/>
      <c r="VI55" s="24"/>
      <c r="VJ55" s="24"/>
      <c r="VK55" s="24"/>
      <c r="VL55" s="24"/>
      <c r="VM55" s="24"/>
      <c r="VN55" s="24"/>
      <c r="VO55" s="24"/>
      <c r="VP55" s="24"/>
      <c r="VQ55" s="24"/>
      <c r="VR55" s="24"/>
      <c r="VS55" s="24"/>
      <c r="VT55" s="24"/>
      <c r="VU55" s="24"/>
      <c r="VV55" s="24"/>
      <c r="VW55" s="24"/>
      <c r="VX55" s="24"/>
      <c r="VY55" s="24"/>
      <c r="VZ55" s="24"/>
      <c r="WA55" s="24"/>
      <c r="WB55" s="24"/>
      <c r="WC55" s="24"/>
      <c r="WD55" s="24"/>
      <c r="WE55" s="24"/>
      <c r="WF55" s="24"/>
      <c r="WG55" s="24"/>
      <c r="WH55" s="24"/>
      <c r="WI55" s="24"/>
      <c r="WJ55" s="24"/>
      <c r="WK55" s="24"/>
      <c r="WL55" s="24"/>
      <c r="WM55" s="24"/>
      <c r="WN55" s="24"/>
      <c r="WO55" s="24"/>
      <c r="WP55" s="24"/>
      <c r="WQ55" s="24"/>
      <c r="WR55" s="24"/>
      <c r="WS55" s="24"/>
      <c r="WT55" s="24"/>
      <c r="WU55" s="24"/>
      <c r="WV55" s="24"/>
      <c r="WW55" s="24"/>
      <c r="WX55" s="24"/>
      <c r="WY55" s="24"/>
      <c r="WZ55" s="24"/>
      <c r="XA55" s="24"/>
      <c r="XB55" s="24"/>
      <c r="XC55" s="24"/>
      <c r="XD55" s="24"/>
      <c r="XE55" s="24"/>
      <c r="XF55" s="24"/>
      <c r="XG55" s="24"/>
      <c r="XH55" s="24"/>
      <c r="XI55" s="24">
        <f t="shared" si="154"/>
        <v>0</v>
      </c>
      <c r="XJ55" s="24">
        <f t="shared" si="155"/>
        <v>0</v>
      </c>
      <c r="XK55" s="24"/>
      <c r="XL55" s="24"/>
      <c r="XM55" s="24"/>
      <c r="XN55" s="24"/>
      <c r="XO55" s="24"/>
      <c r="XP55" s="24"/>
      <c r="XQ55" s="24"/>
      <c r="XR55" s="24"/>
      <c r="XS55" s="24"/>
      <c r="XT55" s="24"/>
      <c r="XU55" s="24"/>
      <c r="XV55" s="24"/>
      <c r="XW55" s="24"/>
      <c r="XX55" s="24"/>
      <c r="XY55" s="24"/>
      <c r="XZ55" s="24"/>
      <c r="YA55" s="24"/>
      <c r="YB55" s="24"/>
      <c r="YC55" s="24"/>
      <c r="YD55" s="24"/>
      <c r="YE55" s="24"/>
      <c r="YF55" s="24"/>
      <c r="YG55" s="24"/>
      <c r="YH55" s="24"/>
      <c r="YI55" s="24"/>
      <c r="YJ55" s="24"/>
      <c r="YK55" s="24"/>
      <c r="YL55" s="24"/>
      <c r="YM55" s="24"/>
      <c r="YN55" s="24"/>
      <c r="YO55" s="24"/>
      <c r="YP55" s="24"/>
      <c r="YQ55" s="24"/>
      <c r="YR55" s="24"/>
      <c r="YS55" s="24"/>
      <c r="YT55" s="24"/>
      <c r="YU55" s="24"/>
      <c r="YV55" s="24"/>
      <c r="YW55" s="24"/>
      <c r="YX55" s="24"/>
      <c r="YY55" s="24"/>
      <c r="YZ55" s="24"/>
      <c r="ZA55" s="24"/>
      <c r="ZB55" s="24"/>
      <c r="ZC55" s="24"/>
      <c r="ZD55" s="24"/>
      <c r="ZE55" s="24"/>
      <c r="ZF55" s="24"/>
      <c r="ZG55" s="24"/>
      <c r="ZH55" s="24"/>
      <c r="ZI55" s="24"/>
      <c r="ZJ55" s="24"/>
      <c r="ZK55" s="24"/>
      <c r="ZL55" s="24"/>
      <c r="ZM55" s="24"/>
      <c r="ZN55" s="24"/>
      <c r="ZO55" s="24"/>
      <c r="ZP55" s="24"/>
      <c r="ZQ55" s="24"/>
      <c r="ZR55" s="24"/>
      <c r="ZS55" s="24">
        <f t="shared" si="156"/>
        <v>0</v>
      </c>
      <c r="ZT55" s="24">
        <f t="shared" si="157"/>
        <v>0</v>
      </c>
      <c r="ZU55" s="24"/>
      <c r="ZV55" s="24"/>
      <c r="ZW55" s="24"/>
      <c r="ZX55" s="24"/>
      <c r="ZY55" s="24"/>
      <c r="ZZ55" s="24"/>
      <c r="AAA55" s="24"/>
      <c r="AAB55" s="24"/>
      <c r="AAC55" s="24"/>
      <c r="AAD55" s="24"/>
      <c r="AAE55" s="24"/>
      <c r="AAF55" s="24"/>
      <c r="AAG55" s="24"/>
      <c r="AAH55" s="24"/>
      <c r="AAI55" s="24"/>
      <c r="AAJ55" s="24"/>
      <c r="AAK55" s="24"/>
      <c r="AAL55" s="24"/>
      <c r="AAM55" s="24"/>
      <c r="AAN55" s="24"/>
      <c r="AAO55" s="24"/>
      <c r="AAP55" s="24"/>
      <c r="AAQ55" s="24"/>
      <c r="AAR55" s="24"/>
      <c r="AAS55" s="24"/>
      <c r="AAT55" s="24"/>
      <c r="AAU55" s="24"/>
      <c r="AAV55" s="24"/>
      <c r="AAW55" s="24"/>
      <c r="AAX55" s="24"/>
      <c r="AAY55" s="24"/>
      <c r="AAZ55" s="24"/>
      <c r="ABA55" s="24"/>
      <c r="ABB55" s="24"/>
      <c r="ABC55" s="24"/>
      <c r="ABD55" s="24"/>
      <c r="ABE55" s="24"/>
      <c r="ABF55" s="24"/>
      <c r="ABG55" s="24"/>
      <c r="ABH55" s="24"/>
      <c r="ABI55" s="24"/>
      <c r="ABJ55" s="24"/>
      <c r="ABK55" s="24"/>
      <c r="ABL55" s="24"/>
      <c r="ABM55" s="24"/>
      <c r="ABN55" s="24"/>
      <c r="ABO55" s="24"/>
      <c r="ABP55" s="24"/>
      <c r="ABQ55" s="24"/>
      <c r="ABR55" s="24"/>
      <c r="ABS55" s="24"/>
      <c r="ABT55" s="24"/>
      <c r="ABU55" s="24"/>
      <c r="ABV55" s="24"/>
      <c r="ABW55" s="24"/>
      <c r="ABX55" s="24"/>
      <c r="ABY55" s="24"/>
      <c r="ABZ55" s="24"/>
      <c r="ACA55" s="24"/>
      <c r="ACB55" s="24"/>
      <c r="ACC55" s="24"/>
      <c r="ACD55" s="24"/>
      <c r="ACE55" s="24">
        <f t="shared" si="158"/>
        <v>0</v>
      </c>
      <c r="ACF55" s="24"/>
      <c r="ACG55" s="24">
        <f t="shared" si="159"/>
        <v>8873.98</v>
      </c>
      <c r="ACH55" s="25"/>
      <c r="ACI55" s="71" t="s">
        <v>160</v>
      </c>
      <c r="ACJ55" s="71" t="s">
        <v>90</v>
      </c>
    </row>
    <row r="56" spans="1:764" ht="15.75" thickBot="1" x14ac:dyDescent="0.3">
      <c r="A56" s="162"/>
      <c r="B56" s="153"/>
      <c r="C56" s="158"/>
      <c r="D56" s="68" t="s">
        <v>9</v>
      </c>
      <c r="E56" s="76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45" cm="1">
        <f t="array" ref="BO56">SUMPRODUCT(E56:BM56,--(E$2:BM$2=BO$2))</f>
        <v>0</v>
      </c>
      <c r="BP56" s="45" cm="1">
        <f t="array" ref="BP56">SUMPRODUCT(F56:BN56,--(F$2:BN$2=BP$2))</f>
        <v>0</v>
      </c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  <c r="CN56" s="45"/>
      <c r="CO56" s="45"/>
      <c r="CP56" s="45"/>
      <c r="CQ56" s="45"/>
      <c r="CR56" s="45"/>
      <c r="CS56" s="45"/>
      <c r="CT56" s="45"/>
      <c r="CU56" s="45"/>
      <c r="CV56" s="45"/>
      <c r="CW56" s="45"/>
      <c r="CX56" s="45"/>
      <c r="CY56" s="45"/>
      <c r="CZ56" s="45"/>
      <c r="DA56" s="45"/>
      <c r="DB56" s="45"/>
      <c r="DC56" s="45"/>
      <c r="DD56" s="45"/>
      <c r="DE56" s="45"/>
      <c r="DF56" s="45"/>
      <c r="DG56" s="45"/>
      <c r="DH56" s="45"/>
      <c r="DI56" s="45"/>
      <c r="DJ56" s="45"/>
      <c r="DK56" s="45"/>
      <c r="DL56" s="45"/>
      <c r="DM56" s="45"/>
      <c r="DN56" s="45"/>
      <c r="DO56" s="45"/>
      <c r="DP56" s="45"/>
      <c r="DQ56" s="45"/>
      <c r="DR56" s="45"/>
      <c r="DS56" s="45"/>
      <c r="DT56" s="45"/>
      <c r="DU56" s="45"/>
      <c r="DV56" s="45"/>
      <c r="DW56" s="45" cm="1">
        <f t="array" ref="DW56">SUMPRODUCT(BQ56:DU56,--(BQ$2:DU$2=DW$2))</f>
        <v>0</v>
      </c>
      <c r="DX56" s="45" cm="1">
        <f t="array" ref="DX56">SUMPRODUCT(BR56:DV56,--(BR$2:DV$2=DX$2))</f>
        <v>0</v>
      </c>
      <c r="DY56" s="45"/>
      <c r="DZ56" s="45"/>
      <c r="EA56" s="45"/>
      <c r="EB56" s="45"/>
      <c r="EC56" s="45"/>
      <c r="ED56" s="45"/>
      <c r="EE56" s="45"/>
      <c r="EF56" s="45"/>
      <c r="EG56" s="45"/>
      <c r="EH56" s="45"/>
      <c r="EI56" s="45"/>
      <c r="EJ56" s="45"/>
      <c r="EK56" s="45"/>
      <c r="EL56" s="45"/>
      <c r="EM56" s="45"/>
      <c r="EN56" s="45"/>
      <c r="EO56" s="45"/>
      <c r="EP56" s="45"/>
      <c r="EQ56" s="45"/>
      <c r="ER56" s="45"/>
      <c r="ES56" s="45"/>
      <c r="ET56" s="45"/>
      <c r="EU56" s="45"/>
      <c r="EV56" s="45"/>
      <c r="EW56" s="45"/>
      <c r="EX56" s="45"/>
      <c r="EY56" s="45"/>
      <c r="EZ56" s="45"/>
      <c r="FA56" s="45"/>
      <c r="FB56" s="45"/>
      <c r="FC56" s="45"/>
      <c r="FD56" s="45"/>
      <c r="FE56" s="45"/>
      <c r="FF56" s="45"/>
      <c r="FG56" s="45"/>
      <c r="FH56" s="45"/>
      <c r="FI56" s="45"/>
      <c r="FJ56" s="45"/>
      <c r="FK56" s="45"/>
      <c r="FL56" s="45"/>
      <c r="FM56" s="45"/>
      <c r="FN56" s="45"/>
      <c r="FO56" s="45"/>
      <c r="FP56" s="45"/>
      <c r="FQ56" s="45"/>
      <c r="FR56" s="45"/>
      <c r="FS56" s="45"/>
      <c r="FT56" s="45"/>
      <c r="FU56" s="45"/>
      <c r="FV56" s="45"/>
      <c r="FW56" s="45"/>
      <c r="FX56" s="45"/>
      <c r="FY56" s="45"/>
      <c r="FZ56" s="45"/>
      <c r="GA56" s="45"/>
      <c r="GB56" s="45"/>
      <c r="GC56" s="45"/>
      <c r="GD56" s="45"/>
      <c r="GE56" s="45"/>
      <c r="GF56" s="45"/>
      <c r="GG56" s="45"/>
      <c r="GH56" s="45"/>
      <c r="GI56" s="45" cm="1">
        <f t="array" ref="GI56">SUMPRODUCT(DY56:GG56,--(DY$2:GG$2=GI$2))</f>
        <v>0</v>
      </c>
      <c r="GJ56" s="45" cm="1">
        <f t="array" ref="GJ56">SUMPRODUCT(DZ56:GH56,--(DZ$2:GH$2=GJ$2))</f>
        <v>0</v>
      </c>
      <c r="GK56" s="24"/>
      <c r="GL56" s="24"/>
      <c r="GM56" s="24"/>
      <c r="GN56" s="24"/>
      <c r="GO56" s="24"/>
      <c r="GP56" s="24"/>
      <c r="GQ56" s="24"/>
      <c r="GR56" s="24"/>
      <c r="GS56" s="24"/>
      <c r="GT56" s="24"/>
      <c r="GU56" s="24"/>
      <c r="GV56" s="24"/>
      <c r="GW56" s="24"/>
      <c r="GX56" s="24"/>
      <c r="GY56" s="24"/>
      <c r="GZ56" s="24"/>
      <c r="HA56" s="24"/>
      <c r="HB56" s="24"/>
      <c r="HC56" s="24"/>
      <c r="HD56" s="24"/>
      <c r="HE56" s="24"/>
      <c r="HF56" s="24"/>
      <c r="HG56" s="24"/>
      <c r="HH56" s="24"/>
      <c r="HI56" s="24"/>
      <c r="HJ56" s="24"/>
      <c r="HK56" s="24"/>
      <c r="HL56" s="24"/>
      <c r="HM56" s="24"/>
      <c r="HN56" s="24"/>
      <c r="HO56" s="24"/>
      <c r="HP56" s="24"/>
      <c r="HQ56" s="24"/>
      <c r="HR56" s="24"/>
      <c r="HS56" s="24"/>
      <c r="HT56" s="24"/>
      <c r="HU56" s="24"/>
      <c r="HV56" s="24"/>
      <c r="HW56" s="24"/>
      <c r="HX56" s="24"/>
      <c r="HY56" s="24"/>
      <c r="HZ56" s="24"/>
      <c r="IA56" s="24"/>
      <c r="IB56" s="24"/>
      <c r="IC56" s="24"/>
      <c r="ID56" s="24"/>
      <c r="IE56" s="24"/>
      <c r="IF56" s="24"/>
      <c r="IG56" s="24"/>
      <c r="IH56" s="24"/>
      <c r="II56" s="24"/>
      <c r="IJ56" s="24"/>
      <c r="IK56" s="24"/>
      <c r="IL56" s="24"/>
      <c r="IM56" s="24"/>
      <c r="IN56" s="24"/>
      <c r="IO56" s="24"/>
      <c r="IP56" s="24"/>
      <c r="IQ56" s="24"/>
      <c r="IR56" s="24"/>
      <c r="IS56" s="45">
        <f t="shared" si="142"/>
        <v>0</v>
      </c>
      <c r="IT56" s="45">
        <f t="shared" si="143"/>
        <v>0</v>
      </c>
      <c r="IU56" s="45"/>
      <c r="IV56" s="45"/>
      <c r="IW56" s="45"/>
      <c r="IX56" s="45"/>
      <c r="IY56" s="45"/>
      <c r="IZ56" s="45"/>
      <c r="JA56" s="45"/>
      <c r="JB56" s="45"/>
      <c r="JC56" s="45"/>
      <c r="JD56" s="45"/>
      <c r="JE56" s="45"/>
      <c r="JF56" s="45"/>
      <c r="JG56" s="45"/>
      <c r="JH56" s="45"/>
      <c r="JI56" s="45"/>
      <c r="JJ56" s="45"/>
      <c r="JK56" s="45"/>
      <c r="JL56" s="45"/>
      <c r="JM56" s="45"/>
      <c r="JN56" s="45"/>
      <c r="JO56" s="45"/>
      <c r="JP56" s="45"/>
      <c r="JQ56" s="45"/>
      <c r="JR56" s="45"/>
      <c r="JS56" s="45"/>
      <c r="JT56" s="45"/>
      <c r="JU56" s="45"/>
      <c r="JV56" s="45"/>
      <c r="JW56" s="45"/>
      <c r="JX56" s="45"/>
      <c r="JY56" s="45"/>
      <c r="JZ56" s="45"/>
      <c r="KA56" s="45"/>
      <c r="KB56" s="45"/>
      <c r="KC56" s="45"/>
      <c r="KD56" s="45"/>
      <c r="KE56" s="45"/>
      <c r="KF56" s="45"/>
      <c r="KG56" s="45"/>
      <c r="KH56" s="45"/>
      <c r="KI56" s="45"/>
      <c r="KJ56" s="45"/>
      <c r="KK56" s="45"/>
      <c r="KL56" s="45"/>
      <c r="KM56" s="45"/>
      <c r="KN56" s="45"/>
      <c r="KO56" s="45"/>
      <c r="KP56" s="45"/>
      <c r="KQ56" s="45"/>
      <c r="KR56" s="45"/>
      <c r="KS56" s="45"/>
      <c r="KT56" s="45"/>
      <c r="KU56" s="45"/>
      <c r="KV56" s="45"/>
      <c r="KW56" s="45"/>
      <c r="KX56" s="45"/>
      <c r="KY56" s="45"/>
      <c r="KZ56" s="45"/>
      <c r="LA56" s="45"/>
      <c r="LB56" s="45"/>
      <c r="LC56" s="45"/>
      <c r="LD56" s="45"/>
      <c r="LE56" s="45">
        <f t="shared" si="144"/>
        <v>0</v>
      </c>
      <c r="LF56" s="45">
        <f t="shared" si="145"/>
        <v>0</v>
      </c>
      <c r="LG56" s="45"/>
      <c r="LH56" s="45"/>
      <c r="LI56" s="45"/>
      <c r="LJ56" s="45"/>
      <c r="LK56" s="45"/>
      <c r="LL56" s="45"/>
      <c r="LM56" s="45"/>
      <c r="LN56" s="45"/>
      <c r="LO56" s="45"/>
      <c r="LP56" s="45"/>
      <c r="LQ56" s="45"/>
      <c r="LR56" s="45"/>
      <c r="LS56" s="45"/>
      <c r="LT56" s="45"/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45"/>
      <c r="NF56" s="45"/>
      <c r="NG56" s="45"/>
      <c r="NH56" s="45"/>
      <c r="NI56" s="45"/>
      <c r="NJ56" s="45"/>
      <c r="NK56" s="45"/>
      <c r="NL56" s="45"/>
      <c r="NM56" s="45"/>
      <c r="NN56" s="45"/>
      <c r="NO56" s="45">
        <f t="shared" si="146"/>
        <v>0</v>
      </c>
      <c r="NP56" s="45">
        <f t="shared" si="147"/>
        <v>0</v>
      </c>
      <c r="NQ56" s="45"/>
      <c r="NR56" s="45"/>
      <c r="NS56" s="45"/>
      <c r="NT56" s="45"/>
      <c r="NU56" s="45"/>
      <c r="NV56" s="45"/>
      <c r="NW56" s="45"/>
      <c r="NX56" s="45"/>
      <c r="NY56" s="45"/>
      <c r="NZ56" s="45"/>
      <c r="OA56" s="45"/>
      <c r="OB56" s="45"/>
      <c r="OC56" s="45"/>
      <c r="OD56" s="45"/>
      <c r="OE56" s="45"/>
      <c r="OF56" s="45"/>
      <c r="OG56" s="45"/>
      <c r="OH56" s="45"/>
      <c r="OI56" s="45"/>
      <c r="OJ56" s="45"/>
      <c r="OK56" s="45"/>
      <c r="OL56" s="45"/>
      <c r="OM56" s="45"/>
      <c r="ON56" s="45"/>
      <c r="OO56" s="45"/>
      <c r="OP56" s="45"/>
      <c r="OQ56" s="45"/>
      <c r="OR56" s="45"/>
      <c r="OS56" s="45"/>
      <c r="OT56" s="45"/>
      <c r="OU56" s="45"/>
      <c r="OV56" s="45"/>
      <c r="OW56" s="45"/>
      <c r="OX56" s="45"/>
      <c r="OY56" s="45"/>
      <c r="OZ56" s="45"/>
      <c r="PA56" s="45"/>
      <c r="PB56" s="45"/>
      <c r="PC56" s="45"/>
      <c r="PD56" s="45"/>
      <c r="PE56" s="45"/>
      <c r="PF56" s="45"/>
      <c r="PG56" s="45"/>
      <c r="PH56" s="45"/>
      <c r="PI56" s="45"/>
      <c r="PJ56" s="45"/>
      <c r="PK56" s="45"/>
      <c r="PL56" s="45"/>
      <c r="PM56" s="45"/>
      <c r="PN56" s="45"/>
      <c r="PO56" s="45"/>
      <c r="PP56" s="45"/>
      <c r="PQ56" s="45"/>
      <c r="PR56" s="45"/>
      <c r="PS56" s="45"/>
      <c r="PT56" s="45"/>
      <c r="PU56" s="45"/>
      <c r="PV56" s="45"/>
      <c r="PW56" s="45"/>
      <c r="PX56" s="45"/>
      <c r="PY56" s="45"/>
      <c r="PZ56" s="45"/>
      <c r="QA56" s="45">
        <f t="shared" si="148"/>
        <v>0</v>
      </c>
      <c r="QB56" s="45">
        <f t="shared" si="149"/>
        <v>0</v>
      </c>
      <c r="QC56" s="45"/>
      <c r="QD56" s="45"/>
      <c r="QE56" s="45"/>
      <c r="QF56" s="45"/>
      <c r="QG56" s="45"/>
      <c r="QH56" s="45"/>
      <c r="QI56" s="45"/>
      <c r="QJ56" s="45"/>
      <c r="QK56" s="45"/>
      <c r="QL56" s="45"/>
      <c r="QM56" s="45"/>
      <c r="QN56" s="45"/>
      <c r="QO56" s="45"/>
      <c r="QP56" s="45"/>
      <c r="QQ56" s="45"/>
      <c r="QR56" s="45"/>
      <c r="QS56" s="45"/>
      <c r="QT56" s="45"/>
      <c r="QU56" s="45"/>
      <c r="QV56" s="45"/>
      <c r="QW56" s="45"/>
      <c r="QX56" s="45"/>
      <c r="QY56" s="45"/>
      <c r="QZ56" s="45"/>
      <c r="RA56" s="45"/>
      <c r="RB56" s="45"/>
      <c r="RC56" s="45"/>
      <c r="RD56" s="45"/>
      <c r="RE56" s="45"/>
      <c r="RF56" s="45"/>
      <c r="RG56" s="45"/>
      <c r="RH56" s="45"/>
      <c r="RI56" s="45"/>
      <c r="RJ56" s="45"/>
      <c r="RK56" s="45"/>
      <c r="RL56" s="45"/>
      <c r="RM56" s="45"/>
      <c r="RN56" s="45"/>
      <c r="RO56" s="45"/>
      <c r="RP56" s="45"/>
      <c r="RQ56" s="45"/>
      <c r="RR56" s="45"/>
      <c r="RS56" s="45"/>
      <c r="RT56" s="45"/>
      <c r="RU56" s="45"/>
      <c r="RV56" s="45"/>
      <c r="RW56" s="45"/>
      <c r="RX56" s="45"/>
      <c r="RY56" s="45"/>
      <c r="RZ56" s="45"/>
      <c r="SA56" s="45"/>
      <c r="SB56" s="45"/>
      <c r="SC56" s="45"/>
      <c r="SD56" s="45"/>
      <c r="SE56" s="45"/>
      <c r="SF56" s="45"/>
      <c r="SG56" s="45"/>
      <c r="SH56" s="45"/>
      <c r="SI56" s="45"/>
      <c r="SJ56" s="45"/>
      <c r="SK56" s="45"/>
      <c r="SL56" s="45"/>
      <c r="SM56" s="45">
        <f t="shared" si="150"/>
        <v>0</v>
      </c>
      <c r="SN56" s="45">
        <f t="shared" si="151"/>
        <v>0</v>
      </c>
      <c r="SO56" s="24"/>
      <c r="SP56" s="24"/>
      <c r="SQ56" s="24"/>
      <c r="SR56" s="24"/>
      <c r="SS56" s="24"/>
      <c r="ST56" s="24"/>
      <c r="SU56" s="24"/>
      <c r="SV56" s="24"/>
      <c r="SW56" s="24"/>
      <c r="SX56" s="24"/>
      <c r="SY56" s="24"/>
      <c r="SZ56" s="24"/>
      <c r="TA56" s="24"/>
      <c r="TB56" s="24"/>
      <c r="TC56" s="24"/>
      <c r="TD56" s="24"/>
      <c r="TE56" s="24"/>
      <c r="TF56" s="24"/>
      <c r="TG56" s="24"/>
      <c r="TH56" s="24"/>
      <c r="TI56" s="24"/>
      <c r="TJ56" s="24"/>
      <c r="TK56" s="24"/>
      <c r="TL56" s="24"/>
      <c r="TM56" s="24"/>
      <c r="TN56" s="24"/>
      <c r="TO56" s="24"/>
      <c r="TP56" s="24"/>
      <c r="TQ56" s="24"/>
      <c r="TR56" s="24"/>
      <c r="TS56" s="24"/>
      <c r="TT56" s="24"/>
      <c r="TU56" s="24"/>
      <c r="TV56" s="24"/>
      <c r="TW56" s="24"/>
      <c r="TX56" s="24"/>
      <c r="TY56" s="24"/>
      <c r="TZ56" s="24"/>
      <c r="UA56" s="24"/>
      <c r="UB56" s="24"/>
      <c r="UC56" s="24"/>
      <c r="UD56" s="24"/>
      <c r="UE56" s="24"/>
      <c r="UF56" s="24"/>
      <c r="UG56" s="24"/>
      <c r="UH56" s="24"/>
      <c r="UI56" s="24"/>
      <c r="UJ56" s="24"/>
      <c r="UK56" s="24"/>
      <c r="UL56" s="24"/>
      <c r="UM56" s="24"/>
      <c r="UN56" s="24"/>
      <c r="UO56" s="24"/>
      <c r="UP56" s="24"/>
      <c r="UQ56" s="24"/>
      <c r="UR56" s="24"/>
      <c r="US56" s="24"/>
      <c r="UT56" s="24"/>
      <c r="UU56" s="24"/>
      <c r="UV56" s="24"/>
      <c r="UW56" s="45">
        <f t="shared" si="152"/>
        <v>0</v>
      </c>
      <c r="UX56" s="45">
        <f t="shared" si="153"/>
        <v>0</v>
      </c>
      <c r="UY56" s="45"/>
      <c r="UZ56" s="45"/>
      <c r="VA56" s="45"/>
      <c r="VB56" s="45"/>
      <c r="VC56" s="45"/>
      <c r="VD56" s="45"/>
      <c r="VE56" s="45"/>
      <c r="VF56" s="45"/>
      <c r="VG56" s="45"/>
      <c r="VH56" s="45"/>
      <c r="VI56" s="45"/>
      <c r="VJ56" s="45"/>
      <c r="VK56" s="45"/>
      <c r="VL56" s="45"/>
      <c r="VM56" s="45"/>
      <c r="VN56" s="45"/>
      <c r="VO56" s="45"/>
      <c r="VP56" s="45"/>
      <c r="VQ56" s="45"/>
      <c r="VR56" s="45"/>
      <c r="VS56" s="45"/>
      <c r="VT56" s="45"/>
      <c r="VU56" s="45"/>
      <c r="VV56" s="45"/>
      <c r="VW56" s="45"/>
      <c r="VX56" s="45"/>
      <c r="VY56" s="45"/>
      <c r="VZ56" s="45"/>
      <c r="WA56" s="45"/>
      <c r="WB56" s="45"/>
      <c r="WC56" s="45"/>
      <c r="WD56" s="45"/>
      <c r="WE56" s="45"/>
      <c r="WF56" s="45"/>
      <c r="WG56" s="45"/>
      <c r="WH56" s="45"/>
      <c r="WI56" s="45"/>
      <c r="WJ56" s="45"/>
      <c r="WK56" s="45"/>
      <c r="WL56" s="45"/>
      <c r="WM56" s="45"/>
      <c r="WN56" s="45"/>
      <c r="WO56" s="45"/>
      <c r="WP56" s="45"/>
      <c r="WQ56" s="45"/>
      <c r="WR56" s="45"/>
      <c r="WS56" s="45"/>
      <c r="WT56" s="45"/>
      <c r="WU56" s="45"/>
      <c r="WV56" s="45"/>
      <c r="WW56" s="45"/>
      <c r="WX56" s="45"/>
      <c r="WY56" s="45"/>
      <c r="WZ56" s="45"/>
      <c r="XA56" s="45"/>
      <c r="XB56" s="45"/>
      <c r="XC56" s="45"/>
      <c r="XD56" s="45"/>
      <c r="XE56" s="45"/>
      <c r="XF56" s="45"/>
      <c r="XG56" s="45"/>
      <c r="XH56" s="45"/>
      <c r="XI56" s="45">
        <f t="shared" si="154"/>
        <v>0</v>
      </c>
      <c r="XJ56" s="45">
        <f t="shared" si="155"/>
        <v>0</v>
      </c>
      <c r="XK56" s="45"/>
      <c r="XL56" s="45"/>
      <c r="XM56" s="45"/>
      <c r="XN56" s="45"/>
      <c r="XO56" s="45"/>
      <c r="XP56" s="45"/>
      <c r="XQ56" s="45"/>
      <c r="XR56" s="45"/>
      <c r="XS56" s="45"/>
      <c r="XT56" s="45"/>
      <c r="XU56" s="45"/>
      <c r="XV56" s="45"/>
      <c r="XW56" s="45"/>
      <c r="XX56" s="45"/>
      <c r="XY56" s="45"/>
      <c r="XZ56" s="45"/>
      <c r="YA56" s="45"/>
      <c r="YB56" s="45"/>
      <c r="YC56" s="45"/>
      <c r="YD56" s="45"/>
      <c r="YE56" s="45"/>
      <c r="YF56" s="45"/>
      <c r="YG56" s="45"/>
      <c r="YH56" s="45"/>
      <c r="YI56" s="45"/>
      <c r="YJ56" s="45"/>
      <c r="YK56" s="45"/>
      <c r="YL56" s="45"/>
      <c r="YM56" s="45"/>
      <c r="YN56" s="45"/>
      <c r="YO56" s="45"/>
      <c r="YP56" s="45"/>
      <c r="YQ56" s="45"/>
      <c r="YR56" s="45"/>
      <c r="YS56" s="45"/>
      <c r="YT56" s="45"/>
      <c r="YU56" s="45"/>
      <c r="YV56" s="45"/>
      <c r="YW56" s="45"/>
      <c r="YX56" s="45"/>
      <c r="YY56" s="45"/>
      <c r="YZ56" s="45"/>
      <c r="ZA56" s="45"/>
      <c r="ZB56" s="45"/>
      <c r="ZC56" s="45"/>
      <c r="ZD56" s="45"/>
      <c r="ZE56" s="45"/>
      <c r="ZF56" s="45"/>
      <c r="ZG56" s="45"/>
      <c r="ZH56" s="45"/>
      <c r="ZI56" s="45"/>
      <c r="ZJ56" s="45"/>
      <c r="ZK56" s="45"/>
      <c r="ZL56" s="45"/>
      <c r="ZM56" s="45"/>
      <c r="ZN56" s="45"/>
      <c r="ZO56" s="45"/>
      <c r="ZP56" s="45"/>
      <c r="ZQ56" s="45"/>
      <c r="ZR56" s="45"/>
      <c r="ZS56" s="45">
        <f t="shared" si="156"/>
        <v>0</v>
      </c>
      <c r="ZT56" s="45">
        <f t="shared" si="157"/>
        <v>0</v>
      </c>
      <c r="ZU56" s="45"/>
      <c r="ZV56" s="45"/>
      <c r="ZW56" s="45"/>
      <c r="ZX56" s="45"/>
      <c r="ZY56" s="45"/>
      <c r="ZZ56" s="45"/>
      <c r="AAA56" s="45"/>
      <c r="AAB56" s="45"/>
      <c r="AAC56" s="45"/>
      <c r="AAD56" s="45"/>
      <c r="AAE56" s="45"/>
      <c r="AAF56" s="45"/>
      <c r="AAG56" s="45"/>
      <c r="AAH56" s="45"/>
      <c r="AAI56" s="45"/>
      <c r="AAJ56" s="45"/>
      <c r="AAK56" s="45"/>
      <c r="AAL56" s="45"/>
      <c r="AAM56" s="45"/>
      <c r="AAN56" s="45"/>
      <c r="AAO56" s="45"/>
      <c r="AAP56" s="45"/>
      <c r="AAQ56" s="45"/>
      <c r="AAR56" s="45"/>
      <c r="AAS56" s="45"/>
      <c r="AAT56" s="45"/>
      <c r="AAU56" s="45"/>
      <c r="AAV56" s="45"/>
      <c r="AAW56" s="45"/>
      <c r="AAX56" s="45"/>
      <c r="AAY56" s="45"/>
      <c r="AAZ56" s="45"/>
      <c r="ABA56" s="45"/>
      <c r="ABB56" s="45"/>
      <c r="ABC56" s="45"/>
      <c r="ABD56" s="45"/>
      <c r="ABE56" s="45"/>
      <c r="ABF56" s="45"/>
      <c r="ABG56" s="45"/>
      <c r="ABH56" s="45"/>
      <c r="ABI56" s="45"/>
      <c r="ABJ56" s="45"/>
      <c r="ABK56" s="45"/>
      <c r="ABL56" s="45"/>
      <c r="ABM56" s="45"/>
      <c r="ABN56" s="45"/>
      <c r="ABO56" s="45"/>
      <c r="ABP56" s="45"/>
      <c r="ABQ56" s="45"/>
      <c r="ABR56" s="45"/>
      <c r="ABS56" s="45"/>
      <c r="ABT56" s="45"/>
      <c r="ABU56" s="45"/>
      <c r="ABV56" s="45"/>
      <c r="ABW56" s="45"/>
      <c r="ABX56" s="45"/>
      <c r="ABY56" s="45"/>
      <c r="ABZ56" s="45"/>
      <c r="ACA56" s="45"/>
      <c r="ACB56" s="45"/>
      <c r="ACC56" s="45"/>
      <c r="ACD56" s="45"/>
      <c r="ACE56" s="45">
        <f t="shared" si="158"/>
        <v>0</v>
      </c>
      <c r="ACF56" s="45"/>
      <c r="ACG56" s="45">
        <f t="shared" si="159"/>
        <v>0</v>
      </c>
      <c r="ACH56" s="55"/>
      <c r="ACI56" s="71" t="s">
        <v>161</v>
      </c>
      <c r="ACJ56" s="71" t="s">
        <v>90</v>
      </c>
    </row>
    <row r="57" spans="1:764" ht="16.5" thickBot="1" x14ac:dyDescent="0.3">
      <c r="A57" s="163"/>
      <c r="B57" s="164" t="s">
        <v>37</v>
      </c>
      <c r="C57" s="165"/>
      <c r="D57" s="166"/>
      <c r="E57" s="48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>
        <f>SUM(BO47:BO56)</f>
        <v>7197.13</v>
      </c>
      <c r="BP57" s="39">
        <f>SUM(BP47:BP56)</f>
        <v>7206.170000000001</v>
      </c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>
        <f>SUM(DW47:DW56)</f>
        <v>7265.4099999999989</v>
      </c>
      <c r="DX57" s="39">
        <f>SUM(DX47:DX56)</f>
        <v>7260.1</v>
      </c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>
        <f>SUM(GI47:GI56)</f>
        <v>7027.2499999999991</v>
      </c>
      <c r="GJ57" s="39">
        <f>SUM(GJ47:GJ56)</f>
        <v>7024.3000000000011</v>
      </c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>
        <f>SUM(IS47:IS56)</f>
        <v>6600.55</v>
      </c>
      <c r="IT57" s="39">
        <f>SUM(IT47:IT56)</f>
        <v>6595.9600000000009</v>
      </c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  <c r="JP57" s="39"/>
      <c r="JQ57" s="39"/>
      <c r="JR57" s="39"/>
      <c r="JS57" s="39"/>
      <c r="JT57" s="39"/>
      <c r="JU57" s="39"/>
      <c r="JV57" s="39"/>
      <c r="JW57" s="39"/>
      <c r="JX57" s="39"/>
      <c r="JY57" s="39"/>
      <c r="JZ57" s="39"/>
      <c r="KA57" s="39"/>
      <c r="KB57" s="39"/>
      <c r="KC57" s="39"/>
      <c r="KD57" s="39"/>
      <c r="KE57" s="39"/>
      <c r="KF57" s="39"/>
      <c r="KG57" s="39"/>
      <c r="KH57" s="39"/>
      <c r="KI57" s="39"/>
      <c r="KJ57" s="39"/>
      <c r="KK57" s="39"/>
      <c r="KL57" s="39"/>
      <c r="KM57" s="39"/>
      <c r="KN57" s="39"/>
      <c r="KO57" s="39"/>
      <c r="KP57" s="39"/>
      <c r="KQ57" s="39"/>
      <c r="KR57" s="39"/>
      <c r="KS57" s="39"/>
      <c r="KT57" s="39"/>
      <c r="KU57" s="39"/>
      <c r="KV57" s="39"/>
      <c r="KW57" s="39"/>
      <c r="KX57" s="39"/>
      <c r="KY57" s="39"/>
      <c r="KZ57" s="39"/>
      <c r="LA57" s="39"/>
      <c r="LB57" s="39"/>
      <c r="LC57" s="39"/>
      <c r="LD57" s="39"/>
      <c r="LE57" s="39">
        <f>SUM(LE47:LE56)</f>
        <v>3342.62</v>
      </c>
      <c r="LF57" s="39">
        <f>SUM(LF47:LF56)</f>
        <v>3340.7200000000003</v>
      </c>
      <c r="LG57" s="39"/>
      <c r="LH57" s="39"/>
      <c r="LI57" s="39"/>
      <c r="LJ57" s="39"/>
      <c r="LK57" s="39"/>
      <c r="LL57" s="39"/>
      <c r="LM57" s="39"/>
      <c r="LN57" s="39"/>
      <c r="LO57" s="39"/>
      <c r="LP57" s="39"/>
      <c r="LQ57" s="39"/>
      <c r="LR57" s="39"/>
      <c r="LS57" s="39"/>
      <c r="LT57" s="39"/>
      <c r="LU57" s="39"/>
      <c r="LV57" s="39"/>
      <c r="LW57" s="39"/>
      <c r="LX57" s="39"/>
      <c r="LY57" s="39"/>
      <c r="LZ57" s="39"/>
      <c r="MA57" s="39"/>
      <c r="MB57" s="39"/>
      <c r="MC57" s="39"/>
      <c r="MD57" s="39"/>
      <c r="ME57" s="39"/>
      <c r="MF57" s="39"/>
      <c r="MG57" s="39"/>
      <c r="MH57" s="39"/>
      <c r="MI57" s="39"/>
      <c r="MJ57" s="39"/>
      <c r="MK57" s="39"/>
      <c r="ML57" s="39"/>
      <c r="MM57" s="39"/>
      <c r="MN57" s="39"/>
      <c r="MO57" s="39"/>
      <c r="MP57" s="39"/>
      <c r="MQ57" s="39"/>
      <c r="MR57" s="39"/>
      <c r="MS57" s="39"/>
      <c r="MT57" s="39"/>
      <c r="MU57" s="39"/>
      <c r="MV57" s="39"/>
      <c r="MW57" s="39"/>
      <c r="MX57" s="39"/>
      <c r="MY57" s="39"/>
      <c r="MZ57" s="39"/>
      <c r="NA57" s="39"/>
      <c r="NB57" s="39"/>
      <c r="NC57" s="39"/>
      <c r="ND57" s="39"/>
      <c r="NE57" s="39"/>
      <c r="NF57" s="39"/>
      <c r="NG57" s="39"/>
      <c r="NH57" s="39"/>
      <c r="NI57" s="39"/>
      <c r="NJ57" s="39"/>
      <c r="NK57" s="39"/>
      <c r="NL57" s="39"/>
      <c r="NM57" s="39"/>
      <c r="NN57" s="39"/>
      <c r="NO57" s="39">
        <f>SUM(NO47:NO56)</f>
        <v>0</v>
      </c>
      <c r="NP57" s="39">
        <f>SUM(NP47:NP56)</f>
        <v>0</v>
      </c>
      <c r="NQ57" s="39"/>
      <c r="NR57" s="39"/>
      <c r="NS57" s="39"/>
      <c r="NT57" s="39"/>
      <c r="NU57" s="39"/>
      <c r="NV57" s="39"/>
      <c r="NW57" s="39"/>
      <c r="NX57" s="39"/>
      <c r="NY57" s="39"/>
      <c r="NZ57" s="39"/>
      <c r="OA57" s="39"/>
      <c r="OB57" s="39"/>
      <c r="OC57" s="39"/>
      <c r="OD57" s="39"/>
      <c r="OE57" s="39"/>
      <c r="OF57" s="39"/>
      <c r="OG57" s="39"/>
      <c r="OH57" s="39"/>
      <c r="OI57" s="39"/>
      <c r="OJ57" s="39"/>
      <c r="OK57" s="39"/>
      <c r="OL57" s="39"/>
      <c r="OM57" s="39"/>
      <c r="ON57" s="39"/>
      <c r="OO57" s="39"/>
      <c r="OP57" s="39"/>
      <c r="OQ57" s="39"/>
      <c r="OR57" s="39"/>
      <c r="OS57" s="39"/>
      <c r="OT57" s="39"/>
      <c r="OU57" s="39"/>
      <c r="OV57" s="39"/>
      <c r="OW57" s="39"/>
      <c r="OX57" s="39"/>
      <c r="OY57" s="39"/>
      <c r="OZ57" s="39"/>
      <c r="PA57" s="39"/>
      <c r="PB57" s="39"/>
      <c r="PC57" s="39"/>
      <c r="PD57" s="39"/>
      <c r="PE57" s="39"/>
      <c r="PF57" s="39"/>
      <c r="PG57" s="39"/>
      <c r="PH57" s="39"/>
      <c r="PI57" s="39"/>
      <c r="PJ57" s="39"/>
      <c r="PK57" s="39"/>
      <c r="PL57" s="39"/>
      <c r="PM57" s="39"/>
      <c r="PN57" s="39"/>
      <c r="PO57" s="39"/>
      <c r="PP57" s="39"/>
      <c r="PQ57" s="39"/>
      <c r="PR57" s="39"/>
      <c r="PS57" s="39"/>
      <c r="PT57" s="39"/>
      <c r="PU57" s="39"/>
      <c r="PV57" s="39"/>
      <c r="PW57" s="39"/>
      <c r="PX57" s="39"/>
      <c r="PY57" s="39"/>
      <c r="PZ57" s="39"/>
      <c r="QA57" s="39">
        <f>SUM(QA47:QA56)</f>
        <v>0</v>
      </c>
      <c r="QB57" s="39">
        <f>SUM(QB47:QB56)</f>
        <v>0</v>
      </c>
      <c r="QC57" s="39"/>
      <c r="QD57" s="39"/>
      <c r="QE57" s="39"/>
      <c r="QF57" s="39"/>
      <c r="QG57" s="39"/>
      <c r="QH57" s="39"/>
      <c r="QI57" s="39"/>
      <c r="QJ57" s="39"/>
      <c r="QK57" s="39"/>
      <c r="QL57" s="39"/>
      <c r="QM57" s="39"/>
      <c r="QN57" s="39"/>
      <c r="QO57" s="39"/>
      <c r="QP57" s="39"/>
      <c r="QQ57" s="39"/>
      <c r="QR57" s="39"/>
      <c r="QS57" s="39"/>
      <c r="QT57" s="39"/>
      <c r="QU57" s="39"/>
      <c r="QV57" s="39"/>
      <c r="QW57" s="39"/>
      <c r="QX57" s="39"/>
      <c r="QY57" s="39"/>
      <c r="QZ57" s="39"/>
      <c r="RA57" s="39"/>
      <c r="RB57" s="39"/>
      <c r="RC57" s="39"/>
      <c r="RD57" s="39"/>
      <c r="RE57" s="39"/>
      <c r="RF57" s="39"/>
      <c r="RG57" s="39"/>
      <c r="RH57" s="39"/>
      <c r="RI57" s="39"/>
      <c r="RJ57" s="39"/>
      <c r="RK57" s="39"/>
      <c r="RL57" s="39"/>
      <c r="RM57" s="39"/>
      <c r="RN57" s="39"/>
      <c r="RO57" s="39"/>
      <c r="RP57" s="39"/>
      <c r="RQ57" s="39"/>
      <c r="RR57" s="39"/>
      <c r="RS57" s="39"/>
      <c r="RT57" s="39"/>
      <c r="RU57" s="39"/>
      <c r="RV57" s="39"/>
      <c r="RW57" s="39"/>
      <c r="RX57" s="39"/>
      <c r="RY57" s="39"/>
      <c r="RZ57" s="39"/>
      <c r="SA57" s="39"/>
      <c r="SB57" s="39"/>
      <c r="SC57" s="39"/>
      <c r="SD57" s="39"/>
      <c r="SE57" s="39"/>
      <c r="SF57" s="39"/>
      <c r="SG57" s="39"/>
      <c r="SH57" s="39"/>
      <c r="SI57" s="39"/>
      <c r="SJ57" s="39"/>
      <c r="SK57" s="39"/>
      <c r="SL57" s="39"/>
      <c r="SM57" s="39">
        <f>SUM(SM47:SM56)</f>
        <v>0</v>
      </c>
      <c r="SN57" s="39">
        <f>SUM(SN47:SN56)</f>
        <v>0</v>
      </c>
      <c r="SO57" s="39"/>
      <c r="SP57" s="39"/>
      <c r="SQ57" s="39"/>
      <c r="SR57" s="39"/>
      <c r="SS57" s="39"/>
      <c r="ST57" s="39"/>
      <c r="SU57" s="39"/>
      <c r="SV57" s="39"/>
      <c r="SW57" s="39"/>
      <c r="SX57" s="39"/>
      <c r="SY57" s="39"/>
      <c r="SZ57" s="39"/>
      <c r="TA57" s="39"/>
      <c r="TB57" s="39"/>
      <c r="TC57" s="39"/>
      <c r="TD57" s="39"/>
      <c r="TE57" s="39"/>
      <c r="TF57" s="39"/>
      <c r="TG57" s="39"/>
      <c r="TH57" s="39"/>
      <c r="TI57" s="39"/>
      <c r="TJ57" s="39"/>
      <c r="TK57" s="39"/>
      <c r="TL57" s="39"/>
      <c r="TM57" s="39"/>
      <c r="TN57" s="39"/>
      <c r="TO57" s="39"/>
      <c r="TP57" s="39"/>
      <c r="TQ57" s="39"/>
      <c r="TR57" s="39"/>
      <c r="TS57" s="39"/>
      <c r="TT57" s="39"/>
      <c r="TU57" s="39"/>
      <c r="TV57" s="39"/>
      <c r="TW57" s="39"/>
      <c r="TX57" s="39"/>
      <c r="TY57" s="39"/>
      <c r="TZ57" s="39"/>
      <c r="UA57" s="39"/>
      <c r="UB57" s="39"/>
      <c r="UC57" s="39"/>
      <c r="UD57" s="39"/>
      <c r="UE57" s="39"/>
      <c r="UF57" s="39"/>
      <c r="UG57" s="39"/>
      <c r="UH57" s="39"/>
      <c r="UI57" s="39"/>
      <c r="UJ57" s="39"/>
      <c r="UK57" s="39"/>
      <c r="UL57" s="39"/>
      <c r="UM57" s="39"/>
      <c r="UN57" s="39"/>
      <c r="UO57" s="39"/>
      <c r="UP57" s="39"/>
      <c r="UQ57" s="39"/>
      <c r="UR57" s="39"/>
      <c r="US57" s="39"/>
      <c r="UT57" s="39"/>
      <c r="UU57" s="39"/>
      <c r="UV57" s="39"/>
      <c r="UW57" s="39">
        <f>SUM(UW47:UW56)</f>
        <v>0</v>
      </c>
      <c r="UX57" s="39">
        <f>SUM(UX47:UX56)</f>
        <v>0</v>
      </c>
      <c r="UY57" s="39"/>
      <c r="UZ57" s="39"/>
      <c r="VA57" s="39"/>
      <c r="VB57" s="39"/>
      <c r="VC57" s="39"/>
      <c r="VD57" s="39"/>
      <c r="VE57" s="39"/>
      <c r="VF57" s="39"/>
      <c r="VG57" s="39"/>
      <c r="VH57" s="39"/>
      <c r="VI57" s="39"/>
      <c r="VJ57" s="39"/>
      <c r="VK57" s="39"/>
      <c r="VL57" s="39"/>
      <c r="VM57" s="39"/>
      <c r="VN57" s="39"/>
      <c r="VO57" s="39"/>
      <c r="VP57" s="39"/>
      <c r="VQ57" s="39"/>
      <c r="VR57" s="39"/>
      <c r="VS57" s="39"/>
      <c r="VT57" s="39"/>
      <c r="VU57" s="39"/>
      <c r="VV57" s="39"/>
      <c r="VW57" s="39"/>
      <c r="VX57" s="39"/>
      <c r="VY57" s="39"/>
      <c r="VZ57" s="39"/>
      <c r="WA57" s="39"/>
      <c r="WB57" s="39"/>
      <c r="WC57" s="39"/>
      <c r="WD57" s="39"/>
      <c r="WE57" s="39"/>
      <c r="WF57" s="39"/>
      <c r="WG57" s="39"/>
      <c r="WH57" s="39"/>
      <c r="WI57" s="39"/>
      <c r="WJ57" s="39"/>
      <c r="WK57" s="39"/>
      <c r="WL57" s="39"/>
      <c r="WM57" s="39"/>
      <c r="WN57" s="39"/>
      <c r="WO57" s="39"/>
      <c r="WP57" s="39"/>
      <c r="WQ57" s="39"/>
      <c r="WR57" s="39"/>
      <c r="WS57" s="39"/>
      <c r="WT57" s="39"/>
      <c r="WU57" s="39"/>
      <c r="WV57" s="39"/>
      <c r="WW57" s="39"/>
      <c r="WX57" s="39"/>
      <c r="WY57" s="39"/>
      <c r="WZ57" s="39"/>
      <c r="XA57" s="39"/>
      <c r="XB57" s="39"/>
      <c r="XC57" s="39"/>
      <c r="XD57" s="39"/>
      <c r="XE57" s="39"/>
      <c r="XF57" s="39"/>
      <c r="XG57" s="39"/>
      <c r="XH57" s="39"/>
      <c r="XI57" s="39">
        <f>SUM(XI47:XI56)</f>
        <v>0</v>
      </c>
      <c r="XJ57" s="39">
        <f>SUM(XJ47:XJ56)</f>
        <v>0</v>
      </c>
      <c r="XK57" s="39"/>
      <c r="XL57" s="39"/>
      <c r="XM57" s="39"/>
      <c r="XN57" s="39"/>
      <c r="XO57" s="39"/>
      <c r="XP57" s="39"/>
      <c r="XQ57" s="39"/>
      <c r="XR57" s="39"/>
      <c r="XS57" s="39"/>
      <c r="XT57" s="39"/>
      <c r="XU57" s="39"/>
      <c r="XV57" s="39"/>
      <c r="XW57" s="39"/>
      <c r="XX57" s="39"/>
      <c r="XY57" s="39"/>
      <c r="XZ57" s="39"/>
      <c r="YA57" s="39"/>
      <c r="YB57" s="39"/>
      <c r="YC57" s="39"/>
      <c r="YD57" s="39"/>
      <c r="YE57" s="39"/>
      <c r="YF57" s="39"/>
      <c r="YG57" s="39"/>
      <c r="YH57" s="39"/>
      <c r="YI57" s="39"/>
      <c r="YJ57" s="39"/>
      <c r="YK57" s="39"/>
      <c r="YL57" s="39"/>
      <c r="YM57" s="39"/>
      <c r="YN57" s="39"/>
      <c r="YO57" s="39"/>
      <c r="YP57" s="39"/>
      <c r="YQ57" s="39"/>
      <c r="YR57" s="39"/>
      <c r="YS57" s="39"/>
      <c r="YT57" s="39"/>
      <c r="YU57" s="39"/>
      <c r="YV57" s="39"/>
      <c r="YW57" s="39"/>
      <c r="YX57" s="39"/>
      <c r="YY57" s="39"/>
      <c r="YZ57" s="39"/>
      <c r="ZA57" s="39"/>
      <c r="ZB57" s="39"/>
      <c r="ZC57" s="39"/>
      <c r="ZD57" s="39"/>
      <c r="ZE57" s="39"/>
      <c r="ZF57" s="39"/>
      <c r="ZG57" s="39"/>
      <c r="ZH57" s="39"/>
      <c r="ZI57" s="39"/>
      <c r="ZJ57" s="39"/>
      <c r="ZK57" s="39"/>
      <c r="ZL57" s="39"/>
      <c r="ZM57" s="39"/>
      <c r="ZN57" s="39"/>
      <c r="ZO57" s="39"/>
      <c r="ZP57" s="39"/>
      <c r="ZQ57" s="39"/>
      <c r="ZR57" s="39"/>
      <c r="ZS57" s="39">
        <f>SUM(ZS47:ZS56)</f>
        <v>0</v>
      </c>
      <c r="ZT57" s="39">
        <f>SUM(ZT47:ZT56)</f>
        <v>0</v>
      </c>
      <c r="ZU57" s="39"/>
      <c r="ZV57" s="39"/>
      <c r="ZW57" s="39"/>
      <c r="ZX57" s="39"/>
      <c r="ZY57" s="39"/>
      <c r="ZZ57" s="39"/>
      <c r="AAA57" s="39"/>
      <c r="AAB57" s="39"/>
      <c r="AAC57" s="39"/>
      <c r="AAD57" s="39"/>
      <c r="AAE57" s="39"/>
      <c r="AAF57" s="39"/>
      <c r="AAG57" s="39"/>
      <c r="AAH57" s="39"/>
      <c r="AAI57" s="39"/>
      <c r="AAJ57" s="39"/>
      <c r="AAK57" s="39"/>
      <c r="AAL57" s="39"/>
      <c r="AAM57" s="39"/>
      <c r="AAN57" s="39"/>
      <c r="AAO57" s="39"/>
      <c r="AAP57" s="39"/>
      <c r="AAQ57" s="39"/>
      <c r="AAR57" s="39"/>
      <c r="AAS57" s="39"/>
      <c r="AAT57" s="39"/>
      <c r="AAU57" s="39"/>
      <c r="AAV57" s="39"/>
      <c r="AAW57" s="39"/>
      <c r="AAX57" s="39"/>
      <c r="AAY57" s="39"/>
      <c r="AAZ57" s="39"/>
      <c r="ABA57" s="39"/>
      <c r="ABB57" s="39"/>
      <c r="ABC57" s="39"/>
      <c r="ABD57" s="39"/>
      <c r="ABE57" s="39"/>
      <c r="ABF57" s="39"/>
      <c r="ABG57" s="39"/>
      <c r="ABH57" s="39"/>
      <c r="ABI57" s="39"/>
      <c r="ABJ57" s="39"/>
      <c r="ABK57" s="39"/>
      <c r="ABL57" s="39"/>
      <c r="ABM57" s="39"/>
      <c r="ABN57" s="39"/>
      <c r="ABO57" s="39"/>
      <c r="ABP57" s="39"/>
      <c r="ABQ57" s="39"/>
      <c r="ABR57" s="39"/>
      <c r="ABS57" s="39"/>
      <c r="ABT57" s="39"/>
      <c r="ABU57" s="39"/>
      <c r="ABV57" s="39"/>
      <c r="ABW57" s="39"/>
      <c r="ABX57" s="39"/>
      <c r="ABY57" s="39"/>
      <c r="ABZ57" s="39"/>
      <c r="ACA57" s="39"/>
      <c r="ACB57" s="39"/>
      <c r="ACC57" s="39"/>
      <c r="ACD57" s="39"/>
      <c r="ACE57" s="39">
        <f>SUM(ACE47:ACE56)</f>
        <v>0</v>
      </c>
      <c r="ACF57" s="39"/>
      <c r="ACG57" s="39">
        <f>SUM(ACG47:ACG56)</f>
        <v>31432.960000000003</v>
      </c>
      <c r="ACH57" s="40"/>
      <c r="ACI57" s="71" t="s">
        <v>223</v>
      </c>
      <c r="ACJ57" s="71" t="s">
        <v>37</v>
      </c>
    </row>
    <row r="58" spans="1:764" x14ac:dyDescent="0.25">
      <c r="A58" s="161">
        <v>6</v>
      </c>
      <c r="B58" s="151" t="s">
        <v>91</v>
      </c>
      <c r="C58" s="154" t="s">
        <v>3</v>
      </c>
      <c r="D58" s="49" t="s">
        <v>6</v>
      </c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43" cm="1">
        <f t="array" ref="BO58">SUMPRODUCT(E58:BM58,--(E$2:BM$2=BO$2))</f>
        <v>0</v>
      </c>
      <c r="BP58" s="43" cm="1">
        <f t="array" ref="BP58">SUMPRODUCT(F58:BN58,--(F$2:BN$2=BP$2))</f>
        <v>0</v>
      </c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 cm="1">
        <f t="array" ref="DW58">SUMPRODUCT(BQ58:DU58,--(BQ$2:DU$2=DW$2))</f>
        <v>0</v>
      </c>
      <c r="DX58" s="43" cm="1">
        <f t="array" ref="DX58">SUMPRODUCT(BR58:DV58,--(BR$2:DV$2=DX$2))</f>
        <v>0</v>
      </c>
      <c r="DY58" s="43">
        <f ca="1">IF(DY$1&gt;=TODAY(),0,276.54203003337)</f>
        <v>276.54203003337</v>
      </c>
      <c r="DZ58" s="43">
        <f t="shared" ref="DZ58:GH58" ca="1" si="160">IF(DZ$1&gt;=TODAY(),0,276.54203003337)</f>
        <v>276.54203003337</v>
      </c>
      <c r="EA58" s="43">
        <f t="shared" ca="1" si="160"/>
        <v>276.54203003337</v>
      </c>
      <c r="EB58" s="43">
        <f t="shared" ca="1" si="160"/>
        <v>276.54203003337</v>
      </c>
      <c r="EC58" s="43">
        <f t="shared" ca="1" si="160"/>
        <v>276.54203003337</v>
      </c>
      <c r="ED58" s="43">
        <f t="shared" ca="1" si="160"/>
        <v>276.54203003337</v>
      </c>
      <c r="EE58" s="43">
        <f t="shared" ca="1" si="160"/>
        <v>276.54203003337</v>
      </c>
      <c r="EF58" s="43">
        <f t="shared" ca="1" si="160"/>
        <v>276.54203003337</v>
      </c>
      <c r="EG58" s="43">
        <f t="shared" ca="1" si="160"/>
        <v>276.54203003337</v>
      </c>
      <c r="EH58" s="43">
        <f t="shared" ca="1" si="160"/>
        <v>276.54203003337</v>
      </c>
      <c r="EI58" s="43">
        <f t="shared" ca="1" si="160"/>
        <v>276.54203003337</v>
      </c>
      <c r="EJ58" s="43">
        <f t="shared" ca="1" si="160"/>
        <v>276.54203003337</v>
      </c>
      <c r="EK58" s="43">
        <f t="shared" ca="1" si="160"/>
        <v>276.54203003337</v>
      </c>
      <c r="EL58" s="43">
        <f t="shared" ca="1" si="160"/>
        <v>276.54203003337</v>
      </c>
      <c r="EM58" s="43">
        <f t="shared" ca="1" si="160"/>
        <v>276.54203003337</v>
      </c>
      <c r="EN58" s="43">
        <f t="shared" ca="1" si="160"/>
        <v>276.54203003337</v>
      </c>
      <c r="EO58" s="43">
        <f t="shared" ca="1" si="160"/>
        <v>276.54203003337</v>
      </c>
      <c r="EP58" s="43">
        <f t="shared" ca="1" si="160"/>
        <v>276.54203003337</v>
      </c>
      <c r="EQ58" s="43">
        <f t="shared" ca="1" si="160"/>
        <v>276.54203003337</v>
      </c>
      <c r="ER58" s="43">
        <f t="shared" ca="1" si="160"/>
        <v>276.54203003337</v>
      </c>
      <c r="ES58" s="43">
        <f t="shared" ca="1" si="160"/>
        <v>276.54203003337</v>
      </c>
      <c r="ET58" s="43">
        <f t="shared" ca="1" si="160"/>
        <v>276.54203003337</v>
      </c>
      <c r="EU58" s="43">
        <f t="shared" ca="1" si="160"/>
        <v>276.54203003337</v>
      </c>
      <c r="EV58" s="43">
        <f t="shared" ca="1" si="160"/>
        <v>276.54203003337</v>
      </c>
      <c r="EW58" s="43">
        <f t="shared" ca="1" si="160"/>
        <v>276.54203003337</v>
      </c>
      <c r="EX58" s="43">
        <f t="shared" ca="1" si="160"/>
        <v>276.54203003337</v>
      </c>
      <c r="EY58" s="43">
        <f t="shared" ca="1" si="160"/>
        <v>276.54203003337</v>
      </c>
      <c r="EZ58" s="43">
        <f t="shared" ca="1" si="160"/>
        <v>276.54203003337</v>
      </c>
      <c r="FA58" s="43">
        <f t="shared" ca="1" si="160"/>
        <v>276.54203003337</v>
      </c>
      <c r="FB58" s="43">
        <f t="shared" ca="1" si="160"/>
        <v>276.54203003337</v>
      </c>
      <c r="FC58" s="43">
        <f t="shared" ca="1" si="160"/>
        <v>276.54203003337</v>
      </c>
      <c r="FD58" s="43">
        <f t="shared" ca="1" si="160"/>
        <v>276.54203003337</v>
      </c>
      <c r="FE58" s="43">
        <f t="shared" ca="1" si="160"/>
        <v>276.54203003337</v>
      </c>
      <c r="FF58" s="43">
        <f t="shared" ca="1" si="160"/>
        <v>276.54203003337</v>
      </c>
      <c r="FG58" s="43">
        <f t="shared" ca="1" si="160"/>
        <v>276.54203003337</v>
      </c>
      <c r="FH58" s="43">
        <f t="shared" ca="1" si="160"/>
        <v>276.54203003337</v>
      </c>
      <c r="FI58" s="43">
        <f t="shared" ca="1" si="160"/>
        <v>276.54203003337</v>
      </c>
      <c r="FJ58" s="43">
        <f t="shared" ca="1" si="160"/>
        <v>276.54203003337</v>
      </c>
      <c r="FK58" s="43">
        <f t="shared" ca="1" si="160"/>
        <v>276.54203003337</v>
      </c>
      <c r="FL58" s="43">
        <f t="shared" ca="1" si="160"/>
        <v>276.54203003337</v>
      </c>
      <c r="FM58" s="43">
        <f t="shared" ca="1" si="160"/>
        <v>276.54203003337</v>
      </c>
      <c r="FN58" s="43">
        <f t="shared" ca="1" si="160"/>
        <v>276.54203003337</v>
      </c>
      <c r="FO58" s="43">
        <f t="shared" ca="1" si="160"/>
        <v>276.54203003337</v>
      </c>
      <c r="FP58" s="43">
        <f t="shared" ca="1" si="160"/>
        <v>276.54203003337</v>
      </c>
      <c r="FQ58" s="43">
        <f t="shared" ca="1" si="160"/>
        <v>276.54203003337</v>
      </c>
      <c r="FR58" s="43">
        <f t="shared" ca="1" si="160"/>
        <v>276.54203003337</v>
      </c>
      <c r="FS58" s="43">
        <f t="shared" ca="1" si="160"/>
        <v>276.54203003337</v>
      </c>
      <c r="FT58" s="43">
        <f t="shared" ca="1" si="160"/>
        <v>276.54203003337</v>
      </c>
      <c r="FU58" s="43">
        <f t="shared" ca="1" si="160"/>
        <v>276.54203003337</v>
      </c>
      <c r="FV58" s="43">
        <f t="shared" ca="1" si="160"/>
        <v>276.54203003337</v>
      </c>
      <c r="FW58" s="43">
        <f t="shared" ca="1" si="160"/>
        <v>276.54203003337</v>
      </c>
      <c r="FX58" s="43">
        <f t="shared" ca="1" si="160"/>
        <v>276.54203003337</v>
      </c>
      <c r="FY58" s="43">
        <f t="shared" ca="1" si="160"/>
        <v>276.54203003337</v>
      </c>
      <c r="FZ58" s="43">
        <f t="shared" ca="1" si="160"/>
        <v>276.54203003337</v>
      </c>
      <c r="GA58" s="43">
        <f t="shared" ca="1" si="160"/>
        <v>276.54203003337</v>
      </c>
      <c r="GB58" s="43">
        <f t="shared" ca="1" si="160"/>
        <v>276.54203003337</v>
      </c>
      <c r="GC58" s="43">
        <f t="shared" ca="1" si="160"/>
        <v>276.54203003337</v>
      </c>
      <c r="GD58" s="43">
        <f t="shared" ca="1" si="160"/>
        <v>276.54203003337</v>
      </c>
      <c r="GE58" s="43">
        <f t="shared" ca="1" si="160"/>
        <v>276.54203003337</v>
      </c>
      <c r="GF58" s="43">
        <f t="shared" ca="1" si="160"/>
        <v>276.54203003337</v>
      </c>
      <c r="GG58" s="43">
        <f t="shared" ca="1" si="160"/>
        <v>276.54203003337</v>
      </c>
      <c r="GH58" s="43">
        <f t="shared" ca="1" si="160"/>
        <v>276.54203003337</v>
      </c>
      <c r="GI58" s="43" cm="1">
        <f t="array" aca="1" ref="GI58" ca="1">SUMPRODUCT(DY58:GG58,--(DY$2:GG$2=GI$2))</f>
        <v>8572.8029310344682</v>
      </c>
      <c r="GJ58" s="43" cm="1">
        <f t="array" aca="1" ref="GJ58" ca="1">SUMPRODUCT(DZ58:GH58,--(DZ$2:GH$2=GJ$2))</f>
        <v>8572.8029310344682</v>
      </c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>
        <f>GK58+GM58+GO58+GQ58+GS58+GU58+GW58+GY58+HA58+HC58+HE58+HG58+HI58+HK58+HM58+HO58+HQ58+HS58+HU58+HW58+HY58+IA58+IC58+IE58+IG58+II58+IK58+IM58+IO58+IQ58</f>
        <v>0</v>
      </c>
      <c r="IT58" s="43">
        <f>GL58+GN58+GP58+GR58+GT58+GV58+GX58+GZ58+HB58+HD58+HF58+HH58+HJ58+HL58+HN58+HP58+HR58+HT58+HV58+HX58+HZ58+IB58+ID58+IF58+IH58+IJ58+IL58+IN58+IP58+IR58</f>
        <v>0</v>
      </c>
      <c r="IU58" s="43"/>
      <c r="IV58" s="43"/>
      <c r="IW58" s="43"/>
      <c r="IX58" s="43"/>
      <c r="IY58" s="43">
        <v>151.86000000000001</v>
      </c>
      <c r="IZ58" s="43"/>
      <c r="JA58" s="43"/>
      <c r="JB58" s="43"/>
      <c r="JC58" s="43"/>
      <c r="JD58" s="43"/>
      <c r="JE58" s="43"/>
      <c r="JF58" s="43"/>
      <c r="JG58" s="43"/>
      <c r="JH58" s="43"/>
      <c r="JI58" s="43"/>
      <c r="JJ58" s="43"/>
      <c r="JK58" s="43"/>
      <c r="JL58" s="43"/>
      <c r="JM58" s="43"/>
      <c r="JN58" s="43"/>
      <c r="JO58" s="43"/>
      <c r="JP58" s="43"/>
      <c r="JQ58" s="43"/>
      <c r="JR58" s="43"/>
      <c r="JS58" s="43"/>
      <c r="JT58" s="43"/>
      <c r="JU58" s="43"/>
      <c r="JV58" s="43"/>
      <c r="JW58" s="43"/>
      <c r="JX58" s="43"/>
      <c r="JY58" s="43"/>
      <c r="JZ58" s="43"/>
      <c r="KA58" s="43"/>
      <c r="KB58" s="43"/>
      <c r="KC58" s="43"/>
      <c r="KD58" s="43"/>
      <c r="KE58" s="43"/>
      <c r="KF58" s="43"/>
      <c r="KG58" s="43"/>
      <c r="KH58" s="43"/>
      <c r="KI58" s="43"/>
      <c r="KJ58" s="43"/>
      <c r="KK58" s="43"/>
      <c r="KL58" s="43"/>
      <c r="KM58" s="43"/>
      <c r="KN58" s="43"/>
      <c r="KO58" s="43"/>
      <c r="KP58" s="43"/>
      <c r="KQ58" s="43"/>
      <c r="KR58" s="43"/>
      <c r="KS58" s="43"/>
      <c r="KT58" s="43"/>
      <c r="KU58" s="43"/>
      <c r="KV58" s="43"/>
      <c r="KW58" s="43"/>
      <c r="KX58" s="43"/>
      <c r="KY58" s="43"/>
      <c r="KZ58" s="43"/>
      <c r="LA58" s="43"/>
      <c r="LB58" s="43"/>
      <c r="LC58" s="43"/>
      <c r="LD58" s="43"/>
      <c r="LE58" s="43">
        <f>IU58+IW58+IY58+JA58+JC58+JE58+JG58+JI58+JK58+JM58+JO58+JQ58+JS58+JU58+JW58+JY58+KA58+KC58+KE58+KG58+KI58+KK58+KM58+KO58+KQ58+KS58+KU58+KW58+KY58+LA58+LC58</f>
        <v>151.86000000000001</v>
      </c>
      <c r="LF58" s="43">
        <f>IV58+IX58+IZ58+JB58+JD58+JF58+JH58+JJ58+JL58+JN58+JP58+JR58+JT58+JV58+JX58+JZ58+KB58+KD58+KF58+KH58+KJ58+KL58+KN58+KP58+KR58+KT58+KV58+KX58+KZ58+LB58+LD58</f>
        <v>0</v>
      </c>
      <c r="LG58" s="43"/>
      <c r="LH58" s="43"/>
      <c r="LI58" s="43"/>
      <c r="LJ58" s="43"/>
      <c r="LK58" s="43"/>
      <c r="LL58" s="43"/>
      <c r="LM58" s="43"/>
      <c r="LN58" s="43"/>
      <c r="LO58" s="43"/>
      <c r="LP58" s="43"/>
      <c r="LQ58" s="43"/>
      <c r="LR58" s="43"/>
      <c r="LS58" s="43"/>
      <c r="LT58" s="43"/>
      <c r="LU58" s="43"/>
      <c r="LV58" s="43"/>
      <c r="LW58" s="43"/>
      <c r="LX58" s="43"/>
      <c r="LY58" s="43"/>
      <c r="LZ58" s="43"/>
      <c r="MA58" s="43"/>
      <c r="MB58" s="43"/>
      <c r="MC58" s="43"/>
      <c r="MD58" s="43"/>
      <c r="ME58" s="43"/>
      <c r="MF58" s="43"/>
      <c r="MG58" s="43"/>
      <c r="MH58" s="43"/>
      <c r="MI58" s="43"/>
      <c r="MJ58" s="43"/>
      <c r="MK58" s="43"/>
      <c r="ML58" s="43"/>
      <c r="MM58" s="43"/>
      <c r="MN58" s="43"/>
      <c r="MO58" s="43"/>
      <c r="MP58" s="43"/>
      <c r="MQ58" s="43"/>
      <c r="MR58" s="43"/>
      <c r="MS58" s="43"/>
      <c r="MT58" s="43"/>
      <c r="MU58" s="43"/>
      <c r="MV58" s="43"/>
      <c r="MW58" s="43"/>
      <c r="MX58" s="43"/>
      <c r="MY58" s="43"/>
      <c r="MZ58" s="43"/>
      <c r="NA58" s="43"/>
      <c r="NB58" s="43"/>
      <c r="NC58" s="43"/>
      <c r="ND58" s="43"/>
      <c r="NE58" s="43"/>
      <c r="NF58" s="43"/>
      <c r="NG58" s="43"/>
      <c r="NH58" s="43"/>
      <c r="NI58" s="43"/>
      <c r="NJ58" s="43"/>
      <c r="NK58" s="43"/>
      <c r="NL58" s="43"/>
      <c r="NM58" s="43"/>
      <c r="NN58" s="43"/>
      <c r="NO58" s="43">
        <f>LG58+LI58+LK58+LM58+LO58+LQ58+LS58+LU58+LW58+LY58+MA58+MC58+ME58+MG58+MI58+MK58+MM58+MO58+MQ58+MS58+MU58+MW58+MY58+NA58+NC58+NE58+NG58+NI58+NK58+NM58</f>
        <v>0</v>
      </c>
      <c r="NP58" s="43">
        <f>LH58+LJ58+LL58+LN58+LP58+LR58+LT58+LV58+LX58+LZ58+MB58+MD58+MF58+MH58+MJ58+ML58+MN58+MP58+MR58+MT58+MV58+MX58+MZ58+NB58+ND58+NF58+NH58+NJ58+NL58+NN58</f>
        <v>0</v>
      </c>
      <c r="NQ58" s="43"/>
      <c r="NR58" s="43"/>
      <c r="NS58" s="43"/>
      <c r="NT58" s="43"/>
      <c r="NU58" s="43"/>
      <c r="NV58" s="43"/>
      <c r="NW58" s="43"/>
      <c r="NX58" s="43"/>
      <c r="NY58" s="43"/>
      <c r="NZ58" s="43"/>
      <c r="OA58" s="43"/>
      <c r="OB58" s="43"/>
      <c r="OC58" s="43"/>
      <c r="OD58" s="43"/>
      <c r="OE58" s="43"/>
      <c r="OF58" s="43"/>
      <c r="OG58" s="43"/>
      <c r="OH58" s="43"/>
      <c r="OI58" s="43"/>
      <c r="OJ58" s="43"/>
      <c r="OK58" s="43"/>
      <c r="OL58" s="43"/>
      <c r="OM58" s="43"/>
      <c r="ON58" s="43"/>
      <c r="OO58" s="43"/>
      <c r="OP58" s="43"/>
      <c r="OQ58" s="43"/>
      <c r="OR58" s="43"/>
      <c r="OS58" s="43"/>
      <c r="OT58" s="43"/>
      <c r="OU58" s="43"/>
      <c r="OV58" s="43"/>
      <c r="OW58" s="43"/>
      <c r="OX58" s="43"/>
      <c r="OY58" s="43"/>
      <c r="OZ58" s="43"/>
      <c r="PA58" s="43"/>
      <c r="PB58" s="43"/>
      <c r="PC58" s="43"/>
      <c r="PD58" s="43"/>
      <c r="PE58" s="43"/>
      <c r="PF58" s="43"/>
      <c r="PG58" s="43"/>
      <c r="PH58" s="43"/>
      <c r="PI58" s="43"/>
      <c r="PJ58" s="43"/>
      <c r="PK58" s="43"/>
      <c r="PL58" s="43"/>
      <c r="PM58" s="43"/>
      <c r="PN58" s="43"/>
      <c r="PO58" s="43"/>
      <c r="PP58" s="43"/>
      <c r="PQ58" s="43"/>
      <c r="PR58" s="43"/>
      <c r="PS58" s="43"/>
      <c r="PT58" s="43"/>
      <c r="PU58" s="43"/>
      <c r="PV58" s="43"/>
      <c r="PW58" s="43"/>
      <c r="PX58" s="43"/>
      <c r="PY58" s="43"/>
      <c r="PZ58" s="43"/>
      <c r="QA58" s="43">
        <f>NQ58+NS58+NU58+NW58+NY58+OA58+OC58+OE58+OG58+OI58+OK58+OM58+OO58+OQ58+OS58+OU58+OW58+OY58+PA58+PC58+PE58+PG58+PI58+PK58+PM58+PO58+PQ58+PS58+PU58+PW58+PY58</f>
        <v>0</v>
      </c>
      <c r="QB58" s="43">
        <f>NR58+NT58+NV58+NX58+NZ58+OB58+OD58+OF58+OH58+OJ58+OL58+ON58+OP58+OR58+OT58+OV58+OX58+OZ58+PB58+PD58+PF58+PH58+PJ58+PL58+PN58+PP58+PR58+PT58+PV58+PX58+PZ58</f>
        <v>0</v>
      </c>
      <c r="QC58" s="43"/>
      <c r="QD58" s="43"/>
      <c r="QE58" s="43"/>
      <c r="QF58" s="43"/>
      <c r="QG58" s="43"/>
      <c r="QH58" s="43"/>
      <c r="QI58" s="43"/>
      <c r="QJ58" s="43"/>
      <c r="QK58" s="43"/>
      <c r="QL58" s="43"/>
      <c r="QM58" s="43"/>
      <c r="QN58" s="43"/>
      <c r="QO58" s="43"/>
      <c r="QP58" s="43"/>
      <c r="QQ58" s="43"/>
      <c r="QR58" s="43"/>
      <c r="QS58" s="43"/>
      <c r="QT58" s="43"/>
      <c r="QU58" s="43"/>
      <c r="QV58" s="43"/>
      <c r="QW58" s="43"/>
      <c r="QX58" s="43"/>
      <c r="QY58" s="43"/>
      <c r="QZ58" s="43"/>
      <c r="RA58" s="43"/>
      <c r="RB58" s="43"/>
      <c r="RC58" s="43"/>
      <c r="RD58" s="43"/>
      <c r="RE58" s="43"/>
      <c r="RF58" s="43"/>
      <c r="RG58" s="43"/>
      <c r="RH58" s="43"/>
      <c r="RI58" s="43"/>
      <c r="RJ58" s="43"/>
      <c r="RK58" s="43"/>
      <c r="RL58" s="43"/>
      <c r="RM58" s="43"/>
      <c r="RN58" s="43"/>
      <c r="RO58" s="43"/>
      <c r="RP58" s="43"/>
      <c r="RQ58" s="43"/>
      <c r="RR58" s="43"/>
      <c r="RS58" s="43"/>
      <c r="RT58" s="43"/>
      <c r="RU58" s="43"/>
      <c r="RV58" s="43"/>
      <c r="RW58" s="43"/>
      <c r="RX58" s="43"/>
      <c r="RY58" s="43"/>
      <c r="RZ58" s="43"/>
      <c r="SA58" s="43"/>
      <c r="SB58" s="43"/>
      <c r="SC58" s="43"/>
      <c r="SD58" s="43"/>
      <c r="SE58" s="43"/>
      <c r="SF58" s="43"/>
      <c r="SG58" s="43"/>
      <c r="SH58" s="43"/>
      <c r="SI58" s="43"/>
      <c r="SJ58" s="43"/>
      <c r="SK58" s="43"/>
      <c r="SL58" s="43"/>
      <c r="SM58" s="43">
        <f>QC58+QE58+QG58+QI58+QK58+QM58+QO58+QQ58+QS58+QU58+QW58+QY58+RA58+RC58+RE58+RG58+RI58+RK58+RM58+RO58+RQ58+RS58+RU58+RW58+RY58+SA58+SC58+SE58+SG58+SI58+SK58</f>
        <v>0</v>
      </c>
      <c r="SN58" s="43">
        <f>QD58+QF58+QH58+QJ58+QL58+QN58+QP58+QR58+QT58+QV58+QX58+QZ58+RB58+RD58+RF58+RH58+RJ58+RL58+RN58+RP58+RR58+RT58+RV58+RX58+RZ58+SB58+SD58+SF58+SH58+SJ58+SL58</f>
        <v>0</v>
      </c>
      <c r="SO58" s="43"/>
      <c r="SP58" s="43"/>
      <c r="SQ58" s="43"/>
      <c r="SR58" s="43"/>
      <c r="SS58" s="43"/>
      <c r="ST58" s="43"/>
      <c r="SU58" s="43"/>
      <c r="SV58" s="43"/>
      <c r="SW58" s="43"/>
      <c r="SX58" s="43"/>
      <c r="SY58" s="43"/>
      <c r="SZ58" s="43"/>
      <c r="TA58" s="43"/>
      <c r="TB58" s="43"/>
      <c r="TC58" s="43"/>
      <c r="TD58" s="43"/>
      <c r="TE58" s="43"/>
      <c r="TF58" s="43"/>
      <c r="TG58" s="43"/>
      <c r="TH58" s="43"/>
      <c r="TI58" s="43"/>
      <c r="TJ58" s="43"/>
      <c r="TK58" s="43"/>
      <c r="TL58" s="43"/>
      <c r="TM58" s="43"/>
      <c r="TN58" s="43"/>
      <c r="TO58" s="43"/>
      <c r="TP58" s="43"/>
      <c r="TQ58" s="43"/>
      <c r="TR58" s="43"/>
      <c r="TS58" s="43"/>
      <c r="TT58" s="43"/>
      <c r="TU58" s="43"/>
      <c r="TV58" s="43"/>
      <c r="TW58" s="43"/>
      <c r="TX58" s="43"/>
      <c r="TY58" s="43"/>
      <c r="TZ58" s="43"/>
      <c r="UA58" s="43"/>
      <c r="UB58" s="43"/>
      <c r="UC58" s="43"/>
      <c r="UD58" s="43"/>
      <c r="UE58" s="43"/>
      <c r="UF58" s="43"/>
      <c r="UG58" s="43"/>
      <c r="UH58" s="43"/>
      <c r="UI58" s="43"/>
      <c r="UJ58" s="43"/>
      <c r="UK58" s="43"/>
      <c r="UL58" s="43"/>
      <c r="UM58" s="43"/>
      <c r="UN58" s="43"/>
      <c r="UO58" s="43"/>
      <c r="UP58" s="43"/>
      <c r="UQ58" s="43"/>
      <c r="UR58" s="43"/>
      <c r="US58" s="43"/>
      <c r="UT58" s="43"/>
      <c r="UU58" s="43"/>
      <c r="UV58" s="43"/>
      <c r="UW58" s="43">
        <f>SO58+SQ58+SS58+SU58+SW58+SY58+TA58+TC58+TE58+TG58+TI58+TK58+TM58+TO58+TQ58+TS58+TU58+TW58+TY58+UA58+UC58+UE58+UG58+UI58+UK58+UM58+UO58+UQ58+US58+UU58</f>
        <v>0</v>
      </c>
      <c r="UX58" s="43">
        <f>SP58+SR58+ST58+SV58+SX58+SZ58+TB58+TD58+TF58+TH58+TJ58+TL58+TN58+TP58+TR58+TT58+TV58+TX58+TZ58+UB58+UD58+UF58+UH58+UJ58+UL58+UN58+UP58+UR58+UT58+UV58</f>
        <v>0</v>
      </c>
      <c r="UY58" s="43"/>
      <c r="UZ58" s="43"/>
      <c r="VA58" s="43"/>
      <c r="VB58" s="43"/>
      <c r="VC58" s="43"/>
      <c r="VD58" s="43"/>
      <c r="VE58" s="43"/>
      <c r="VF58" s="43"/>
      <c r="VG58" s="43"/>
      <c r="VH58" s="43"/>
      <c r="VI58" s="43"/>
      <c r="VJ58" s="43"/>
      <c r="VK58" s="43"/>
      <c r="VL58" s="43"/>
      <c r="VM58" s="43"/>
      <c r="VN58" s="43"/>
      <c r="VO58" s="43"/>
      <c r="VP58" s="43"/>
      <c r="VQ58" s="43"/>
      <c r="VR58" s="43"/>
      <c r="VS58" s="43"/>
      <c r="VT58" s="43"/>
      <c r="VU58" s="43"/>
      <c r="VV58" s="43"/>
      <c r="VW58" s="43"/>
      <c r="VX58" s="43"/>
      <c r="VY58" s="43"/>
      <c r="VZ58" s="43"/>
      <c r="WA58" s="43"/>
      <c r="WB58" s="43"/>
      <c r="WC58" s="43"/>
      <c r="WD58" s="43"/>
      <c r="WE58" s="43"/>
      <c r="WF58" s="43"/>
      <c r="WG58" s="43"/>
      <c r="WH58" s="43"/>
      <c r="WI58" s="43"/>
      <c r="WJ58" s="43"/>
      <c r="WK58" s="43"/>
      <c r="WL58" s="43"/>
      <c r="WM58" s="43"/>
      <c r="WN58" s="43"/>
      <c r="WO58" s="43"/>
      <c r="WP58" s="43"/>
      <c r="WQ58" s="43"/>
      <c r="WR58" s="43"/>
      <c r="WS58" s="43"/>
      <c r="WT58" s="43"/>
      <c r="WU58" s="43"/>
      <c r="WV58" s="43"/>
      <c r="WW58" s="43"/>
      <c r="WX58" s="43"/>
      <c r="WY58" s="43"/>
      <c r="WZ58" s="43"/>
      <c r="XA58" s="43"/>
      <c r="XB58" s="43"/>
      <c r="XC58" s="43"/>
      <c r="XD58" s="43"/>
      <c r="XE58" s="43"/>
      <c r="XF58" s="43"/>
      <c r="XG58" s="43"/>
      <c r="XH58" s="43"/>
      <c r="XI58" s="43">
        <f>UY58+VA58+VC58+VE58+VG58+VI58+VK58+VM58+VO58+VQ58+VS58+VU58+VW58+VY58+WA58+WC58+WE58+WG58+WI58+WK58+WM58+WO58+WQ58+WS58+WU58+WW58+WY58+XA58+XC58+XE58+XG58</f>
        <v>0</v>
      </c>
      <c r="XJ58" s="43">
        <f>UZ58+VB58+VD58+VF58+VH58+VJ58+VL58+VN58+VP58+VR58+VT58+VV58+VX58+VZ58+WB58+WD58+WF58+WH58+WJ58+WL58+WN58+WP58+WR58+WT58+WV58+WX58+WZ58+XB58+XD58+XF58+XH58</f>
        <v>0</v>
      </c>
      <c r="XK58" s="43"/>
      <c r="XL58" s="43"/>
      <c r="XM58" s="43"/>
      <c r="XN58" s="43"/>
      <c r="XO58" s="43"/>
      <c r="XP58" s="43"/>
      <c r="XQ58" s="43"/>
      <c r="XR58" s="43"/>
      <c r="XS58" s="43"/>
      <c r="XT58" s="43"/>
      <c r="XU58" s="43"/>
      <c r="XV58" s="43"/>
      <c r="XW58" s="43"/>
      <c r="XX58" s="43"/>
      <c r="XY58" s="43"/>
      <c r="XZ58" s="43"/>
      <c r="YA58" s="43"/>
      <c r="YB58" s="43"/>
      <c r="YC58" s="43"/>
      <c r="YD58" s="43"/>
      <c r="YE58" s="43"/>
      <c r="YF58" s="43"/>
      <c r="YG58" s="43"/>
      <c r="YH58" s="43"/>
      <c r="YI58" s="43"/>
      <c r="YJ58" s="43"/>
      <c r="YK58" s="43"/>
      <c r="YL58" s="43"/>
      <c r="YM58" s="43"/>
      <c r="YN58" s="43"/>
      <c r="YO58" s="43"/>
      <c r="YP58" s="43"/>
      <c r="YQ58" s="43"/>
      <c r="YR58" s="43"/>
      <c r="YS58" s="43"/>
      <c r="YT58" s="43"/>
      <c r="YU58" s="43"/>
      <c r="YV58" s="43"/>
      <c r="YW58" s="43"/>
      <c r="YX58" s="43"/>
      <c r="YY58" s="43"/>
      <c r="YZ58" s="43"/>
      <c r="ZA58" s="43"/>
      <c r="ZB58" s="43"/>
      <c r="ZC58" s="43"/>
      <c r="ZD58" s="43"/>
      <c r="ZE58" s="43"/>
      <c r="ZF58" s="43"/>
      <c r="ZG58" s="43"/>
      <c r="ZH58" s="43"/>
      <c r="ZI58" s="43"/>
      <c r="ZJ58" s="43"/>
      <c r="ZK58" s="43"/>
      <c r="ZL58" s="43"/>
      <c r="ZM58" s="43"/>
      <c r="ZN58" s="43"/>
      <c r="ZO58" s="43"/>
      <c r="ZP58" s="43"/>
      <c r="ZQ58" s="43"/>
      <c r="ZR58" s="43"/>
      <c r="ZS58" s="43">
        <f>XK58+XM58+XO58+XQ58+XS58+XU58+XW58+XY58+YA58+YC58+YE58+YG58+YI58+YK58+YM58+YO58+YQ58+YS58+YU58+YW58+YY58+ZA58+ZC58+ZE58+ZG58+ZI58+ZK58+ZM58+ZO58+ZQ58</f>
        <v>0</v>
      </c>
      <c r="ZT58" s="43">
        <f>XL58+XN58+XP58+XR58+XT58+XV58+XX58+XZ58+YB58+YD58+YF58+YH58+YJ58+YL58+YN58+YP58+YR58+YT58+YV58+YX58+YZ58+ZB58+ZD58+ZF58+ZH58+ZJ58+ZL58+ZN58+ZP58+ZR58</f>
        <v>0</v>
      </c>
      <c r="ZU58" s="43"/>
      <c r="ZV58" s="43"/>
      <c r="ZW58" s="43"/>
      <c r="ZX58" s="43"/>
      <c r="ZY58" s="43"/>
      <c r="ZZ58" s="43"/>
      <c r="AAA58" s="43"/>
      <c r="AAB58" s="43"/>
      <c r="AAC58" s="43"/>
      <c r="AAD58" s="43"/>
      <c r="AAE58" s="43"/>
      <c r="AAF58" s="43"/>
      <c r="AAG58" s="43"/>
      <c r="AAH58" s="43"/>
      <c r="AAI58" s="43"/>
      <c r="AAJ58" s="43"/>
      <c r="AAK58" s="43"/>
      <c r="AAL58" s="43"/>
      <c r="AAM58" s="43"/>
      <c r="AAN58" s="43"/>
      <c r="AAO58" s="43"/>
      <c r="AAP58" s="43"/>
      <c r="AAQ58" s="43"/>
      <c r="AAR58" s="43"/>
      <c r="AAS58" s="43"/>
      <c r="AAT58" s="43"/>
      <c r="AAU58" s="43"/>
      <c r="AAV58" s="43"/>
      <c r="AAW58" s="43"/>
      <c r="AAX58" s="43"/>
      <c r="AAY58" s="43"/>
      <c r="AAZ58" s="43"/>
      <c r="ABA58" s="43"/>
      <c r="ABB58" s="43"/>
      <c r="ABC58" s="43"/>
      <c r="ABD58" s="43"/>
      <c r="ABE58" s="43"/>
      <c r="ABF58" s="43"/>
      <c r="ABG58" s="43"/>
      <c r="ABH58" s="43"/>
      <c r="ABI58" s="43"/>
      <c r="ABJ58" s="43"/>
      <c r="ABK58" s="43"/>
      <c r="ABL58" s="43"/>
      <c r="ABM58" s="43"/>
      <c r="ABN58" s="43"/>
      <c r="ABO58" s="43"/>
      <c r="ABP58" s="43"/>
      <c r="ABQ58" s="43"/>
      <c r="ABR58" s="43"/>
      <c r="ABS58" s="43"/>
      <c r="ABT58" s="43"/>
      <c r="ABU58" s="43"/>
      <c r="ABV58" s="43"/>
      <c r="ABW58" s="43"/>
      <c r="ABX58" s="43"/>
      <c r="ABY58" s="43"/>
      <c r="ABZ58" s="43"/>
      <c r="ACA58" s="43"/>
      <c r="ACB58" s="43"/>
      <c r="ACC58" s="43"/>
      <c r="ACD58" s="44"/>
      <c r="ACE58" s="43">
        <f>ZU58+ZW58+ZY58+AAA58+AAC58+AAE58+AAG58+AAI58+AAK58+AAM58+AAO58+AAQ58+AAS58+AAU58+AAW58+AAY58+ABA58+ABC58+ABE58+ABG58+ABI58+ABK58+ABM58+ABO58+ABQ58+ABS58+ABU58+ABW58+ABY58+ACA58+ACC58</f>
        <v>0</v>
      </c>
      <c r="ACF58" s="43"/>
      <c r="ACG58" s="43">
        <f ca="1">BO58+DW58+GI58+IS58+LE58+NO58+QA58+SM58+UW58+XI58+ZS58+ACE58</f>
        <v>8724.6629310344688</v>
      </c>
      <c r="ACH58" s="54"/>
      <c r="ACI58" s="71" t="s">
        <v>172</v>
      </c>
      <c r="ACJ58" s="71" t="s">
        <v>91</v>
      </c>
    </row>
    <row r="59" spans="1:764" x14ac:dyDescent="0.25">
      <c r="A59" s="162"/>
      <c r="B59" s="152"/>
      <c r="C59" s="155"/>
      <c r="D59" s="50" t="s">
        <v>7</v>
      </c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24" cm="1">
        <f t="array" ref="BO59">SUMPRODUCT(E59:BM59,--(E$2:BM$2=BO$2))</f>
        <v>0</v>
      </c>
      <c r="BP59" s="24" cm="1">
        <f t="array" ref="BP59">SUMPRODUCT(F59:BN59,--(F$2:BN$2=BP$2))</f>
        <v>0</v>
      </c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 cm="1">
        <f t="array" ref="DW59">SUMPRODUCT(BQ59:DU59,--(BQ$2:DU$2=DW$2))</f>
        <v>0</v>
      </c>
      <c r="DX59" s="24" cm="1">
        <f t="array" ref="DX59">SUMPRODUCT(BR59:DV59,--(BR$2:DV$2=DX$2))</f>
        <v>0</v>
      </c>
      <c r="DY59" s="24"/>
      <c r="DZ59" s="24"/>
      <c r="EA59" s="24"/>
      <c r="EB59" s="24"/>
      <c r="EC59" s="24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C59" s="24"/>
      <c r="FD59" s="24"/>
      <c r="FE59" s="24"/>
      <c r="FF59" s="24"/>
      <c r="FG59" s="24"/>
      <c r="FH59" s="24"/>
      <c r="FI59" s="24"/>
      <c r="FJ59" s="24"/>
      <c r="FK59" s="24"/>
      <c r="FL59" s="24"/>
      <c r="FM59" s="24"/>
      <c r="FN59" s="24"/>
      <c r="FO59" s="24"/>
      <c r="FP59" s="24"/>
      <c r="FQ59" s="24"/>
      <c r="FR59" s="24"/>
      <c r="FS59" s="24"/>
      <c r="FT59" s="24"/>
      <c r="FU59" s="24"/>
      <c r="FV59" s="24"/>
      <c r="FW59" s="24"/>
      <c r="FX59" s="24"/>
      <c r="FY59" s="24"/>
      <c r="FZ59" s="24"/>
      <c r="GA59" s="24"/>
      <c r="GB59" s="24"/>
      <c r="GC59" s="24"/>
      <c r="GD59" s="24"/>
      <c r="GE59" s="24"/>
      <c r="GF59" s="24"/>
      <c r="GG59" s="24"/>
      <c r="GH59" s="24"/>
      <c r="GI59" s="24" cm="1">
        <f t="array" ref="GI59">SUMPRODUCT(DY59:GG59,--(DY$2:GG$2=GI$2))</f>
        <v>0</v>
      </c>
      <c r="GJ59" s="24" cm="1">
        <f t="array" ref="GJ59">SUMPRODUCT(DZ59:GH59,--(DZ$2:GH$2=GJ$2))</f>
        <v>0</v>
      </c>
      <c r="GK59" s="24"/>
      <c r="GL59" s="24"/>
      <c r="GM59" s="24"/>
      <c r="GN59" s="24"/>
      <c r="GO59" s="24"/>
      <c r="GP59" s="24"/>
      <c r="GQ59" s="24"/>
      <c r="GR59" s="24"/>
      <c r="GS59" s="24"/>
      <c r="GT59" s="24"/>
      <c r="GU59" s="24"/>
      <c r="GV59" s="24"/>
      <c r="GW59" s="24"/>
      <c r="GX59" s="24"/>
      <c r="GY59" s="24"/>
      <c r="GZ59" s="24"/>
      <c r="HA59" s="24"/>
      <c r="HB59" s="24"/>
      <c r="HC59" s="24"/>
      <c r="HD59" s="24"/>
      <c r="HE59" s="24"/>
      <c r="HF59" s="24"/>
      <c r="HG59" s="24"/>
      <c r="HH59" s="24"/>
      <c r="HI59" s="24"/>
      <c r="HJ59" s="24"/>
      <c r="HK59" s="24"/>
      <c r="HL59" s="24"/>
      <c r="HM59" s="24"/>
      <c r="HN59" s="24"/>
      <c r="HO59" s="24"/>
      <c r="HP59" s="24"/>
      <c r="HQ59" s="24"/>
      <c r="HR59" s="24"/>
      <c r="HS59" s="24"/>
      <c r="HT59" s="24"/>
      <c r="HU59" s="24"/>
      <c r="HV59" s="24"/>
      <c r="HW59" s="24"/>
      <c r="HX59" s="24"/>
      <c r="HY59" s="24"/>
      <c r="HZ59" s="24"/>
      <c r="IA59" s="24"/>
      <c r="IB59" s="24"/>
      <c r="IC59" s="24"/>
      <c r="ID59" s="24"/>
      <c r="IE59" s="24"/>
      <c r="IF59" s="24"/>
      <c r="IG59" s="24"/>
      <c r="IH59" s="24"/>
      <c r="II59" s="24"/>
      <c r="IJ59" s="24"/>
      <c r="IK59" s="24"/>
      <c r="IL59" s="24"/>
      <c r="IM59" s="24"/>
      <c r="IN59" s="24"/>
      <c r="IO59" s="24"/>
      <c r="IP59" s="24"/>
      <c r="IQ59" s="24"/>
      <c r="IR59" s="24"/>
      <c r="IS59" s="24">
        <f t="shared" ref="IS59:IS67" si="161">GK59+GM59+GO59+GQ59+GS59+GU59+GW59+GY59+HA59+HC59+HE59+HG59+HI59+HK59+HM59+HO59+HQ59+HS59+HU59+HW59+HY59+IA59+IC59+IE59+IG59+II59+IK59+IM59+IO59+IQ59</f>
        <v>0</v>
      </c>
      <c r="IT59" s="24">
        <f t="shared" ref="IT59:IT67" si="162">GL59+GN59+GP59+GR59+GT59+GV59+GX59+GZ59+HB59+HD59+HF59+HH59+HJ59+HL59+HN59+HP59+HR59+HT59+HV59+HX59+HZ59+IB59+ID59+IF59+IH59+IJ59+IL59+IN59+IP59+IR59</f>
        <v>0</v>
      </c>
      <c r="IU59" s="24"/>
      <c r="IV59" s="24"/>
      <c r="IW59" s="24"/>
      <c r="IX59" s="24"/>
      <c r="IY59" s="24"/>
      <c r="IZ59" s="24"/>
      <c r="JA59" s="24"/>
      <c r="JB59" s="24"/>
      <c r="JC59" s="24"/>
      <c r="JD59" s="24"/>
      <c r="JE59" s="24"/>
      <c r="JF59" s="24"/>
      <c r="JG59" s="24"/>
      <c r="JH59" s="24"/>
      <c r="JI59" s="24"/>
      <c r="JJ59" s="24"/>
      <c r="JK59" s="24"/>
      <c r="JL59" s="24"/>
      <c r="JM59" s="24"/>
      <c r="JN59" s="24"/>
      <c r="JO59" s="24"/>
      <c r="JP59" s="24"/>
      <c r="JQ59" s="24"/>
      <c r="JR59" s="24"/>
      <c r="JS59" s="24"/>
      <c r="JT59" s="24"/>
      <c r="JU59" s="24"/>
      <c r="JV59" s="24"/>
      <c r="JW59" s="24"/>
      <c r="JX59" s="24"/>
      <c r="JY59" s="24"/>
      <c r="JZ59" s="24"/>
      <c r="KA59" s="24"/>
      <c r="KB59" s="24"/>
      <c r="KC59" s="24"/>
      <c r="KD59" s="24"/>
      <c r="KE59" s="24"/>
      <c r="KF59" s="24"/>
      <c r="KG59" s="24"/>
      <c r="KH59" s="24"/>
      <c r="KI59" s="24"/>
      <c r="KJ59" s="24"/>
      <c r="KK59" s="24"/>
      <c r="KL59" s="24"/>
      <c r="KM59" s="24"/>
      <c r="KN59" s="24"/>
      <c r="KO59" s="24"/>
      <c r="KP59" s="24"/>
      <c r="KQ59" s="24"/>
      <c r="KR59" s="24"/>
      <c r="KS59" s="24"/>
      <c r="KT59" s="24"/>
      <c r="KU59" s="24"/>
      <c r="KV59" s="24"/>
      <c r="KW59" s="24"/>
      <c r="KX59" s="24"/>
      <c r="KY59" s="24"/>
      <c r="KZ59" s="24"/>
      <c r="LA59" s="24"/>
      <c r="LB59" s="24"/>
      <c r="LC59" s="24"/>
      <c r="LD59" s="24"/>
      <c r="LE59" s="24">
        <f t="shared" ref="LE59:LE67" si="163">IU59+IW59+IY59+JA59+JC59+JE59+JG59+JI59+JK59+JM59+JO59+JQ59+JS59+JU59+JW59+JY59+KA59+KC59+KE59+KG59+KI59+KK59+KM59+KO59+KQ59+KS59+KU59+KW59+KY59+LA59+LC59</f>
        <v>0</v>
      </c>
      <c r="LF59" s="24">
        <f t="shared" ref="LF59:LF67" si="164">IV59+IX59+IZ59+JB59+JD59+JF59+JH59+JJ59+JL59+JN59+JP59+JR59+JT59+JV59+JX59+JZ59+KB59+KD59+KF59+KH59+KJ59+KL59+KN59+KP59+KR59+KT59+KV59+KX59+KZ59+LB59+LD59</f>
        <v>0</v>
      </c>
      <c r="LG59" s="24"/>
      <c r="LH59" s="24"/>
      <c r="LI59" s="24"/>
      <c r="LJ59" s="24"/>
      <c r="LK59" s="24"/>
      <c r="LL59" s="24"/>
      <c r="LM59" s="24"/>
      <c r="LN59" s="24"/>
      <c r="LO59" s="24"/>
      <c r="LP59" s="24"/>
      <c r="LQ59" s="24"/>
      <c r="LR59" s="24"/>
      <c r="LS59" s="24"/>
      <c r="LT59" s="24"/>
      <c r="LU59" s="24"/>
      <c r="LV59" s="24"/>
      <c r="LW59" s="24"/>
      <c r="LX59" s="24"/>
      <c r="LY59" s="24"/>
      <c r="LZ59" s="24"/>
      <c r="MA59" s="24"/>
      <c r="MB59" s="24"/>
      <c r="MC59" s="24"/>
      <c r="MD59" s="24"/>
      <c r="ME59" s="24"/>
      <c r="MF59" s="24"/>
      <c r="MG59" s="24"/>
      <c r="MH59" s="24"/>
      <c r="MI59" s="24"/>
      <c r="MJ59" s="24"/>
      <c r="MK59" s="24"/>
      <c r="ML59" s="24"/>
      <c r="MM59" s="24"/>
      <c r="MN59" s="24"/>
      <c r="MO59" s="24"/>
      <c r="MP59" s="24"/>
      <c r="MQ59" s="24"/>
      <c r="MR59" s="24"/>
      <c r="MS59" s="24"/>
      <c r="MT59" s="24"/>
      <c r="MU59" s="24"/>
      <c r="MV59" s="24"/>
      <c r="MW59" s="24"/>
      <c r="MX59" s="24"/>
      <c r="MY59" s="24"/>
      <c r="MZ59" s="24"/>
      <c r="NA59" s="24"/>
      <c r="NB59" s="24"/>
      <c r="NC59" s="24"/>
      <c r="ND59" s="24"/>
      <c r="NE59" s="24"/>
      <c r="NF59" s="24"/>
      <c r="NG59" s="24"/>
      <c r="NH59" s="24"/>
      <c r="NI59" s="24"/>
      <c r="NJ59" s="24"/>
      <c r="NK59" s="24"/>
      <c r="NL59" s="24"/>
      <c r="NM59" s="24"/>
      <c r="NN59" s="24"/>
      <c r="NO59" s="24">
        <f t="shared" ref="NO59:NO67" si="165">LG59+LI59+LK59+LM59+LO59+LQ59+LS59+LU59+LW59+LY59+MA59+MC59+ME59+MG59+MI59+MK59+MM59+MO59+MQ59+MS59+MU59+MW59+MY59+NA59+NC59+NE59+NG59+NI59+NK59+NM59</f>
        <v>0</v>
      </c>
      <c r="NP59" s="24">
        <f t="shared" ref="NP59:NP67" si="166">LH59+LJ59+LL59+LN59+LP59+LR59+LT59+LV59+LX59+LZ59+MB59+MD59+MF59+MH59+MJ59+ML59+MN59+MP59+MR59+MT59+MV59+MX59+MZ59+NB59+ND59+NF59+NH59+NJ59+NL59+NN59</f>
        <v>0</v>
      </c>
      <c r="NQ59" s="24"/>
      <c r="NR59" s="24"/>
      <c r="NS59" s="24"/>
      <c r="NT59" s="24"/>
      <c r="NU59" s="24"/>
      <c r="NV59" s="24"/>
      <c r="NW59" s="24"/>
      <c r="NX59" s="24"/>
      <c r="NY59" s="24"/>
      <c r="NZ59" s="24"/>
      <c r="OA59" s="24"/>
      <c r="OB59" s="24"/>
      <c r="OC59" s="24"/>
      <c r="OD59" s="24"/>
      <c r="OE59" s="24"/>
      <c r="OF59" s="24"/>
      <c r="OG59" s="24"/>
      <c r="OH59" s="24"/>
      <c r="OI59" s="24"/>
      <c r="OJ59" s="24"/>
      <c r="OK59" s="24"/>
      <c r="OL59" s="24"/>
      <c r="OM59" s="24"/>
      <c r="ON59" s="24"/>
      <c r="OO59" s="24"/>
      <c r="OP59" s="24"/>
      <c r="OQ59" s="24"/>
      <c r="OR59" s="24"/>
      <c r="OS59" s="24"/>
      <c r="OT59" s="24"/>
      <c r="OU59" s="24"/>
      <c r="OV59" s="24"/>
      <c r="OW59" s="24"/>
      <c r="OX59" s="24"/>
      <c r="OY59" s="24"/>
      <c r="OZ59" s="24"/>
      <c r="PA59" s="24"/>
      <c r="PB59" s="24"/>
      <c r="PC59" s="24"/>
      <c r="PD59" s="24"/>
      <c r="PE59" s="24"/>
      <c r="PF59" s="24"/>
      <c r="PG59" s="24"/>
      <c r="PH59" s="24"/>
      <c r="PI59" s="24"/>
      <c r="PJ59" s="24"/>
      <c r="PK59" s="24"/>
      <c r="PL59" s="24"/>
      <c r="PM59" s="24"/>
      <c r="PN59" s="24"/>
      <c r="PO59" s="24"/>
      <c r="PP59" s="24"/>
      <c r="PQ59" s="24"/>
      <c r="PR59" s="24"/>
      <c r="PS59" s="24"/>
      <c r="PT59" s="24"/>
      <c r="PU59" s="24"/>
      <c r="PV59" s="24"/>
      <c r="PW59" s="24"/>
      <c r="PX59" s="24"/>
      <c r="PY59" s="24"/>
      <c r="PZ59" s="24"/>
      <c r="QA59" s="24">
        <f t="shared" ref="QA59:QA67" si="167">NQ59+NS59+NU59+NW59+NY59+OA59+OC59+OE59+OG59+OI59+OK59+OM59+OO59+OQ59+OS59+OU59+OW59+OY59+PA59+PC59+PE59+PG59+PI59+PK59+PM59+PO59+PQ59+PS59+PU59+PW59+PY59</f>
        <v>0</v>
      </c>
      <c r="QB59" s="24">
        <f t="shared" ref="QB59:QB67" si="168">NR59+NT59+NV59+NX59+NZ59+OB59+OD59+OF59+OH59+OJ59+OL59+ON59+OP59+OR59+OT59+OV59+OX59+OZ59+PB59+PD59+PF59+PH59+PJ59+PL59+PN59+PP59+PR59+PT59+PV59+PX59+PZ59</f>
        <v>0</v>
      </c>
      <c r="QC59" s="24"/>
      <c r="QD59" s="24"/>
      <c r="QE59" s="24"/>
      <c r="QF59" s="24"/>
      <c r="QG59" s="24"/>
      <c r="QH59" s="24"/>
      <c r="QI59" s="24"/>
      <c r="QJ59" s="24"/>
      <c r="QK59" s="24"/>
      <c r="QL59" s="24"/>
      <c r="QM59" s="24"/>
      <c r="QN59" s="24"/>
      <c r="QO59" s="24"/>
      <c r="QP59" s="24"/>
      <c r="QQ59" s="24"/>
      <c r="QR59" s="24"/>
      <c r="QS59" s="24"/>
      <c r="QT59" s="24"/>
      <c r="QU59" s="24"/>
      <c r="QV59" s="24"/>
      <c r="QW59" s="24"/>
      <c r="QX59" s="24"/>
      <c r="QY59" s="24"/>
      <c r="QZ59" s="24"/>
      <c r="RA59" s="24"/>
      <c r="RB59" s="24"/>
      <c r="RC59" s="24"/>
      <c r="RD59" s="24"/>
      <c r="RE59" s="24"/>
      <c r="RF59" s="24"/>
      <c r="RG59" s="24"/>
      <c r="RH59" s="24"/>
      <c r="RI59" s="24"/>
      <c r="RJ59" s="24"/>
      <c r="RK59" s="24"/>
      <c r="RL59" s="24"/>
      <c r="RM59" s="24"/>
      <c r="RN59" s="24"/>
      <c r="RO59" s="24"/>
      <c r="RP59" s="24"/>
      <c r="RQ59" s="24"/>
      <c r="RR59" s="24"/>
      <c r="RS59" s="24"/>
      <c r="RT59" s="24"/>
      <c r="RU59" s="24"/>
      <c r="RV59" s="24"/>
      <c r="RW59" s="24"/>
      <c r="RX59" s="24"/>
      <c r="RY59" s="24"/>
      <c r="RZ59" s="24"/>
      <c r="SA59" s="24"/>
      <c r="SB59" s="24"/>
      <c r="SC59" s="24"/>
      <c r="SD59" s="24"/>
      <c r="SE59" s="24"/>
      <c r="SF59" s="24"/>
      <c r="SG59" s="24"/>
      <c r="SH59" s="24"/>
      <c r="SI59" s="24"/>
      <c r="SJ59" s="24"/>
      <c r="SK59" s="24"/>
      <c r="SL59" s="24"/>
      <c r="SM59" s="24">
        <f t="shared" ref="SM59:SM67" si="169">QC59+QE59+QG59+QI59+QK59+QM59+QO59+QQ59+QS59+QU59+QW59+QY59+RA59+RC59+RE59+RG59+RI59+RK59+RM59+RO59+RQ59+RS59+RU59+RW59+RY59+SA59+SC59+SE59+SG59+SI59+SK59</f>
        <v>0</v>
      </c>
      <c r="SN59" s="24">
        <f t="shared" ref="SN59:SN67" si="170">QD59+QF59+QH59+QJ59+QL59+QN59+QP59+QR59+QT59+QV59+QX59+QZ59+RB59+RD59+RF59+RH59+RJ59+RL59+RN59+RP59+RR59+RT59+RV59+RX59+RZ59+SB59+SD59+SF59+SH59+SJ59+SL59</f>
        <v>0</v>
      </c>
      <c r="SO59" s="24"/>
      <c r="SP59" s="24"/>
      <c r="SQ59" s="24"/>
      <c r="SR59" s="24"/>
      <c r="SS59" s="24"/>
      <c r="ST59" s="24"/>
      <c r="SU59" s="24"/>
      <c r="SV59" s="24"/>
      <c r="SW59" s="24"/>
      <c r="SX59" s="24"/>
      <c r="SY59" s="24"/>
      <c r="SZ59" s="24"/>
      <c r="TA59" s="24"/>
      <c r="TB59" s="24"/>
      <c r="TC59" s="24"/>
      <c r="TD59" s="24"/>
      <c r="TE59" s="24"/>
      <c r="TF59" s="24"/>
      <c r="TG59" s="24"/>
      <c r="TH59" s="24"/>
      <c r="TI59" s="24"/>
      <c r="TJ59" s="24"/>
      <c r="TK59" s="24"/>
      <c r="TL59" s="24"/>
      <c r="TM59" s="24"/>
      <c r="TN59" s="24"/>
      <c r="TO59" s="24"/>
      <c r="TP59" s="24"/>
      <c r="TQ59" s="24"/>
      <c r="TR59" s="24"/>
      <c r="TS59" s="24"/>
      <c r="TT59" s="24"/>
      <c r="TU59" s="24"/>
      <c r="TV59" s="24"/>
      <c r="TW59" s="24"/>
      <c r="TX59" s="24"/>
      <c r="TY59" s="24"/>
      <c r="TZ59" s="24"/>
      <c r="UA59" s="24"/>
      <c r="UB59" s="24"/>
      <c r="UC59" s="24"/>
      <c r="UD59" s="24"/>
      <c r="UE59" s="24"/>
      <c r="UF59" s="24"/>
      <c r="UG59" s="24"/>
      <c r="UH59" s="24"/>
      <c r="UI59" s="24"/>
      <c r="UJ59" s="24"/>
      <c r="UK59" s="24"/>
      <c r="UL59" s="24"/>
      <c r="UM59" s="24"/>
      <c r="UN59" s="24"/>
      <c r="UO59" s="24"/>
      <c r="UP59" s="24"/>
      <c r="UQ59" s="24"/>
      <c r="UR59" s="24"/>
      <c r="US59" s="24"/>
      <c r="UT59" s="24"/>
      <c r="UU59" s="24"/>
      <c r="UV59" s="24"/>
      <c r="UW59" s="24">
        <f t="shared" ref="UW59:UW67" si="171">SO59+SQ59+SS59+SU59+SW59+SY59+TA59+TC59+TE59+TG59+TI59+TK59+TM59+TO59+TQ59+TS59+TU59+TW59+TY59+UA59+UC59+UE59+UG59+UI59+UK59+UM59+UO59+UQ59+US59+UU59</f>
        <v>0</v>
      </c>
      <c r="UX59" s="24">
        <f t="shared" ref="UX59:UX67" si="172">SP59+SR59+ST59+SV59+SX59+SZ59+TB59+TD59+TF59+TH59+TJ59+TL59+TN59+TP59+TR59+TT59+TV59+TX59+TZ59+UB59+UD59+UF59+UH59+UJ59+UL59+UN59+UP59+UR59+UT59+UV59</f>
        <v>0</v>
      </c>
      <c r="UY59" s="24"/>
      <c r="UZ59" s="24"/>
      <c r="VA59" s="24"/>
      <c r="VB59" s="24"/>
      <c r="VC59" s="24"/>
      <c r="VD59" s="24"/>
      <c r="VE59" s="24"/>
      <c r="VF59" s="24"/>
      <c r="VG59" s="24"/>
      <c r="VH59" s="24"/>
      <c r="VI59" s="24"/>
      <c r="VJ59" s="24"/>
      <c r="VK59" s="24"/>
      <c r="VL59" s="24"/>
      <c r="VM59" s="24"/>
      <c r="VN59" s="24"/>
      <c r="VO59" s="24"/>
      <c r="VP59" s="24"/>
      <c r="VQ59" s="24"/>
      <c r="VR59" s="24"/>
      <c r="VS59" s="24"/>
      <c r="VT59" s="24"/>
      <c r="VU59" s="24"/>
      <c r="VV59" s="24"/>
      <c r="VW59" s="24"/>
      <c r="VX59" s="24"/>
      <c r="VY59" s="24"/>
      <c r="VZ59" s="24"/>
      <c r="WA59" s="24"/>
      <c r="WB59" s="24"/>
      <c r="WC59" s="24"/>
      <c r="WD59" s="24"/>
      <c r="WE59" s="24"/>
      <c r="WF59" s="24"/>
      <c r="WG59" s="24"/>
      <c r="WH59" s="24"/>
      <c r="WI59" s="24"/>
      <c r="WJ59" s="24"/>
      <c r="WK59" s="24"/>
      <c r="WL59" s="24"/>
      <c r="WM59" s="24"/>
      <c r="WN59" s="24"/>
      <c r="WO59" s="24"/>
      <c r="WP59" s="24"/>
      <c r="WQ59" s="24"/>
      <c r="WR59" s="24"/>
      <c r="WS59" s="24"/>
      <c r="WT59" s="24"/>
      <c r="WU59" s="24"/>
      <c r="WV59" s="24"/>
      <c r="WW59" s="24"/>
      <c r="WX59" s="24"/>
      <c r="WY59" s="24"/>
      <c r="WZ59" s="24"/>
      <c r="XA59" s="24"/>
      <c r="XB59" s="24"/>
      <c r="XC59" s="24"/>
      <c r="XD59" s="24"/>
      <c r="XE59" s="24"/>
      <c r="XF59" s="24"/>
      <c r="XG59" s="24"/>
      <c r="XH59" s="24"/>
      <c r="XI59" s="24">
        <f t="shared" ref="XI59:XI67" si="173">UY59+VA59+VC59+VE59+VG59+VI59+VK59+VM59+VO59+VQ59+VS59+VU59+VW59+VY59+WA59+WC59+WE59+WG59+WI59+WK59+WM59+WO59+WQ59+WS59+WU59+WW59+WY59+XA59+XC59+XE59+XG59</f>
        <v>0</v>
      </c>
      <c r="XJ59" s="24">
        <f t="shared" ref="XJ59:XJ67" si="174">UZ59+VB59+VD59+VF59+VH59+VJ59+VL59+VN59+VP59+VR59+VT59+VV59+VX59+VZ59+WB59+WD59+WF59+WH59+WJ59+WL59+WN59+WP59+WR59+WT59+WV59+WX59+WZ59+XB59+XD59+XF59+XH59</f>
        <v>0</v>
      </c>
      <c r="XK59" s="24"/>
      <c r="XL59" s="24"/>
      <c r="XM59" s="24"/>
      <c r="XN59" s="24"/>
      <c r="XO59" s="24"/>
      <c r="XP59" s="24"/>
      <c r="XQ59" s="24"/>
      <c r="XR59" s="24"/>
      <c r="XS59" s="24"/>
      <c r="XT59" s="24"/>
      <c r="XU59" s="24"/>
      <c r="XV59" s="24"/>
      <c r="XW59" s="24"/>
      <c r="XX59" s="24"/>
      <c r="XY59" s="24"/>
      <c r="XZ59" s="24"/>
      <c r="YA59" s="24"/>
      <c r="YB59" s="24"/>
      <c r="YC59" s="24"/>
      <c r="YD59" s="24"/>
      <c r="YE59" s="24"/>
      <c r="YF59" s="24"/>
      <c r="YG59" s="24"/>
      <c r="YH59" s="24"/>
      <c r="YI59" s="24"/>
      <c r="YJ59" s="24"/>
      <c r="YK59" s="24"/>
      <c r="YL59" s="24"/>
      <c r="YM59" s="24"/>
      <c r="YN59" s="24"/>
      <c r="YO59" s="24"/>
      <c r="YP59" s="24"/>
      <c r="YQ59" s="24"/>
      <c r="YR59" s="24"/>
      <c r="YS59" s="24"/>
      <c r="YT59" s="24"/>
      <c r="YU59" s="24"/>
      <c r="YV59" s="24"/>
      <c r="YW59" s="24"/>
      <c r="YX59" s="24"/>
      <c r="YY59" s="24"/>
      <c r="YZ59" s="24"/>
      <c r="ZA59" s="24"/>
      <c r="ZB59" s="24"/>
      <c r="ZC59" s="24"/>
      <c r="ZD59" s="24"/>
      <c r="ZE59" s="24"/>
      <c r="ZF59" s="24"/>
      <c r="ZG59" s="24"/>
      <c r="ZH59" s="24"/>
      <c r="ZI59" s="24"/>
      <c r="ZJ59" s="24"/>
      <c r="ZK59" s="24"/>
      <c r="ZL59" s="24"/>
      <c r="ZM59" s="24"/>
      <c r="ZN59" s="24"/>
      <c r="ZO59" s="24"/>
      <c r="ZP59" s="24"/>
      <c r="ZQ59" s="24"/>
      <c r="ZR59" s="24"/>
      <c r="ZS59" s="24">
        <f t="shared" ref="ZS59:ZS67" si="175">XK59+XM59+XO59+XQ59+XS59+XU59+XW59+XY59+YA59+YC59+YE59+YG59+YI59+YK59+YM59+YO59+YQ59+YS59+YU59+YW59+YY59+ZA59+ZC59+ZE59+ZG59+ZI59+ZK59+ZM59+ZO59+ZQ59</f>
        <v>0</v>
      </c>
      <c r="ZT59" s="24">
        <f t="shared" ref="ZT59:ZT67" si="176">XL59+XN59+XP59+XR59+XT59+XV59+XX59+XZ59+YB59+YD59+YF59+YH59+YJ59+YL59+YN59+YP59+YR59+YT59+YV59+YX59+YZ59+ZB59+ZD59+ZF59+ZH59+ZJ59+ZL59+ZN59+ZP59+ZR59</f>
        <v>0</v>
      </c>
      <c r="ZU59" s="24"/>
      <c r="ZV59" s="24"/>
      <c r="ZW59" s="24"/>
      <c r="ZX59" s="24"/>
      <c r="ZY59" s="24"/>
      <c r="ZZ59" s="24"/>
      <c r="AAA59" s="24"/>
      <c r="AAB59" s="24"/>
      <c r="AAC59" s="24"/>
      <c r="AAD59" s="24"/>
      <c r="AAE59" s="24"/>
      <c r="AAF59" s="24"/>
      <c r="AAG59" s="24"/>
      <c r="AAH59" s="24"/>
      <c r="AAI59" s="24"/>
      <c r="AAJ59" s="24"/>
      <c r="AAK59" s="24"/>
      <c r="AAL59" s="24"/>
      <c r="AAM59" s="24"/>
      <c r="AAN59" s="24"/>
      <c r="AAO59" s="24"/>
      <c r="AAP59" s="24"/>
      <c r="AAQ59" s="24"/>
      <c r="AAR59" s="24"/>
      <c r="AAS59" s="24"/>
      <c r="AAT59" s="24"/>
      <c r="AAU59" s="24"/>
      <c r="AAV59" s="24"/>
      <c r="AAW59" s="24"/>
      <c r="AAX59" s="24"/>
      <c r="AAY59" s="24"/>
      <c r="AAZ59" s="24"/>
      <c r="ABA59" s="24"/>
      <c r="ABB59" s="24"/>
      <c r="ABC59" s="24"/>
      <c r="ABD59" s="24"/>
      <c r="ABE59" s="24"/>
      <c r="ABF59" s="24"/>
      <c r="ABG59" s="24"/>
      <c r="ABH59" s="24"/>
      <c r="ABI59" s="24"/>
      <c r="ABJ59" s="24"/>
      <c r="ABK59" s="24"/>
      <c r="ABL59" s="24"/>
      <c r="ABM59" s="24"/>
      <c r="ABN59" s="24"/>
      <c r="ABO59" s="24"/>
      <c r="ABP59" s="24"/>
      <c r="ABQ59" s="24"/>
      <c r="ABR59" s="24"/>
      <c r="ABS59" s="24"/>
      <c r="ABT59" s="24"/>
      <c r="ABU59" s="24"/>
      <c r="ABV59" s="24"/>
      <c r="ABW59" s="24"/>
      <c r="ABX59" s="24"/>
      <c r="ABY59" s="24"/>
      <c r="ABZ59" s="24"/>
      <c r="ACA59" s="24"/>
      <c r="ACB59" s="24"/>
      <c r="ACC59" s="24"/>
      <c r="ACD59" s="24"/>
      <c r="ACE59" s="24">
        <f t="shared" ref="ACE59:ACE67" si="177">ZU59+ZW59+ZY59+AAA59+AAC59+AAE59+AAG59+AAI59+AAK59+AAM59+AAO59+AAQ59+AAS59+AAU59+AAW59+AAY59+ABA59+ABC59+ABE59+ABG59+ABI59+ABK59+ABM59+ABO59+ABQ59+ABS59+ABU59+ABW59+ABY59+ACA59+ACC59</f>
        <v>0</v>
      </c>
      <c r="ACF59" s="24"/>
      <c r="ACG59" s="24">
        <f t="shared" ref="ACG59:ACG67" si="178">BO59+DW59+GI59+IS59+LE59+NO59+QA59+SM59+UW59+XI59+ZS59+ACE59</f>
        <v>0</v>
      </c>
      <c r="ACH59" s="25"/>
      <c r="ACI59" s="71" t="s">
        <v>173</v>
      </c>
      <c r="ACJ59" s="71" t="s">
        <v>91</v>
      </c>
    </row>
    <row r="60" spans="1:764" x14ac:dyDescent="0.25">
      <c r="A60" s="162"/>
      <c r="B60" s="152"/>
      <c r="C60" s="155"/>
      <c r="D60" s="50" t="s">
        <v>4</v>
      </c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24" cm="1">
        <f t="array" ref="BO60">SUMPRODUCT(E60:BM60,--(E$2:BM$2=BO$2))</f>
        <v>0</v>
      </c>
      <c r="BP60" s="24" cm="1">
        <f t="array" ref="BP60">SUMPRODUCT(F60:BN60,--(F$2:BN$2=BP$2))</f>
        <v>0</v>
      </c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 cm="1">
        <f t="array" ref="DW60">SUMPRODUCT(BQ60:DU60,--(BQ$2:DU$2=DW$2))</f>
        <v>0</v>
      </c>
      <c r="DX60" s="24" cm="1">
        <f t="array" ref="DX60">SUMPRODUCT(BR60:DV60,--(BR$2:DV$2=DX$2))</f>
        <v>0</v>
      </c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  <c r="FC60" s="24"/>
      <c r="FD60" s="24"/>
      <c r="FE60" s="24"/>
      <c r="FF60" s="24"/>
      <c r="FG60" s="24"/>
      <c r="FH60" s="24"/>
      <c r="FI60" s="24"/>
      <c r="FJ60" s="24"/>
      <c r="FK60" s="24"/>
      <c r="FL60" s="24"/>
      <c r="FM60" s="24"/>
      <c r="FN60" s="24"/>
      <c r="FO60" s="24"/>
      <c r="FP60" s="24"/>
      <c r="FQ60" s="24"/>
      <c r="FR60" s="24"/>
      <c r="FS60" s="24"/>
      <c r="FT60" s="24"/>
      <c r="FU60" s="24"/>
      <c r="FV60" s="24"/>
      <c r="FW60" s="24"/>
      <c r="FX60" s="24"/>
      <c r="FY60" s="24"/>
      <c r="FZ60" s="24"/>
      <c r="GA60" s="24"/>
      <c r="GB60" s="24"/>
      <c r="GC60" s="24"/>
      <c r="GD60" s="24"/>
      <c r="GE60" s="24"/>
      <c r="GF60" s="24"/>
      <c r="GG60" s="24"/>
      <c r="GH60" s="24"/>
      <c r="GI60" s="24" cm="1">
        <f t="array" ref="GI60">SUMPRODUCT(DY60:GG60,--(DY$2:GG$2=GI$2))</f>
        <v>0</v>
      </c>
      <c r="GJ60" s="24" cm="1">
        <f t="array" ref="GJ60">SUMPRODUCT(DZ60:GH60,--(DZ$2:GH$2=GJ$2))</f>
        <v>0</v>
      </c>
      <c r="GK60" s="24"/>
      <c r="GL60" s="24"/>
      <c r="GM60" s="24"/>
      <c r="GN60" s="24"/>
      <c r="GO60" s="24"/>
      <c r="GP60" s="24"/>
      <c r="GQ60" s="24"/>
      <c r="GR60" s="24"/>
      <c r="GS60" s="24"/>
      <c r="GT60" s="24"/>
      <c r="GU60" s="24"/>
      <c r="GV60" s="24"/>
      <c r="GW60" s="24"/>
      <c r="GX60" s="24"/>
      <c r="GY60" s="24"/>
      <c r="GZ60" s="24"/>
      <c r="HA60" s="24"/>
      <c r="HB60" s="24"/>
      <c r="HC60" s="24"/>
      <c r="HD60" s="24"/>
      <c r="HE60" s="24"/>
      <c r="HF60" s="24"/>
      <c r="HG60" s="24"/>
      <c r="HH60" s="24"/>
      <c r="HI60" s="24"/>
      <c r="HJ60" s="24"/>
      <c r="HK60" s="24"/>
      <c r="HL60" s="24"/>
      <c r="HM60" s="24"/>
      <c r="HN60" s="24"/>
      <c r="HO60" s="24"/>
      <c r="HP60" s="24"/>
      <c r="HQ60" s="24"/>
      <c r="HR60" s="24"/>
      <c r="HS60" s="24"/>
      <c r="HT60" s="24"/>
      <c r="HU60" s="24"/>
      <c r="HV60" s="24"/>
      <c r="HW60" s="24"/>
      <c r="HX60" s="24"/>
      <c r="HY60" s="24"/>
      <c r="HZ60" s="24"/>
      <c r="IA60" s="24"/>
      <c r="IB60" s="24"/>
      <c r="IC60" s="24"/>
      <c r="ID60" s="24"/>
      <c r="IE60" s="24"/>
      <c r="IF60" s="24"/>
      <c r="IG60" s="24"/>
      <c r="IH60" s="24"/>
      <c r="II60" s="24"/>
      <c r="IJ60" s="24"/>
      <c r="IK60" s="24"/>
      <c r="IL60" s="24"/>
      <c r="IM60" s="24"/>
      <c r="IN60" s="24"/>
      <c r="IO60" s="24"/>
      <c r="IP60" s="24"/>
      <c r="IQ60" s="24"/>
      <c r="IR60" s="24"/>
      <c r="IS60" s="24">
        <f t="shared" si="161"/>
        <v>0</v>
      </c>
      <c r="IT60" s="24">
        <f t="shared" si="162"/>
        <v>0</v>
      </c>
      <c r="IU60" s="24"/>
      <c r="IV60" s="24"/>
      <c r="IW60" s="24"/>
      <c r="IX60" s="24"/>
      <c r="IY60" s="24"/>
      <c r="IZ60" s="24"/>
      <c r="JA60" s="24"/>
      <c r="JB60" s="24"/>
      <c r="JC60" s="24"/>
      <c r="JD60" s="24"/>
      <c r="JE60" s="24"/>
      <c r="JF60" s="24"/>
      <c r="JG60" s="24"/>
      <c r="JH60" s="24"/>
      <c r="JI60" s="24"/>
      <c r="JJ60" s="24"/>
      <c r="JK60" s="24"/>
      <c r="JL60" s="24"/>
      <c r="JM60" s="24"/>
      <c r="JN60" s="24"/>
      <c r="JO60" s="24"/>
      <c r="JP60" s="24"/>
      <c r="JQ60" s="24"/>
      <c r="JR60" s="24"/>
      <c r="JS60" s="24"/>
      <c r="JT60" s="24"/>
      <c r="JU60" s="24"/>
      <c r="JV60" s="24"/>
      <c r="JW60" s="24"/>
      <c r="JX60" s="24"/>
      <c r="JY60" s="24"/>
      <c r="JZ60" s="24"/>
      <c r="KA60" s="24"/>
      <c r="KB60" s="24"/>
      <c r="KC60" s="24"/>
      <c r="KD60" s="24"/>
      <c r="KE60" s="24"/>
      <c r="KF60" s="24"/>
      <c r="KG60" s="24"/>
      <c r="KH60" s="24"/>
      <c r="KI60" s="24"/>
      <c r="KJ60" s="24"/>
      <c r="KK60" s="24"/>
      <c r="KL60" s="24"/>
      <c r="KM60" s="24"/>
      <c r="KN60" s="24"/>
      <c r="KO60" s="24"/>
      <c r="KP60" s="24"/>
      <c r="KQ60" s="24"/>
      <c r="KR60" s="24"/>
      <c r="KS60" s="24"/>
      <c r="KT60" s="24"/>
      <c r="KU60" s="24"/>
      <c r="KV60" s="24"/>
      <c r="KW60" s="24"/>
      <c r="KX60" s="24"/>
      <c r="KY60" s="24"/>
      <c r="KZ60" s="24"/>
      <c r="LA60" s="24"/>
      <c r="LB60" s="24"/>
      <c r="LC60" s="24"/>
      <c r="LD60" s="24"/>
      <c r="LE60" s="24">
        <f t="shared" si="163"/>
        <v>0</v>
      </c>
      <c r="LF60" s="24">
        <f t="shared" si="164"/>
        <v>0</v>
      </c>
      <c r="LG60" s="24"/>
      <c r="LH60" s="24"/>
      <c r="LI60" s="24"/>
      <c r="LJ60" s="24"/>
      <c r="LK60" s="24"/>
      <c r="LL60" s="24"/>
      <c r="LM60" s="24"/>
      <c r="LN60" s="24"/>
      <c r="LO60" s="24"/>
      <c r="LP60" s="24"/>
      <c r="LQ60" s="24"/>
      <c r="LR60" s="24"/>
      <c r="LS60" s="24"/>
      <c r="LT60" s="24"/>
      <c r="LU60" s="24"/>
      <c r="LV60" s="24"/>
      <c r="LW60" s="24"/>
      <c r="LX60" s="24"/>
      <c r="LY60" s="24"/>
      <c r="LZ60" s="24"/>
      <c r="MA60" s="24"/>
      <c r="MB60" s="24"/>
      <c r="MC60" s="24"/>
      <c r="MD60" s="24"/>
      <c r="ME60" s="24"/>
      <c r="MF60" s="24"/>
      <c r="MG60" s="24"/>
      <c r="MH60" s="24"/>
      <c r="MI60" s="24"/>
      <c r="MJ60" s="24"/>
      <c r="MK60" s="24"/>
      <c r="ML60" s="24"/>
      <c r="MM60" s="24"/>
      <c r="MN60" s="24"/>
      <c r="MO60" s="24"/>
      <c r="MP60" s="24"/>
      <c r="MQ60" s="24"/>
      <c r="MR60" s="24"/>
      <c r="MS60" s="24"/>
      <c r="MT60" s="24"/>
      <c r="MU60" s="24"/>
      <c r="MV60" s="24"/>
      <c r="MW60" s="24"/>
      <c r="MX60" s="24"/>
      <c r="MY60" s="24"/>
      <c r="MZ60" s="24"/>
      <c r="NA60" s="24"/>
      <c r="NB60" s="24"/>
      <c r="NC60" s="24"/>
      <c r="ND60" s="24"/>
      <c r="NE60" s="24"/>
      <c r="NF60" s="24"/>
      <c r="NG60" s="24"/>
      <c r="NH60" s="24"/>
      <c r="NI60" s="24"/>
      <c r="NJ60" s="24"/>
      <c r="NK60" s="24"/>
      <c r="NL60" s="24"/>
      <c r="NM60" s="24"/>
      <c r="NN60" s="24"/>
      <c r="NO60" s="24">
        <f t="shared" si="165"/>
        <v>0</v>
      </c>
      <c r="NP60" s="24">
        <f t="shared" si="166"/>
        <v>0</v>
      </c>
      <c r="NQ60" s="24"/>
      <c r="NR60" s="24"/>
      <c r="NS60" s="24"/>
      <c r="NT60" s="24"/>
      <c r="NU60" s="24"/>
      <c r="NV60" s="24"/>
      <c r="NW60" s="24"/>
      <c r="NX60" s="24"/>
      <c r="NY60" s="24"/>
      <c r="NZ60" s="24"/>
      <c r="OA60" s="24"/>
      <c r="OB60" s="24"/>
      <c r="OC60" s="24"/>
      <c r="OD60" s="24"/>
      <c r="OE60" s="24"/>
      <c r="OF60" s="24"/>
      <c r="OG60" s="24"/>
      <c r="OH60" s="24"/>
      <c r="OI60" s="24"/>
      <c r="OJ60" s="24"/>
      <c r="OK60" s="24"/>
      <c r="OL60" s="24"/>
      <c r="OM60" s="24"/>
      <c r="ON60" s="24"/>
      <c r="OO60" s="24"/>
      <c r="OP60" s="24"/>
      <c r="OQ60" s="24"/>
      <c r="OR60" s="24"/>
      <c r="OS60" s="24"/>
      <c r="OT60" s="24"/>
      <c r="OU60" s="24"/>
      <c r="OV60" s="24"/>
      <c r="OW60" s="24"/>
      <c r="OX60" s="24"/>
      <c r="OY60" s="24"/>
      <c r="OZ60" s="24"/>
      <c r="PA60" s="24"/>
      <c r="PB60" s="24"/>
      <c r="PC60" s="24"/>
      <c r="PD60" s="24"/>
      <c r="PE60" s="24"/>
      <c r="PF60" s="24"/>
      <c r="PG60" s="24"/>
      <c r="PH60" s="24"/>
      <c r="PI60" s="24"/>
      <c r="PJ60" s="24"/>
      <c r="PK60" s="24"/>
      <c r="PL60" s="24"/>
      <c r="PM60" s="24"/>
      <c r="PN60" s="24"/>
      <c r="PO60" s="24"/>
      <c r="PP60" s="24"/>
      <c r="PQ60" s="24"/>
      <c r="PR60" s="24"/>
      <c r="PS60" s="24"/>
      <c r="PT60" s="24"/>
      <c r="PU60" s="24"/>
      <c r="PV60" s="24"/>
      <c r="PW60" s="24"/>
      <c r="PX60" s="24"/>
      <c r="PY60" s="24"/>
      <c r="PZ60" s="24"/>
      <c r="QA60" s="24">
        <f t="shared" si="167"/>
        <v>0</v>
      </c>
      <c r="QB60" s="24">
        <f t="shared" si="168"/>
        <v>0</v>
      </c>
      <c r="QC60" s="24"/>
      <c r="QD60" s="24"/>
      <c r="QE60" s="24"/>
      <c r="QF60" s="24"/>
      <c r="QG60" s="24"/>
      <c r="QH60" s="24"/>
      <c r="QI60" s="24"/>
      <c r="QJ60" s="24"/>
      <c r="QK60" s="24"/>
      <c r="QL60" s="24"/>
      <c r="QM60" s="24"/>
      <c r="QN60" s="24"/>
      <c r="QO60" s="24"/>
      <c r="QP60" s="24"/>
      <c r="QQ60" s="24"/>
      <c r="QR60" s="24"/>
      <c r="QS60" s="24"/>
      <c r="QT60" s="24"/>
      <c r="QU60" s="24"/>
      <c r="QV60" s="24"/>
      <c r="QW60" s="24"/>
      <c r="QX60" s="24"/>
      <c r="QY60" s="24"/>
      <c r="QZ60" s="24"/>
      <c r="RA60" s="24"/>
      <c r="RB60" s="24"/>
      <c r="RC60" s="24"/>
      <c r="RD60" s="24"/>
      <c r="RE60" s="24"/>
      <c r="RF60" s="24"/>
      <c r="RG60" s="24"/>
      <c r="RH60" s="24"/>
      <c r="RI60" s="24"/>
      <c r="RJ60" s="24"/>
      <c r="RK60" s="24"/>
      <c r="RL60" s="24"/>
      <c r="RM60" s="24"/>
      <c r="RN60" s="24"/>
      <c r="RO60" s="24"/>
      <c r="RP60" s="24"/>
      <c r="RQ60" s="24"/>
      <c r="RR60" s="24"/>
      <c r="RS60" s="24"/>
      <c r="RT60" s="24"/>
      <c r="RU60" s="24"/>
      <c r="RV60" s="24"/>
      <c r="RW60" s="24"/>
      <c r="RX60" s="24"/>
      <c r="RY60" s="24"/>
      <c r="RZ60" s="24"/>
      <c r="SA60" s="24"/>
      <c r="SB60" s="24"/>
      <c r="SC60" s="24"/>
      <c r="SD60" s="24"/>
      <c r="SE60" s="24"/>
      <c r="SF60" s="24"/>
      <c r="SG60" s="24"/>
      <c r="SH60" s="24"/>
      <c r="SI60" s="24"/>
      <c r="SJ60" s="24"/>
      <c r="SK60" s="24"/>
      <c r="SL60" s="24"/>
      <c r="SM60" s="24">
        <f t="shared" si="169"/>
        <v>0</v>
      </c>
      <c r="SN60" s="24">
        <f t="shared" si="170"/>
        <v>0</v>
      </c>
      <c r="SO60" s="24"/>
      <c r="SP60" s="24"/>
      <c r="SQ60" s="24"/>
      <c r="SR60" s="24"/>
      <c r="SS60" s="24"/>
      <c r="ST60" s="24"/>
      <c r="SU60" s="24"/>
      <c r="SV60" s="24"/>
      <c r="SW60" s="24"/>
      <c r="SX60" s="24"/>
      <c r="SY60" s="24"/>
      <c r="SZ60" s="24"/>
      <c r="TA60" s="24"/>
      <c r="TB60" s="24"/>
      <c r="TC60" s="24"/>
      <c r="TD60" s="24"/>
      <c r="TE60" s="24"/>
      <c r="TF60" s="24"/>
      <c r="TG60" s="24"/>
      <c r="TH60" s="24"/>
      <c r="TI60" s="24"/>
      <c r="TJ60" s="24"/>
      <c r="TK60" s="24"/>
      <c r="TL60" s="24"/>
      <c r="TM60" s="24"/>
      <c r="TN60" s="24"/>
      <c r="TO60" s="24"/>
      <c r="TP60" s="24"/>
      <c r="TQ60" s="24"/>
      <c r="TR60" s="24"/>
      <c r="TS60" s="24"/>
      <c r="TT60" s="24"/>
      <c r="TU60" s="24"/>
      <c r="TV60" s="24"/>
      <c r="TW60" s="24"/>
      <c r="TX60" s="24"/>
      <c r="TY60" s="24"/>
      <c r="TZ60" s="24"/>
      <c r="UA60" s="24"/>
      <c r="UB60" s="24"/>
      <c r="UC60" s="24"/>
      <c r="UD60" s="24"/>
      <c r="UE60" s="24"/>
      <c r="UF60" s="24"/>
      <c r="UG60" s="24"/>
      <c r="UH60" s="24"/>
      <c r="UI60" s="24"/>
      <c r="UJ60" s="24"/>
      <c r="UK60" s="24"/>
      <c r="UL60" s="24"/>
      <c r="UM60" s="24"/>
      <c r="UN60" s="24"/>
      <c r="UO60" s="24"/>
      <c r="UP60" s="24"/>
      <c r="UQ60" s="24"/>
      <c r="UR60" s="24"/>
      <c r="US60" s="24"/>
      <c r="UT60" s="24"/>
      <c r="UU60" s="24"/>
      <c r="UV60" s="24"/>
      <c r="UW60" s="24">
        <f t="shared" si="171"/>
        <v>0</v>
      </c>
      <c r="UX60" s="24">
        <f t="shared" si="172"/>
        <v>0</v>
      </c>
      <c r="UY60" s="24"/>
      <c r="UZ60" s="24"/>
      <c r="VA60" s="24"/>
      <c r="VB60" s="24"/>
      <c r="VC60" s="24"/>
      <c r="VD60" s="24"/>
      <c r="VE60" s="24"/>
      <c r="VF60" s="24"/>
      <c r="VG60" s="24"/>
      <c r="VH60" s="24"/>
      <c r="VI60" s="24"/>
      <c r="VJ60" s="24"/>
      <c r="VK60" s="24"/>
      <c r="VL60" s="24"/>
      <c r="VM60" s="24"/>
      <c r="VN60" s="24"/>
      <c r="VO60" s="24"/>
      <c r="VP60" s="24"/>
      <c r="VQ60" s="24"/>
      <c r="VR60" s="24"/>
      <c r="VS60" s="24"/>
      <c r="VT60" s="24"/>
      <c r="VU60" s="24"/>
      <c r="VV60" s="24"/>
      <c r="VW60" s="24"/>
      <c r="VX60" s="24"/>
      <c r="VY60" s="24"/>
      <c r="VZ60" s="24"/>
      <c r="WA60" s="24"/>
      <c r="WB60" s="24"/>
      <c r="WC60" s="24"/>
      <c r="WD60" s="24"/>
      <c r="WE60" s="24"/>
      <c r="WF60" s="24"/>
      <c r="WG60" s="24"/>
      <c r="WH60" s="24"/>
      <c r="WI60" s="24"/>
      <c r="WJ60" s="24"/>
      <c r="WK60" s="24"/>
      <c r="WL60" s="24"/>
      <c r="WM60" s="24"/>
      <c r="WN60" s="24"/>
      <c r="WO60" s="24"/>
      <c r="WP60" s="24"/>
      <c r="WQ60" s="24"/>
      <c r="WR60" s="24"/>
      <c r="WS60" s="24"/>
      <c r="WT60" s="24"/>
      <c r="WU60" s="24"/>
      <c r="WV60" s="24"/>
      <c r="WW60" s="24"/>
      <c r="WX60" s="24"/>
      <c r="WY60" s="24"/>
      <c r="WZ60" s="24"/>
      <c r="XA60" s="24"/>
      <c r="XB60" s="24"/>
      <c r="XC60" s="24"/>
      <c r="XD60" s="24"/>
      <c r="XE60" s="24"/>
      <c r="XF60" s="24"/>
      <c r="XG60" s="24"/>
      <c r="XH60" s="24"/>
      <c r="XI60" s="24">
        <f t="shared" si="173"/>
        <v>0</v>
      </c>
      <c r="XJ60" s="24">
        <f t="shared" si="174"/>
        <v>0</v>
      </c>
      <c r="XK60" s="24"/>
      <c r="XL60" s="24"/>
      <c r="XM60" s="24"/>
      <c r="XN60" s="24"/>
      <c r="XO60" s="24"/>
      <c r="XP60" s="24"/>
      <c r="XQ60" s="24"/>
      <c r="XR60" s="24"/>
      <c r="XS60" s="24"/>
      <c r="XT60" s="24"/>
      <c r="XU60" s="24"/>
      <c r="XV60" s="24"/>
      <c r="XW60" s="24"/>
      <c r="XX60" s="24"/>
      <c r="XY60" s="24"/>
      <c r="XZ60" s="24"/>
      <c r="YA60" s="24"/>
      <c r="YB60" s="24"/>
      <c r="YC60" s="24"/>
      <c r="YD60" s="24"/>
      <c r="YE60" s="24"/>
      <c r="YF60" s="24"/>
      <c r="YG60" s="24"/>
      <c r="YH60" s="24"/>
      <c r="YI60" s="24"/>
      <c r="YJ60" s="24"/>
      <c r="YK60" s="24"/>
      <c r="YL60" s="24"/>
      <c r="YM60" s="24"/>
      <c r="YN60" s="24"/>
      <c r="YO60" s="24"/>
      <c r="YP60" s="24"/>
      <c r="YQ60" s="24"/>
      <c r="YR60" s="24"/>
      <c r="YS60" s="24"/>
      <c r="YT60" s="24"/>
      <c r="YU60" s="24"/>
      <c r="YV60" s="24"/>
      <c r="YW60" s="24"/>
      <c r="YX60" s="24"/>
      <c r="YY60" s="24"/>
      <c r="YZ60" s="24"/>
      <c r="ZA60" s="24"/>
      <c r="ZB60" s="24"/>
      <c r="ZC60" s="24"/>
      <c r="ZD60" s="24"/>
      <c r="ZE60" s="24"/>
      <c r="ZF60" s="24"/>
      <c r="ZG60" s="24"/>
      <c r="ZH60" s="24"/>
      <c r="ZI60" s="24"/>
      <c r="ZJ60" s="24"/>
      <c r="ZK60" s="24"/>
      <c r="ZL60" s="24"/>
      <c r="ZM60" s="24"/>
      <c r="ZN60" s="24"/>
      <c r="ZO60" s="24"/>
      <c r="ZP60" s="24"/>
      <c r="ZQ60" s="24"/>
      <c r="ZR60" s="24"/>
      <c r="ZS60" s="24">
        <f t="shared" si="175"/>
        <v>0</v>
      </c>
      <c r="ZT60" s="24">
        <f t="shared" si="176"/>
        <v>0</v>
      </c>
      <c r="ZU60" s="24"/>
      <c r="ZV60" s="24"/>
      <c r="ZW60" s="24"/>
      <c r="ZX60" s="24"/>
      <c r="ZY60" s="24"/>
      <c r="ZZ60" s="24"/>
      <c r="AAA60" s="24"/>
      <c r="AAB60" s="24"/>
      <c r="AAC60" s="24"/>
      <c r="AAD60" s="24"/>
      <c r="AAE60" s="24"/>
      <c r="AAF60" s="24"/>
      <c r="AAG60" s="24"/>
      <c r="AAH60" s="24"/>
      <c r="AAI60" s="24"/>
      <c r="AAJ60" s="24"/>
      <c r="AAK60" s="24"/>
      <c r="AAL60" s="24"/>
      <c r="AAM60" s="24"/>
      <c r="AAN60" s="24"/>
      <c r="AAO60" s="24"/>
      <c r="AAP60" s="24"/>
      <c r="AAQ60" s="24"/>
      <c r="AAR60" s="24"/>
      <c r="AAS60" s="24"/>
      <c r="AAT60" s="24"/>
      <c r="AAU60" s="24"/>
      <c r="AAV60" s="24"/>
      <c r="AAW60" s="24"/>
      <c r="AAX60" s="24"/>
      <c r="AAY60" s="24"/>
      <c r="AAZ60" s="24"/>
      <c r="ABA60" s="24"/>
      <c r="ABB60" s="24"/>
      <c r="ABC60" s="24"/>
      <c r="ABD60" s="24"/>
      <c r="ABE60" s="24"/>
      <c r="ABF60" s="24"/>
      <c r="ABG60" s="24"/>
      <c r="ABH60" s="24"/>
      <c r="ABI60" s="24"/>
      <c r="ABJ60" s="24"/>
      <c r="ABK60" s="24"/>
      <c r="ABL60" s="24"/>
      <c r="ABM60" s="24"/>
      <c r="ABN60" s="24"/>
      <c r="ABO60" s="24"/>
      <c r="ABP60" s="24"/>
      <c r="ABQ60" s="24"/>
      <c r="ABR60" s="24"/>
      <c r="ABS60" s="24"/>
      <c r="ABT60" s="24"/>
      <c r="ABU60" s="24"/>
      <c r="ABV60" s="24"/>
      <c r="ABW60" s="24"/>
      <c r="ABX60" s="24"/>
      <c r="ABY60" s="24"/>
      <c r="ABZ60" s="24"/>
      <c r="ACA60" s="24"/>
      <c r="ACB60" s="24"/>
      <c r="ACC60" s="24"/>
      <c r="ACD60" s="24"/>
      <c r="ACE60" s="24">
        <f t="shared" si="177"/>
        <v>0</v>
      </c>
      <c r="ACF60" s="24"/>
      <c r="ACG60" s="24">
        <f t="shared" si="178"/>
        <v>0</v>
      </c>
      <c r="ACH60" s="25"/>
      <c r="ACI60" s="71" t="s">
        <v>174</v>
      </c>
      <c r="ACJ60" s="71" t="s">
        <v>91</v>
      </c>
    </row>
    <row r="61" spans="1:764" x14ac:dyDescent="0.25">
      <c r="A61" s="162"/>
      <c r="B61" s="152"/>
      <c r="C61" s="155"/>
      <c r="D61" s="50" t="s">
        <v>8</v>
      </c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24" cm="1">
        <f t="array" ref="BO61">SUMPRODUCT(E61:BM61,--(E$2:BM$2=BO$2))</f>
        <v>0</v>
      </c>
      <c r="BP61" s="24" cm="1">
        <f t="array" ref="BP61">SUMPRODUCT(F61:BN61,--(F$2:BN$2=BP$2))</f>
        <v>0</v>
      </c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 cm="1">
        <f t="array" ref="DW61">SUMPRODUCT(BQ61:DU61,--(BQ$2:DU$2=DW$2))</f>
        <v>0</v>
      </c>
      <c r="DX61" s="24" cm="1">
        <f t="array" ref="DX61">SUMPRODUCT(BR61:DV61,--(BR$2:DV$2=DX$2))</f>
        <v>0</v>
      </c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/>
      <c r="EV61" s="24"/>
      <c r="EW61" s="24"/>
      <c r="EX61" s="24"/>
      <c r="EY61" s="24"/>
      <c r="EZ61" s="24"/>
      <c r="FA61" s="24"/>
      <c r="FB61" s="24"/>
      <c r="FC61" s="24"/>
      <c r="FD61" s="24"/>
      <c r="FE61" s="24"/>
      <c r="FF61" s="24"/>
      <c r="FG61" s="24"/>
      <c r="FH61" s="24"/>
      <c r="FI61" s="24"/>
      <c r="FJ61" s="24"/>
      <c r="FK61" s="24"/>
      <c r="FL61" s="24"/>
      <c r="FM61" s="24"/>
      <c r="FN61" s="24"/>
      <c r="FO61" s="24"/>
      <c r="FP61" s="24"/>
      <c r="FQ61" s="24"/>
      <c r="FR61" s="24"/>
      <c r="FS61" s="24"/>
      <c r="FT61" s="24"/>
      <c r="FU61" s="24"/>
      <c r="FV61" s="24"/>
      <c r="FW61" s="24"/>
      <c r="FX61" s="24"/>
      <c r="FY61" s="24"/>
      <c r="FZ61" s="24"/>
      <c r="GA61" s="24"/>
      <c r="GB61" s="24"/>
      <c r="GC61" s="24"/>
      <c r="GD61" s="24"/>
      <c r="GE61" s="24"/>
      <c r="GF61" s="24"/>
      <c r="GG61" s="24"/>
      <c r="GH61" s="24"/>
      <c r="GI61" s="24" cm="1">
        <f t="array" ref="GI61">SUMPRODUCT(DY61:GG61,--(DY$2:GG$2=GI$2))</f>
        <v>0</v>
      </c>
      <c r="GJ61" s="24" cm="1">
        <f t="array" ref="GJ61">SUMPRODUCT(DZ61:GH61,--(DZ$2:GH$2=GJ$2))</f>
        <v>0</v>
      </c>
      <c r="GK61" s="24"/>
      <c r="GL61" s="24"/>
      <c r="GM61" s="24"/>
      <c r="GN61" s="24"/>
      <c r="GO61" s="24"/>
      <c r="GP61" s="24"/>
      <c r="GQ61" s="24"/>
      <c r="GR61" s="24"/>
      <c r="GS61" s="24"/>
      <c r="GT61" s="24"/>
      <c r="GU61" s="24"/>
      <c r="GV61" s="24"/>
      <c r="GW61" s="24"/>
      <c r="GX61" s="24"/>
      <c r="GY61" s="24"/>
      <c r="GZ61" s="24"/>
      <c r="HA61" s="24"/>
      <c r="HB61" s="24"/>
      <c r="HC61" s="24"/>
      <c r="HD61" s="24"/>
      <c r="HE61" s="24"/>
      <c r="HF61" s="24"/>
      <c r="HG61" s="24"/>
      <c r="HH61" s="24"/>
      <c r="HI61" s="24"/>
      <c r="HJ61" s="24"/>
      <c r="HK61" s="24"/>
      <c r="HL61" s="24"/>
      <c r="HM61" s="24"/>
      <c r="HN61" s="24"/>
      <c r="HO61" s="24"/>
      <c r="HP61" s="24"/>
      <c r="HQ61" s="24"/>
      <c r="HR61" s="24"/>
      <c r="HS61" s="24"/>
      <c r="HT61" s="24"/>
      <c r="HU61" s="24"/>
      <c r="HV61" s="24"/>
      <c r="HW61" s="24"/>
      <c r="HX61" s="24"/>
      <c r="HY61" s="24"/>
      <c r="HZ61" s="24"/>
      <c r="IA61" s="24"/>
      <c r="IB61" s="24"/>
      <c r="IC61" s="24"/>
      <c r="ID61" s="24"/>
      <c r="IE61" s="24"/>
      <c r="IF61" s="24"/>
      <c r="IG61" s="24"/>
      <c r="IH61" s="24"/>
      <c r="II61" s="24"/>
      <c r="IJ61" s="24"/>
      <c r="IK61" s="24"/>
      <c r="IL61" s="24"/>
      <c r="IM61" s="24"/>
      <c r="IN61" s="24"/>
      <c r="IO61" s="24"/>
      <c r="IP61" s="24"/>
      <c r="IQ61" s="24"/>
      <c r="IR61" s="24"/>
      <c r="IS61" s="24">
        <f t="shared" si="161"/>
        <v>0</v>
      </c>
      <c r="IT61" s="24">
        <f t="shared" si="162"/>
        <v>0</v>
      </c>
      <c r="IU61" s="24"/>
      <c r="IV61" s="24"/>
      <c r="IW61" s="24"/>
      <c r="IX61" s="24"/>
      <c r="IY61" s="24"/>
      <c r="IZ61" s="24"/>
      <c r="JA61" s="24"/>
      <c r="JB61" s="24"/>
      <c r="JC61" s="24"/>
      <c r="JD61" s="24"/>
      <c r="JE61" s="24"/>
      <c r="JF61" s="24"/>
      <c r="JG61" s="24"/>
      <c r="JH61" s="24"/>
      <c r="JI61" s="24"/>
      <c r="JJ61" s="24"/>
      <c r="JK61" s="24"/>
      <c r="JL61" s="24"/>
      <c r="JM61" s="24"/>
      <c r="JN61" s="24"/>
      <c r="JO61" s="24"/>
      <c r="JP61" s="24"/>
      <c r="JQ61" s="24"/>
      <c r="JR61" s="24"/>
      <c r="JS61" s="24"/>
      <c r="JT61" s="24"/>
      <c r="JU61" s="24"/>
      <c r="JV61" s="24"/>
      <c r="JW61" s="24"/>
      <c r="JX61" s="24"/>
      <c r="JY61" s="24"/>
      <c r="JZ61" s="24"/>
      <c r="KA61" s="24"/>
      <c r="KB61" s="24"/>
      <c r="KC61" s="24"/>
      <c r="KD61" s="24"/>
      <c r="KE61" s="24"/>
      <c r="KF61" s="24"/>
      <c r="KG61" s="24"/>
      <c r="KH61" s="24"/>
      <c r="KI61" s="24"/>
      <c r="KJ61" s="24"/>
      <c r="KK61" s="24"/>
      <c r="KL61" s="24"/>
      <c r="KM61" s="24"/>
      <c r="KN61" s="24"/>
      <c r="KO61" s="24"/>
      <c r="KP61" s="24"/>
      <c r="KQ61" s="24"/>
      <c r="KR61" s="24"/>
      <c r="KS61" s="24"/>
      <c r="KT61" s="24"/>
      <c r="KU61" s="24"/>
      <c r="KV61" s="24"/>
      <c r="KW61" s="24"/>
      <c r="KX61" s="24"/>
      <c r="KY61" s="24"/>
      <c r="KZ61" s="24"/>
      <c r="LA61" s="24"/>
      <c r="LB61" s="24"/>
      <c r="LC61" s="24"/>
      <c r="LD61" s="24"/>
      <c r="LE61" s="24">
        <f t="shared" si="163"/>
        <v>0</v>
      </c>
      <c r="LF61" s="24">
        <f t="shared" si="164"/>
        <v>0</v>
      </c>
      <c r="LG61" s="24"/>
      <c r="LH61" s="24"/>
      <c r="LI61" s="24"/>
      <c r="LJ61" s="24"/>
      <c r="LK61" s="24"/>
      <c r="LL61" s="24"/>
      <c r="LM61" s="24"/>
      <c r="LN61" s="24"/>
      <c r="LO61" s="24"/>
      <c r="LP61" s="24"/>
      <c r="LQ61" s="24"/>
      <c r="LR61" s="24"/>
      <c r="LS61" s="24"/>
      <c r="LT61" s="24"/>
      <c r="LU61" s="24"/>
      <c r="LV61" s="24"/>
      <c r="LW61" s="24"/>
      <c r="LX61" s="24"/>
      <c r="LY61" s="24"/>
      <c r="LZ61" s="24"/>
      <c r="MA61" s="24"/>
      <c r="MB61" s="24"/>
      <c r="MC61" s="24"/>
      <c r="MD61" s="24"/>
      <c r="ME61" s="24"/>
      <c r="MF61" s="24"/>
      <c r="MG61" s="24"/>
      <c r="MH61" s="24"/>
      <c r="MI61" s="24"/>
      <c r="MJ61" s="24"/>
      <c r="MK61" s="24"/>
      <c r="ML61" s="24"/>
      <c r="MM61" s="24"/>
      <c r="MN61" s="24"/>
      <c r="MO61" s="24"/>
      <c r="MP61" s="24"/>
      <c r="MQ61" s="24"/>
      <c r="MR61" s="24"/>
      <c r="MS61" s="24"/>
      <c r="MT61" s="24"/>
      <c r="MU61" s="24"/>
      <c r="MV61" s="24"/>
      <c r="MW61" s="24"/>
      <c r="MX61" s="24"/>
      <c r="MY61" s="24"/>
      <c r="MZ61" s="24"/>
      <c r="NA61" s="24"/>
      <c r="NB61" s="24"/>
      <c r="NC61" s="24"/>
      <c r="ND61" s="24"/>
      <c r="NE61" s="24"/>
      <c r="NF61" s="24"/>
      <c r="NG61" s="24"/>
      <c r="NH61" s="24"/>
      <c r="NI61" s="24"/>
      <c r="NJ61" s="24"/>
      <c r="NK61" s="24"/>
      <c r="NL61" s="24"/>
      <c r="NM61" s="24"/>
      <c r="NN61" s="24"/>
      <c r="NO61" s="24">
        <f t="shared" si="165"/>
        <v>0</v>
      </c>
      <c r="NP61" s="24">
        <f t="shared" si="166"/>
        <v>0</v>
      </c>
      <c r="NQ61" s="24"/>
      <c r="NR61" s="24"/>
      <c r="NS61" s="24"/>
      <c r="NT61" s="24"/>
      <c r="NU61" s="24"/>
      <c r="NV61" s="24"/>
      <c r="NW61" s="24"/>
      <c r="NX61" s="24"/>
      <c r="NY61" s="24"/>
      <c r="NZ61" s="24"/>
      <c r="OA61" s="24"/>
      <c r="OB61" s="24"/>
      <c r="OC61" s="24"/>
      <c r="OD61" s="24"/>
      <c r="OE61" s="24"/>
      <c r="OF61" s="24"/>
      <c r="OG61" s="24"/>
      <c r="OH61" s="24"/>
      <c r="OI61" s="24"/>
      <c r="OJ61" s="24"/>
      <c r="OK61" s="24"/>
      <c r="OL61" s="24"/>
      <c r="OM61" s="24"/>
      <c r="ON61" s="24"/>
      <c r="OO61" s="24"/>
      <c r="OP61" s="24"/>
      <c r="OQ61" s="24"/>
      <c r="OR61" s="24"/>
      <c r="OS61" s="24"/>
      <c r="OT61" s="24"/>
      <c r="OU61" s="24"/>
      <c r="OV61" s="24"/>
      <c r="OW61" s="24"/>
      <c r="OX61" s="24"/>
      <c r="OY61" s="24"/>
      <c r="OZ61" s="24"/>
      <c r="PA61" s="24"/>
      <c r="PB61" s="24"/>
      <c r="PC61" s="24"/>
      <c r="PD61" s="24"/>
      <c r="PE61" s="24"/>
      <c r="PF61" s="24"/>
      <c r="PG61" s="24"/>
      <c r="PH61" s="24"/>
      <c r="PI61" s="24"/>
      <c r="PJ61" s="24"/>
      <c r="PK61" s="24"/>
      <c r="PL61" s="24"/>
      <c r="PM61" s="24"/>
      <c r="PN61" s="24"/>
      <c r="PO61" s="24"/>
      <c r="PP61" s="24"/>
      <c r="PQ61" s="24"/>
      <c r="PR61" s="24"/>
      <c r="PS61" s="24"/>
      <c r="PT61" s="24"/>
      <c r="PU61" s="24"/>
      <c r="PV61" s="24"/>
      <c r="PW61" s="24"/>
      <c r="PX61" s="24"/>
      <c r="PY61" s="24"/>
      <c r="PZ61" s="24"/>
      <c r="QA61" s="24">
        <f t="shared" si="167"/>
        <v>0</v>
      </c>
      <c r="QB61" s="24">
        <f t="shared" si="168"/>
        <v>0</v>
      </c>
      <c r="QC61" s="24"/>
      <c r="QD61" s="24"/>
      <c r="QE61" s="24"/>
      <c r="QF61" s="24"/>
      <c r="QG61" s="24"/>
      <c r="QH61" s="24"/>
      <c r="QI61" s="24"/>
      <c r="QJ61" s="24"/>
      <c r="QK61" s="24"/>
      <c r="QL61" s="24"/>
      <c r="QM61" s="24"/>
      <c r="QN61" s="24"/>
      <c r="QO61" s="24"/>
      <c r="QP61" s="24"/>
      <c r="QQ61" s="24"/>
      <c r="QR61" s="24"/>
      <c r="QS61" s="24"/>
      <c r="QT61" s="24"/>
      <c r="QU61" s="24"/>
      <c r="QV61" s="24"/>
      <c r="QW61" s="24"/>
      <c r="QX61" s="24"/>
      <c r="QY61" s="24"/>
      <c r="QZ61" s="24"/>
      <c r="RA61" s="24"/>
      <c r="RB61" s="24"/>
      <c r="RC61" s="24"/>
      <c r="RD61" s="24"/>
      <c r="RE61" s="24"/>
      <c r="RF61" s="24"/>
      <c r="RG61" s="24"/>
      <c r="RH61" s="24"/>
      <c r="RI61" s="24"/>
      <c r="RJ61" s="24"/>
      <c r="RK61" s="24"/>
      <c r="RL61" s="24"/>
      <c r="RM61" s="24"/>
      <c r="RN61" s="24"/>
      <c r="RO61" s="24"/>
      <c r="RP61" s="24"/>
      <c r="RQ61" s="24"/>
      <c r="RR61" s="24"/>
      <c r="RS61" s="24"/>
      <c r="RT61" s="24"/>
      <c r="RU61" s="24"/>
      <c r="RV61" s="24"/>
      <c r="RW61" s="24"/>
      <c r="RX61" s="24"/>
      <c r="RY61" s="24"/>
      <c r="RZ61" s="24"/>
      <c r="SA61" s="24"/>
      <c r="SB61" s="24"/>
      <c r="SC61" s="24"/>
      <c r="SD61" s="24"/>
      <c r="SE61" s="24"/>
      <c r="SF61" s="24"/>
      <c r="SG61" s="24"/>
      <c r="SH61" s="24"/>
      <c r="SI61" s="24"/>
      <c r="SJ61" s="24"/>
      <c r="SK61" s="24"/>
      <c r="SL61" s="24"/>
      <c r="SM61" s="24">
        <f t="shared" si="169"/>
        <v>0</v>
      </c>
      <c r="SN61" s="24">
        <f t="shared" si="170"/>
        <v>0</v>
      </c>
      <c r="SO61" s="24"/>
      <c r="SP61" s="24"/>
      <c r="SQ61" s="24"/>
      <c r="SR61" s="24"/>
      <c r="SS61" s="24"/>
      <c r="ST61" s="24"/>
      <c r="SU61" s="24"/>
      <c r="SV61" s="24"/>
      <c r="SW61" s="24"/>
      <c r="SX61" s="24"/>
      <c r="SY61" s="24"/>
      <c r="SZ61" s="24"/>
      <c r="TA61" s="24"/>
      <c r="TB61" s="24"/>
      <c r="TC61" s="24"/>
      <c r="TD61" s="24"/>
      <c r="TE61" s="24"/>
      <c r="TF61" s="24"/>
      <c r="TG61" s="24"/>
      <c r="TH61" s="24"/>
      <c r="TI61" s="24"/>
      <c r="TJ61" s="24"/>
      <c r="TK61" s="24"/>
      <c r="TL61" s="24"/>
      <c r="TM61" s="24"/>
      <c r="TN61" s="24"/>
      <c r="TO61" s="24"/>
      <c r="TP61" s="24"/>
      <c r="TQ61" s="24"/>
      <c r="TR61" s="24"/>
      <c r="TS61" s="24"/>
      <c r="TT61" s="24"/>
      <c r="TU61" s="24"/>
      <c r="TV61" s="24"/>
      <c r="TW61" s="24"/>
      <c r="TX61" s="24"/>
      <c r="TY61" s="24"/>
      <c r="TZ61" s="24"/>
      <c r="UA61" s="24"/>
      <c r="UB61" s="24"/>
      <c r="UC61" s="24"/>
      <c r="UD61" s="24"/>
      <c r="UE61" s="24"/>
      <c r="UF61" s="24"/>
      <c r="UG61" s="24"/>
      <c r="UH61" s="24"/>
      <c r="UI61" s="24"/>
      <c r="UJ61" s="24"/>
      <c r="UK61" s="24"/>
      <c r="UL61" s="24"/>
      <c r="UM61" s="24"/>
      <c r="UN61" s="24"/>
      <c r="UO61" s="24"/>
      <c r="UP61" s="24"/>
      <c r="UQ61" s="24"/>
      <c r="UR61" s="24"/>
      <c r="US61" s="24"/>
      <c r="UT61" s="24"/>
      <c r="UU61" s="24"/>
      <c r="UV61" s="24"/>
      <c r="UW61" s="24">
        <f t="shared" si="171"/>
        <v>0</v>
      </c>
      <c r="UX61" s="24">
        <f t="shared" si="172"/>
        <v>0</v>
      </c>
      <c r="UY61" s="24"/>
      <c r="UZ61" s="24"/>
      <c r="VA61" s="24"/>
      <c r="VB61" s="24"/>
      <c r="VC61" s="24"/>
      <c r="VD61" s="24"/>
      <c r="VE61" s="24"/>
      <c r="VF61" s="24"/>
      <c r="VG61" s="24"/>
      <c r="VH61" s="24"/>
      <c r="VI61" s="24"/>
      <c r="VJ61" s="24"/>
      <c r="VK61" s="24"/>
      <c r="VL61" s="24"/>
      <c r="VM61" s="24"/>
      <c r="VN61" s="24"/>
      <c r="VO61" s="24"/>
      <c r="VP61" s="24"/>
      <c r="VQ61" s="24"/>
      <c r="VR61" s="24"/>
      <c r="VS61" s="24"/>
      <c r="VT61" s="24"/>
      <c r="VU61" s="24"/>
      <c r="VV61" s="24"/>
      <c r="VW61" s="24"/>
      <c r="VX61" s="24"/>
      <c r="VY61" s="24"/>
      <c r="VZ61" s="24"/>
      <c r="WA61" s="24"/>
      <c r="WB61" s="24"/>
      <c r="WC61" s="24"/>
      <c r="WD61" s="24"/>
      <c r="WE61" s="24"/>
      <c r="WF61" s="24"/>
      <c r="WG61" s="24"/>
      <c r="WH61" s="24"/>
      <c r="WI61" s="24"/>
      <c r="WJ61" s="24"/>
      <c r="WK61" s="24"/>
      <c r="WL61" s="24"/>
      <c r="WM61" s="24"/>
      <c r="WN61" s="24"/>
      <c r="WO61" s="24"/>
      <c r="WP61" s="24"/>
      <c r="WQ61" s="24"/>
      <c r="WR61" s="24"/>
      <c r="WS61" s="24"/>
      <c r="WT61" s="24"/>
      <c r="WU61" s="24"/>
      <c r="WV61" s="24"/>
      <c r="WW61" s="24"/>
      <c r="WX61" s="24"/>
      <c r="WY61" s="24"/>
      <c r="WZ61" s="24"/>
      <c r="XA61" s="24"/>
      <c r="XB61" s="24"/>
      <c r="XC61" s="24"/>
      <c r="XD61" s="24"/>
      <c r="XE61" s="24"/>
      <c r="XF61" s="24"/>
      <c r="XG61" s="24"/>
      <c r="XH61" s="24"/>
      <c r="XI61" s="24">
        <f t="shared" si="173"/>
        <v>0</v>
      </c>
      <c r="XJ61" s="24">
        <f t="shared" si="174"/>
        <v>0</v>
      </c>
      <c r="XK61" s="24"/>
      <c r="XL61" s="24"/>
      <c r="XM61" s="24"/>
      <c r="XN61" s="24"/>
      <c r="XO61" s="24"/>
      <c r="XP61" s="24"/>
      <c r="XQ61" s="24"/>
      <c r="XR61" s="24"/>
      <c r="XS61" s="24"/>
      <c r="XT61" s="24"/>
      <c r="XU61" s="24"/>
      <c r="XV61" s="24"/>
      <c r="XW61" s="24"/>
      <c r="XX61" s="24"/>
      <c r="XY61" s="24"/>
      <c r="XZ61" s="24"/>
      <c r="YA61" s="24"/>
      <c r="YB61" s="24"/>
      <c r="YC61" s="24"/>
      <c r="YD61" s="24"/>
      <c r="YE61" s="24"/>
      <c r="YF61" s="24"/>
      <c r="YG61" s="24"/>
      <c r="YH61" s="24"/>
      <c r="YI61" s="24"/>
      <c r="YJ61" s="24"/>
      <c r="YK61" s="24"/>
      <c r="YL61" s="24"/>
      <c r="YM61" s="24"/>
      <c r="YN61" s="24"/>
      <c r="YO61" s="24"/>
      <c r="YP61" s="24"/>
      <c r="YQ61" s="24"/>
      <c r="YR61" s="24"/>
      <c r="YS61" s="24"/>
      <c r="YT61" s="24"/>
      <c r="YU61" s="24"/>
      <c r="YV61" s="24"/>
      <c r="YW61" s="24"/>
      <c r="YX61" s="24"/>
      <c r="YY61" s="24"/>
      <c r="YZ61" s="24"/>
      <c r="ZA61" s="24"/>
      <c r="ZB61" s="24"/>
      <c r="ZC61" s="24"/>
      <c r="ZD61" s="24"/>
      <c r="ZE61" s="24"/>
      <c r="ZF61" s="24"/>
      <c r="ZG61" s="24"/>
      <c r="ZH61" s="24"/>
      <c r="ZI61" s="24"/>
      <c r="ZJ61" s="24"/>
      <c r="ZK61" s="24"/>
      <c r="ZL61" s="24"/>
      <c r="ZM61" s="24"/>
      <c r="ZN61" s="24"/>
      <c r="ZO61" s="24"/>
      <c r="ZP61" s="24"/>
      <c r="ZQ61" s="24"/>
      <c r="ZR61" s="24"/>
      <c r="ZS61" s="24">
        <f t="shared" si="175"/>
        <v>0</v>
      </c>
      <c r="ZT61" s="24">
        <f t="shared" si="176"/>
        <v>0</v>
      </c>
      <c r="ZU61" s="24"/>
      <c r="ZV61" s="24"/>
      <c r="ZW61" s="24"/>
      <c r="ZX61" s="24"/>
      <c r="ZY61" s="24"/>
      <c r="ZZ61" s="24"/>
      <c r="AAA61" s="24"/>
      <c r="AAB61" s="24"/>
      <c r="AAC61" s="24"/>
      <c r="AAD61" s="24"/>
      <c r="AAE61" s="24"/>
      <c r="AAF61" s="24"/>
      <c r="AAG61" s="24"/>
      <c r="AAH61" s="24"/>
      <c r="AAI61" s="24"/>
      <c r="AAJ61" s="24"/>
      <c r="AAK61" s="24"/>
      <c r="AAL61" s="24"/>
      <c r="AAM61" s="24"/>
      <c r="AAN61" s="24"/>
      <c r="AAO61" s="24"/>
      <c r="AAP61" s="24"/>
      <c r="AAQ61" s="24"/>
      <c r="AAR61" s="24"/>
      <c r="AAS61" s="24"/>
      <c r="AAT61" s="24"/>
      <c r="AAU61" s="24"/>
      <c r="AAV61" s="24"/>
      <c r="AAW61" s="24"/>
      <c r="AAX61" s="24"/>
      <c r="AAY61" s="24"/>
      <c r="AAZ61" s="24"/>
      <c r="ABA61" s="24"/>
      <c r="ABB61" s="24"/>
      <c r="ABC61" s="24"/>
      <c r="ABD61" s="24"/>
      <c r="ABE61" s="24"/>
      <c r="ABF61" s="24"/>
      <c r="ABG61" s="24"/>
      <c r="ABH61" s="24"/>
      <c r="ABI61" s="24"/>
      <c r="ABJ61" s="24"/>
      <c r="ABK61" s="24"/>
      <c r="ABL61" s="24"/>
      <c r="ABM61" s="24"/>
      <c r="ABN61" s="24"/>
      <c r="ABO61" s="24"/>
      <c r="ABP61" s="24"/>
      <c r="ABQ61" s="24"/>
      <c r="ABR61" s="24"/>
      <c r="ABS61" s="24"/>
      <c r="ABT61" s="24"/>
      <c r="ABU61" s="24"/>
      <c r="ABV61" s="24"/>
      <c r="ABW61" s="24"/>
      <c r="ABX61" s="24"/>
      <c r="ABY61" s="24"/>
      <c r="ABZ61" s="24"/>
      <c r="ACA61" s="24"/>
      <c r="ACB61" s="24"/>
      <c r="ACC61" s="24"/>
      <c r="ACD61" s="24"/>
      <c r="ACE61" s="24">
        <f t="shared" si="177"/>
        <v>0</v>
      </c>
      <c r="ACF61" s="24"/>
      <c r="ACG61" s="24">
        <f t="shared" si="178"/>
        <v>0</v>
      </c>
      <c r="ACH61" s="25"/>
      <c r="ACI61" s="71" t="s">
        <v>175</v>
      </c>
      <c r="ACJ61" s="71" t="s">
        <v>91</v>
      </c>
    </row>
    <row r="62" spans="1:764" x14ac:dyDescent="0.25">
      <c r="A62" s="162"/>
      <c r="B62" s="152"/>
      <c r="C62" s="156"/>
      <c r="D62" s="51" t="s">
        <v>9</v>
      </c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24" cm="1">
        <f t="array" ref="BO62">SUMPRODUCT(E62:BM62,--(E$2:BM$2=BO$2))</f>
        <v>0</v>
      </c>
      <c r="BP62" s="24" cm="1">
        <f t="array" ref="BP62">SUMPRODUCT(F62:BN62,--(F$2:BN$2=BP$2))</f>
        <v>0</v>
      </c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 cm="1">
        <f t="array" ref="DW62">SUMPRODUCT(BQ62:DU62,--(BQ$2:DU$2=DW$2))</f>
        <v>0</v>
      </c>
      <c r="DX62" s="24" cm="1">
        <f t="array" ref="DX62">SUMPRODUCT(BR62:DV62,--(BR$2:DV$2=DX$2))</f>
        <v>0</v>
      </c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  <c r="FK62" s="24"/>
      <c r="FL62" s="24"/>
      <c r="FM62" s="24"/>
      <c r="FN62" s="24"/>
      <c r="FO62" s="24"/>
      <c r="FP62" s="24"/>
      <c r="FQ62" s="24"/>
      <c r="FR62" s="24"/>
      <c r="FS62" s="24"/>
      <c r="FT62" s="24"/>
      <c r="FU62" s="24"/>
      <c r="FV62" s="24"/>
      <c r="FW62" s="24"/>
      <c r="FX62" s="24"/>
      <c r="FY62" s="24"/>
      <c r="FZ62" s="24"/>
      <c r="GA62" s="24"/>
      <c r="GB62" s="24"/>
      <c r="GC62" s="24"/>
      <c r="GD62" s="24"/>
      <c r="GE62" s="24"/>
      <c r="GF62" s="24"/>
      <c r="GG62" s="24"/>
      <c r="GH62" s="24"/>
      <c r="GI62" s="24" cm="1">
        <f t="array" ref="GI62">SUMPRODUCT(DY62:GG62,--(DY$2:GG$2=GI$2))</f>
        <v>0</v>
      </c>
      <c r="GJ62" s="24" cm="1">
        <f t="array" ref="GJ62">SUMPRODUCT(DZ62:GH62,--(DZ$2:GH$2=GJ$2))</f>
        <v>0</v>
      </c>
      <c r="GK62" s="24"/>
      <c r="GL62" s="24"/>
      <c r="GM62" s="24"/>
      <c r="GN62" s="24"/>
      <c r="GO62" s="24"/>
      <c r="GP62" s="24"/>
      <c r="GQ62" s="24"/>
      <c r="GR62" s="24"/>
      <c r="GS62" s="24"/>
      <c r="GT62" s="24"/>
      <c r="GU62" s="24"/>
      <c r="GV62" s="24"/>
      <c r="GW62" s="24"/>
      <c r="GX62" s="24"/>
      <c r="GY62" s="24"/>
      <c r="GZ62" s="24"/>
      <c r="HA62" s="24"/>
      <c r="HB62" s="24"/>
      <c r="HC62" s="24"/>
      <c r="HD62" s="24"/>
      <c r="HE62" s="24"/>
      <c r="HF62" s="24"/>
      <c r="HG62" s="24"/>
      <c r="HH62" s="24"/>
      <c r="HI62" s="24"/>
      <c r="HJ62" s="24"/>
      <c r="HK62" s="24"/>
      <c r="HL62" s="24"/>
      <c r="HM62" s="24"/>
      <c r="HN62" s="24"/>
      <c r="HO62" s="24"/>
      <c r="HP62" s="24"/>
      <c r="HQ62" s="24"/>
      <c r="HR62" s="24"/>
      <c r="HS62" s="24"/>
      <c r="HT62" s="24"/>
      <c r="HU62" s="24"/>
      <c r="HV62" s="24"/>
      <c r="HW62" s="24"/>
      <c r="HX62" s="24"/>
      <c r="HY62" s="24"/>
      <c r="HZ62" s="24"/>
      <c r="IA62" s="24"/>
      <c r="IB62" s="24"/>
      <c r="IC62" s="24"/>
      <c r="ID62" s="24"/>
      <c r="IE62" s="24"/>
      <c r="IF62" s="24"/>
      <c r="IG62" s="24"/>
      <c r="IH62" s="24"/>
      <c r="II62" s="24"/>
      <c r="IJ62" s="24"/>
      <c r="IK62" s="24"/>
      <c r="IL62" s="24"/>
      <c r="IM62" s="24"/>
      <c r="IN62" s="24"/>
      <c r="IO62" s="24"/>
      <c r="IP62" s="24"/>
      <c r="IQ62" s="24"/>
      <c r="IR62" s="24"/>
      <c r="IS62" s="24">
        <f t="shared" si="161"/>
        <v>0</v>
      </c>
      <c r="IT62" s="24">
        <f t="shared" si="162"/>
        <v>0</v>
      </c>
      <c r="IU62" s="24"/>
      <c r="IV62" s="24"/>
      <c r="IW62" s="24"/>
      <c r="IX62" s="24"/>
      <c r="IY62" s="24"/>
      <c r="IZ62" s="24"/>
      <c r="JA62" s="24"/>
      <c r="JB62" s="24"/>
      <c r="JC62" s="24"/>
      <c r="JD62" s="24"/>
      <c r="JE62" s="24"/>
      <c r="JF62" s="24"/>
      <c r="JG62" s="24"/>
      <c r="JH62" s="24"/>
      <c r="JI62" s="24"/>
      <c r="JJ62" s="24"/>
      <c r="JK62" s="24"/>
      <c r="JL62" s="24"/>
      <c r="JM62" s="24"/>
      <c r="JN62" s="24"/>
      <c r="JO62" s="24"/>
      <c r="JP62" s="24"/>
      <c r="JQ62" s="24"/>
      <c r="JR62" s="24"/>
      <c r="JS62" s="24"/>
      <c r="JT62" s="24"/>
      <c r="JU62" s="24"/>
      <c r="JV62" s="24"/>
      <c r="JW62" s="24"/>
      <c r="JX62" s="24"/>
      <c r="JY62" s="24"/>
      <c r="JZ62" s="24"/>
      <c r="KA62" s="24"/>
      <c r="KB62" s="24"/>
      <c r="KC62" s="24"/>
      <c r="KD62" s="24"/>
      <c r="KE62" s="24"/>
      <c r="KF62" s="24"/>
      <c r="KG62" s="24"/>
      <c r="KH62" s="24"/>
      <c r="KI62" s="24"/>
      <c r="KJ62" s="24"/>
      <c r="KK62" s="24"/>
      <c r="KL62" s="24"/>
      <c r="KM62" s="24"/>
      <c r="KN62" s="24"/>
      <c r="KO62" s="24"/>
      <c r="KP62" s="24"/>
      <c r="KQ62" s="24"/>
      <c r="KR62" s="24"/>
      <c r="KS62" s="24"/>
      <c r="KT62" s="24"/>
      <c r="KU62" s="24"/>
      <c r="KV62" s="24"/>
      <c r="KW62" s="24"/>
      <c r="KX62" s="24"/>
      <c r="KY62" s="24"/>
      <c r="KZ62" s="24"/>
      <c r="LA62" s="24"/>
      <c r="LB62" s="24"/>
      <c r="LC62" s="24"/>
      <c r="LD62" s="24"/>
      <c r="LE62" s="24">
        <f t="shared" si="163"/>
        <v>0</v>
      </c>
      <c r="LF62" s="24">
        <f t="shared" si="164"/>
        <v>0</v>
      </c>
      <c r="LG62" s="24"/>
      <c r="LH62" s="24"/>
      <c r="LI62" s="24"/>
      <c r="LJ62" s="24"/>
      <c r="LK62" s="24"/>
      <c r="LL62" s="24"/>
      <c r="LM62" s="24"/>
      <c r="LN62" s="24"/>
      <c r="LO62" s="24"/>
      <c r="LP62" s="24"/>
      <c r="LQ62" s="24"/>
      <c r="LR62" s="24"/>
      <c r="LS62" s="24"/>
      <c r="LT62" s="24"/>
      <c r="LU62" s="24"/>
      <c r="LV62" s="24"/>
      <c r="LW62" s="24"/>
      <c r="LX62" s="24"/>
      <c r="LY62" s="24"/>
      <c r="LZ62" s="24"/>
      <c r="MA62" s="24"/>
      <c r="MB62" s="24"/>
      <c r="MC62" s="24"/>
      <c r="MD62" s="24"/>
      <c r="ME62" s="24"/>
      <c r="MF62" s="24"/>
      <c r="MG62" s="24"/>
      <c r="MH62" s="24"/>
      <c r="MI62" s="24"/>
      <c r="MJ62" s="24"/>
      <c r="MK62" s="24"/>
      <c r="ML62" s="24"/>
      <c r="MM62" s="24"/>
      <c r="MN62" s="24"/>
      <c r="MO62" s="24"/>
      <c r="MP62" s="24"/>
      <c r="MQ62" s="24"/>
      <c r="MR62" s="24"/>
      <c r="MS62" s="24"/>
      <c r="MT62" s="24"/>
      <c r="MU62" s="24"/>
      <c r="MV62" s="24"/>
      <c r="MW62" s="24"/>
      <c r="MX62" s="24"/>
      <c r="MY62" s="24"/>
      <c r="MZ62" s="24"/>
      <c r="NA62" s="24"/>
      <c r="NB62" s="24"/>
      <c r="NC62" s="24"/>
      <c r="ND62" s="24"/>
      <c r="NE62" s="24"/>
      <c r="NF62" s="24"/>
      <c r="NG62" s="24"/>
      <c r="NH62" s="24"/>
      <c r="NI62" s="24"/>
      <c r="NJ62" s="24"/>
      <c r="NK62" s="24"/>
      <c r="NL62" s="24"/>
      <c r="NM62" s="24"/>
      <c r="NN62" s="24"/>
      <c r="NO62" s="24">
        <f t="shared" si="165"/>
        <v>0</v>
      </c>
      <c r="NP62" s="24">
        <f t="shared" si="166"/>
        <v>0</v>
      </c>
      <c r="NQ62" s="24"/>
      <c r="NR62" s="24"/>
      <c r="NS62" s="24"/>
      <c r="NT62" s="24"/>
      <c r="NU62" s="24"/>
      <c r="NV62" s="24"/>
      <c r="NW62" s="24"/>
      <c r="NX62" s="24"/>
      <c r="NY62" s="24"/>
      <c r="NZ62" s="24"/>
      <c r="OA62" s="24"/>
      <c r="OB62" s="24"/>
      <c r="OC62" s="24"/>
      <c r="OD62" s="24"/>
      <c r="OE62" s="24"/>
      <c r="OF62" s="24"/>
      <c r="OG62" s="24"/>
      <c r="OH62" s="24"/>
      <c r="OI62" s="24"/>
      <c r="OJ62" s="24"/>
      <c r="OK62" s="24"/>
      <c r="OL62" s="24"/>
      <c r="OM62" s="24"/>
      <c r="ON62" s="24"/>
      <c r="OO62" s="24"/>
      <c r="OP62" s="24"/>
      <c r="OQ62" s="24"/>
      <c r="OR62" s="24"/>
      <c r="OS62" s="24"/>
      <c r="OT62" s="24"/>
      <c r="OU62" s="24"/>
      <c r="OV62" s="24"/>
      <c r="OW62" s="24"/>
      <c r="OX62" s="24"/>
      <c r="OY62" s="24"/>
      <c r="OZ62" s="24"/>
      <c r="PA62" s="24"/>
      <c r="PB62" s="24"/>
      <c r="PC62" s="24"/>
      <c r="PD62" s="24"/>
      <c r="PE62" s="24"/>
      <c r="PF62" s="24"/>
      <c r="PG62" s="24"/>
      <c r="PH62" s="24"/>
      <c r="PI62" s="24"/>
      <c r="PJ62" s="24"/>
      <c r="PK62" s="24"/>
      <c r="PL62" s="24"/>
      <c r="PM62" s="24"/>
      <c r="PN62" s="24"/>
      <c r="PO62" s="24"/>
      <c r="PP62" s="24"/>
      <c r="PQ62" s="24"/>
      <c r="PR62" s="24"/>
      <c r="PS62" s="24"/>
      <c r="PT62" s="24"/>
      <c r="PU62" s="24"/>
      <c r="PV62" s="24"/>
      <c r="PW62" s="24"/>
      <c r="PX62" s="24"/>
      <c r="PY62" s="24"/>
      <c r="PZ62" s="24"/>
      <c r="QA62" s="24">
        <f t="shared" si="167"/>
        <v>0</v>
      </c>
      <c r="QB62" s="24">
        <f t="shared" si="168"/>
        <v>0</v>
      </c>
      <c r="QC62" s="24"/>
      <c r="QD62" s="24"/>
      <c r="QE62" s="24"/>
      <c r="QF62" s="24"/>
      <c r="QG62" s="24"/>
      <c r="QH62" s="24"/>
      <c r="QI62" s="24"/>
      <c r="QJ62" s="24"/>
      <c r="QK62" s="24"/>
      <c r="QL62" s="24"/>
      <c r="QM62" s="24"/>
      <c r="QN62" s="24"/>
      <c r="QO62" s="24"/>
      <c r="QP62" s="24"/>
      <c r="QQ62" s="24"/>
      <c r="QR62" s="24"/>
      <c r="QS62" s="24"/>
      <c r="QT62" s="24"/>
      <c r="QU62" s="24"/>
      <c r="QV62" s="24"/>
      <c r="QW62" s="24"/>
      <c r="QX62" s="24"/>
      <c r="QY62" s="24"/>
      <c r="QZ62" s="24"/>
      <c r="RA62" s="24"/>
      <c r="RB62" s="24"/>
      <c r="RC62" s="24"/>
      <c r="RD62" s="24"/>
      <c r="RE62" s="24"/>
      <c r="RF62" s="24"/>
      <c r="RG62" s="24"/>
      <c r="RH62" s="24"/>
      <c r="RI62" s="24"/>
      <c r="RJ62" s="24"/>
      <c r="RK62" s="24"/>
      <c r="RL62" s="24"/>
      <c r="RM62" s="24"/>
      <c r="RN62" s="24"/>
      <c r="RO62" s="24"/>
      <c r="RP62" s="24"/>
      <c r="RQ62" s="24"/>
      <c r="RR62" s="24"/>
      <c r="RS62" s="24"/>
      <c r="RT62" s="24"/>
      <c r="RU62" s="24"/>
      <c r="RV62" s="24"/>
      <c r="RW62" s="24"/>
      <c r="RX62" s="24"/>
      <c r="RY62" s="24"/>
      <c r="RZ62" s="24"/>
      <c r="SA62" s="24"/>
      <c r="SB62" s="24"/>
      <c r="SC62" s="24"/>
      <c r="SD62" s="24"/>
      <c r="SE62" s="24"/>
      <c r="SF62" s="24"/>
      <c r="SG62" s="24"/>
      <c r="SH62" s="24"/>
      <c r="SI62" s="24"/>
      <c r="SJ62" s="24"/>
      <c r="SK62" s="24"/>
      <c r="SL62" s="24"/>
      <c r="SM62" s="24">
        <f t="shared" si="169"/>
        <v>0</v>
      </c>
      <c r="SN62" s="24">
        <f t="shared" si="170"/>
        <v>0</v>
      </c>
      <c r="SO62" s="24"/>
      <c r="SP62" s="24"/>
      <c r="SQ62" s="24"/>
      <c r="SR62" s="24"/>
      <c r="SS62" s="24"/>
      <c r="ST62" s="24"/>
      <c r="SU62" s="24"/>
      <c r="SV62" s="24"/>
      <c r="SW62" s="24"/>
      <c r="SX62" s="24"/>
      <c r="SY62" s="24"/>
      <c r="SZ62" s="24"/>
      <c r="TA62" s="24"/>
      <c r="TB62" s="24"/>
      <c r="TC62" s="24"/>
      <c r="TD62" s="24"/>
      <c r="TE62" s="24"/>
      <c r="TF62" s="24"/>
      <c r="TG62" s="24"/>
      <c r="TH62" s="24"/>
      <c r="TI62" s="24"/>
      <c r="TJ62" s="24"/>
      <c r="TK62" s="24"/>
      <c r="TL62" s="24"/>
      <c r="TM62" s="24"/>
      <c r="TN62" s="24"/>
      <c r="TO62" s="24"/>
      <c r="TP62" s="24"/>
      <c r="TQ62" s="24"/>
      <c r="TR62" s="24"/>
      <c r="TS62" s="24"/>
      <c r="TT62" s="24"/>
      <c r="TU62" s="24"/>
      <c r="TV62" s="24"/>
      <c r="TW62" s="24"/>
      <c r="TX62" s="24"/>
      <c r="TY62" s="24"/>
      <c r="TZ62" s="24"/>
      <c r="UA62" s="24"/>
      <c r="UB62" s="24"/>
      <c r="UC62" s="24"/>
      <c r="UD62" s="24"/>
      <c r="UE62" s="24"/>
      <c r="UF62" s="24"/>
      <c r="UG62" s="24"/>
      <c r="UH62" s="24"/>
      <c r="UI62" s="24"/>
      <c r="UJ62" s="24"/>
      <c r="UK62" s="24"/>
      <c r="UL62" s="24"/>
      <c r="UM62" s="24"/>
      <c r="UN62" s="24"/>
      <c r="UO62" s="24"/>
      <c r="UP62" s="24"/>
      <c r="UQ62" s="24"/>
      <c r="UR62" s="24"/>
      <c r="US62" s="24"/>
      <c r="UT62" s="24"/>
      <c r="UU62" s="24"/>
      <c r="UV62" s="24"/>
      <c r="UW62" s="24">
        <f t="shared" si="171"/>
        <v>0</v>
      </c>
      <c r="UX62" s="24">
        <f t="shared" si="172"/>
        <v>0</v>
      </c>
      <c r="UY62" s="24"/>
      <c r="UZ62" s="24"/>
      <c r="VA62" s="24"/>
      <c r="VB62" s="24"/>
      <c r="VC62" s="24"/>
      <c r="VD62" s="24"/>
      <c r="VE62" s="24"/>
      <c r="VF62" s="24"/>
      <c r="VG62" s="24"/>
      <c r="VH62" s="24"/>
      <c r="VI62" s="24"/>
      <c r="VJ62" s="24"/>
      <c r="VK62" s="24"/>
      <c r="VL62" s="24"/>
      <c r="VM62" s="24"/>
      <c r="VN62" s="24"/>
      <c r="VO62" s="24"/>
      <c r="VP62" s="24"/>
      <c r="VQ62" s="24"/>
      <c r="VR62" s="24"/>
      <c r="VS62" s="24"/>
      <c r="VT62" s="24"/>
      <c r="VU62" s="24"/>
      <c r="VV62" s="24"/>
      <c r="VW62" s="24"/>
      <c r="VX62" s="24"/>
      <c r="VY62" s="24"/>
      <c r="VZ62" s="24"/>
      <c r="WA62" s="24"/>
      <c r="WB62" s="24"/>
      <c r="WC62" s="24"/>
      <c r="WD62" s="24"/>
      <c r="WE62" s="24"/>
      <c r="WF62" s="24"/>
      <c r="WG62" s="24"/>
      <c r="WH62" s="24"/>
      <c r="WI62" s="24"/>
      <c r="WJ62" s="24"/>
      <c r="WK62" s="24"/>
      <c r="WL62" s="24"/>
      <c r="WM62" s="24"/>
      <c r="WN62" s="24"/>
      <c r="WO62" s="24"/>
      <c r="WP62" s="24"/>
      <c r="WQ62" s="24"/>
      <c r="WR62" s="24"/>
      <c r="WS62" s="24"/>
      <c r="WT62" s="24"/>
      <c r="WU62" s="24"/>
      <c r="WV62" s="24"/>
      <c r="WW62" s="24"/>
      <c r="WX62" s="24"/>
      <c r="WY62" s="24"/>
      <c r="WZ62" s="24"/>
      <c r="XA62" s="24"/>
      <c r="XB62" s="24"/>
      <c r="XC62" s="24"/>
      <c r="XD62" s="24"/>
      <c r="XE62" s="24"/>
      <c r="XF62" s="24"/>
      <c r="XG62" s="24"/>
      <c r="XH62" s="24"/>
      <c r="XI62" s="24">
        <f t="shared" si="173"/>
        <v>0</v>
      </c>
      <c r="XJ62" s="24">
        <f t="shared" si="174"/>
        <v>0</v>
      </c>
      <c r="XK62" s="24"/>
      <c r="XL62" s="24"/>
      <c r="XM62" s="24"/>
      <c r="XN62" s="24"/>
      <c r="XO62" s="24"/>
      <c r="XP62" s="24"/>
      <c r="XQ62" s="24"/>
      <c r="XR62" s="24"/>
      <c r="XS62" s="24"/>
      <c r="XT62" s="24"/>
      <c r="XU62" s="24"/>
      <c r="XV62" s="24"/>
      <c r="XW62" s="24"/>
      <c r="XX62" s="24"/>
      <c r="XY62" s="24"/>
      <c r="XZ62" s="24"/>
      <c r="YA62" s="24"/>
      <c r="YB62" s="24"/>
      <c r="YC62" s="24"/>
      <c r="YD62" s="24"/>
      <c r="YE62" s="24"/>
      <c r="YF62" s="24"/>
      <c r="YG62" s="24"/>
      <c r="YH62" s="24"/>
      <c r="YI62" s="24"/>
      <c r="YJ62" s="24"/>
      <c r="YK62" s="24"/>
      <c r="YL62" s="24"/>
      <c r="YM62" s="24"/>
      <c r="YN62" s="24"/>
      <c r="YO62" s="24"/>
      <c r="YP62" s="24"/>
      <c r="YQ62" s="24"/>
      <c r="YR62" s="24"/>
      <c r="YS62" s="24"/>
      <c r="YT62" s="24"/>
      <c r="YU62" s="24"/>
      <c r="YV62" s="24"/>
      <c r="YW62" s="24"/>
      <c r="YX62" s="24"/>
      <c r="YY62" s="24"/>
      <c r="YZ62" s="24"/>
      <c r="ZA62" s="24"/>
      <c r="ZB62" s="24"/>
      <c r="ZC62" s="24"/>
      <c r="ZD62" s="24"/>
      <c r="ZE62" s="24"/>
      <c r="ZF62" s="24"/>
      <c r="ZG62" s="24"/>
      <c r="ZH62" s="24"/>
      <c r="ZI62" s="24"/>
      <c r="ZJ62" s="24"/>
      <c r="ZK62" s="24"/>
      <c r="ZL62" s="24"/>
      <c r="ZM62" s="24"/>
      <c r="ZN62" s="24"/>
      <c r="ZO62" s="24"/>
      <c r="ZP62" s="24"/>
      <c r="ZQ62" s="24"/>
      <c r="ZR62" s="24"/>
      <c r="ZS62" s="24">
        <f t="shared" si="175"/>
        <v>0</v>
      </c>
      <c r="ZT62" s="24">
        <f t="shared" si="176"/>
        <v>0</v>
      </c>
      <c r="ZU62" s="24"/>
      <c r="ZV62" s="24"/>
      <c r="ZW62" s="24"/>
      <c r="ZX62" s="24"/>
      <c r="ZY62" s="24"/>
      <c r="ZZ62" s="24"/>
      <c r="AAA62" s="24"/>
      <c r="AAB62" s="24"/>
      <c r="AAC62" s="24"/>
      <c r="AAD62" s="24"/>
      <c r="AAE62" s="24"/>
      <c r="AAF62" s="24"/>
      <c r="AAG62" s="24"/>
      <c r="AAH62" s="24"/>
      <c r="AAI62" s="24"/>
      <c r="AAJ62" s="24"/>
      <c r="AAK62" s="24"/>
      <c r="AAL62" s="24"/>
      <c r="AAM62" s="24"/>
      <c r="AAN62" s="24"/>
      <c r="AAO62" s="24"/>
      <c r="AAP62" s="24"/>
      <c r="AAQ62" s="24"/>
      <c r="AAR62" s="24"/>
      <c r="AAS62" s="24"/>
      <c r="AAT62" s="24"/>
      <c r="AAU62" s="24"/>
      <c r="AAV62" s="24"/>
      <c r="AAW62" s="24"/>
      <c r="AAX62" s="24"/>
      <c r="AAY62" s="24"/>
      <c r="AAZ62" s="24"/>
      <c r="ABA62" s="24"/>
      <c r="ABB62" s="24"/>
      <c r="ABC62" s="24"/>
      <c r="ABD62" s="24"/>
      <c r="ABE62" s="24"/>
      <c r="ABF62" s="24"/>
      <c r="ABG62" s="24"/>
      <c r="ABH62" s="24"/>
      <c r="ABI62" s="24"/>
      <c r="ABJ62" s="24"/>
      <c r="ABK62" s="24"/>
      <c r="ABL62" s="24"/>
      <c r="ABM62" s="24"/>
      <c r="ABN62" s="24"/>
      <c r="ABO62" s="24"/>
      <c r="ABP62" s="24"/>
      <c r="ABQ62" s="24"/>
      <c r="ABR62" s="24"/>
      <c r="ABS62" s="24"/>
      <c r="ABT62" s="24"/>
      <c r="ABU62" s="24"/>
      <c r="ABV62" s="24"/>
      <c r="ABW62" s="24"/>
      <c r="ABX62" s="24"/>
      <c r="ABY62" s="24"/>
      <c r="ABZ62" s="24"/>
      <c r="ACA62" s="24"/>
      <c r="ACB62" s="24"/>
      <c r="ACC62" s="24"/>
      <c r="ACD62" s="24"/>
      <c r="ACE62" s="24">
        <f t="shared" si="177"/>
        <v>0</v>
      </c>
      <c r="ACF62" s="24"/>
      <c r="ACG62" s="24">
        <f t="shared" si="178"/>
        <v>0</v>
      </c>
      <c r="ACH62" s="25"/>
      <c r="ACI62" s="71" t="s">
        <v>176</v>
      </c>
      <c r="ACJ62" s="71" t="s">
        <v>91</v>
      </c>
    </row>
    <row r="63" spans="1:764" x14ac:dyDescent="0.25">
      <c r="A63" s="162"/>
      <c r="B63" s="152"/>
      <c r="C63" s="157" t="s">
        <v>2</v>
      </c>
      <c r="D63" s="50" t="s">
        <v>6</v>
      </c>
      <c r="E63" s="74">
        <v>230.79999999999995</v>
      </c>
      <c r="F63" s="74">
        <v>230.79999999999995</v>
      </c>
      <c r="G63" s="74">
        <v>260.12</v>
      </c>
      <c r="H63" s="74">
        <v>260.12</v>
      </c>
      <c r="I63" s="74">
        <v>193.3</v>
      </c>
      <c r="J63" s="74">
        <v>193.3</v>
      </c>
      <c r="K63" s="74">
        <v>292.04000000000002</v>
      </c>
      <c r="L63" s="74">
        <v>292.04000000000002</v>
      </c>
      <c r="M63" s="74">
        <v>316.64</v>
      </c>
      <c r="N63" s="74">
        <v>316.64</v>
      </c>
      <c r="O63" s="74">
        <v>252.45999999999998</v>
      </c>
      <c r="P63" s="74">
        <v>252.45999999999998</v>
      </c>
      <c r="Q63" s="74">
        <v>307.2</v>
      </c>
      <c r="R63" s="74">
        <v>307.2</v>
      </c>
      <c r="S63" s="74">
        <v>237.76</v>
      </c>
      <c r="T63" s="74">
        <v>237.76</v>
      </c>
      <c r="U63" s="74">
        <v>287.96000000000004</v>
      </c>
      <c r="V63" s="74">
        <v>287.96000000000004</v>
      </c>
      <c r="W63" s="74">
        <v>281.02</v>
      </c>
      <c r="X63" s="74">
        <v>281.02</v>
      </c>
      <c r="Y63" s="74">
        <v>216.35999999999999</v>
      </c>
      <c r="Z63" s="74">
        <v>216.35999999999999</v>
      </c>
      <c r="AA63" s="74">
        <v>199.18</v>
      </c>
      <c r="AB63" s="74">
        <v>199.18</v>
      </c>
      <c r="AC63" s="74">
        <v>261.74</v>
      </c>
      <c r="AD63" s="74">
        <v>261.74</v>
      </c>
      <c r="AE63" s="74">
        <v>168.70000000000002</v>
      </c>
      <c r="AF63" s="74">
        <v>168.70000000000002</v>
      </c>
      <c r="AG63" s="74">
        <v>329.58000000000004</v>
      </c>
      <c r="AH63" s="74">
        <v>329.58000000000004</v>
      </c>
      <c r="AI63" s="74">
        <v>143.91999999999999</v>
      </c>
      <c r="AJ63" s="74">
        <v>143.91999999999999</v>
      </c>
      <c r="AK63" s="74">
        <v>233.76000000000002</v>
      </c>
      <c r="AL63" s="74">
        <v>233.76000000000002</v>
      </c>
      <c r="AM63" s="74">
        <v>282.92</v>
      </c>
      <c r="AN63" s="74">
        <v>282.92</v>
      </c>
      <c r="AO63" s="74">
        <v>299.71999999999997</v>
      </c>
      <c r="AP63" s="74">
        <v>299.71999999999997</v>
      </c>
      <c r="AQ63" s="74">
        <v>298.12</v>
      </c>
      <c r="AR63" s="74">
        <v>298.12</v>
      </c>
      <c r="AS63" s="74">
        <v>145.94</v>
      </c>
      <c r="AT63" s="74">
        <v>145.94</v>
      </c>
      <c r="AU63" s="74">
        <v>280.91999999999996</v>
      </c>
      <c r="AV63" s="74">
        <v>280.91999999999996</v>
      </c>
      <c r="AW63" s="74">
        <v>286.89999999999998</v>
      </c>
      <c r="AX63" s="74">
        <v>286.89999999999998</v>
      </c>
      <c r="AY63" s="74">
        <v>264.59999999999997</v>
      </c>
      <c r="AZ63" s="74">
        <v>264.59999999999997</v>
      </c>
      <c r="BA63" s="74">
        <v>241.08000000000004</v>
      </c>
      <c r="BB63" s="74">
        <v>241.08000000000004</v>
      </c>
      <c r="BC63" s="74">
        <v>279.82</v>
      </c>
      <c r="BD63" s="74">
        <v>279.82</v>
      </c>
      <c r="BE63" s="74">
        <v>226.4</v>
      </c>
      <c r="BF63" s="74">
        <v>226.4</v>
      </c>
      <c r="BG63" s="74">
        <v>228.32000000000002</v>
      </c>
      <c r="BH63" s="74">
        <v>228.32000000000002</v>
      </c>
      <c r="BI63" s="74">
        <v>327.52000000000004</v>
      </c>
      <c r="BJ63" s="74">
        <v>327.52000000000004</v>
      </c>
      <c r="BK63" s="74">
        <v>284.74</v>
      </c>
      <c r="BL63" s="74">
        <v>284.74</v>
      </c>
      <c r="BM63" s="74"/>
      <c r="BN63" s="74"/>
      <c r="BO63" s="24" cm="1">
        <f t="array" ref="BO63">SUMPRODUCT(E63:BM63,--(E$2:BM$2=BO$2))</f>
        <v>7659.5399999999991</v>
      </c>
      <c r="BP63" s="24" cm="1">
        <f t="array" ref="BP63">SUMPRODUCT(F63:BN63,--(F$2:BN$2=BP$2))</f>
        <v>7659.5399999999991</v>
      </c>
      <c r="BQ63" s="24">
        <v>177.1</v>
      </c>
      <c r="BR63" s="24">
        <v>177.1</v>
      </c>
      <c r="BS63" s="24">
        <v>270.44</v>
      </c>
      <c r="BT63" s="24">
        <v>270.44</v>
      </c>
      <c r="BU63" s="24">
        <v>256.09999999999997</v>
      </c>
      <c r="BV63" s="24">
        <v>256.09999999999997</v>
      </c>
      <c r="BW63" s="24">
        <v>279.04000000000008</v>
      </c>
      <c r="BX63" s="24">
        <v>279.04000000000008</v>
      </c>
      <c r="BY63" s="24">
        <v>223.92</v>
      </c>
      <c r="BZ63" s="24">
        <v>223.92</v>
      </c>
      <c r="CA63" s="24">
        <v>275.58</v>
      </c>
      <c r="CB63" s="24">
        <v>275.58</v>
      </c>
      <c r="CC63" s="24">
        <v>240.78</v>
      </c>
      <c r="CD63" s="24">
        <v>240.78</v>
      </c>
      <c r="CE63" s="24">
        <v>175.97999999999996</v>
      </c>
      <c r="CF63" s="24">
        <v>175.97999999999996</v>
      </c>
      <c r="CG63" s="24">
        <v>315.70000000000005</v>
      </c>
      <c r="CH63" s="24">
        <v>315.70000000000005</v>
      </c>
      <c r="CI63" s="24">
        <v>327.16000000000003</v>
      </c>
      <c r="CJ63" s="24">
        <v>327.16000000000003</v>
      </c>
      <c r="CK63" s="24">
        <v>239.18</v>
      </c>
      <c r="CL63" s="24">
        <v>239.18</v>
      </c>
      <c r="CM63" s="24">
        <v>347.88000000000005</v>
      </c>
      <c r="CN63" s="24">
        <v>347.88000000000005</v>
      </c>
      <c r="CO63" s="24">
        <v>236.3</v>
      </c>
      <c r="CP63" s="24">
        <v>236.3</v>
      </c>
      <c r="CQ63" s="24">
        <v>159.44</v>
      </c>
      <c r="CR63" s="24">
        <v>159.44</v>
      </c>
      <c r="CS63" s="24">
        <v>266.72000000000003</v>
      </c>
      <c r="CT63" s="24">
        <v>266.72000000000003</v>
      </c>
      <c r="CU63" s="24">
        <v>296.64</v>
      </c>
      <c r="CV63" s="24">
        <v>296.64</v>
      </c>
      <c r="CW63" s="24">
        <v>275.33999999999992</v>
      </c>
      <c r="CX63" s="24">
        <v>275.33999999999992</v>
      </c>
      <c r="CY63" s="24">
        <v>242.24</v>
      </c>
      <c r="CZ63" s="24">
        <v>242.24</v>
      </c>
      <c r="DA63" s="24">
        <v>281.39999999999998</v>
      </c>
      <c r="DB63" s="24">
        <v>281.39999999999998</v>
      </c>
      <c r="DC63" s="24">
        <v>326.12</v>
      </c>
      <c r="DD63" s="24">
        <v>326.12</v>
      </c>
      <c r="DE63" s="24">
        <v>301.68</v>
      </c>
      <c r="DF63" s="24">
        <v>301.68</v>
      </c>
      <c r="DG63" s="24">
        <v>359.98</v>
      </c>
      <c r="DH63" s="24">
        <v>359.98</v>
      </c>
      <c r="DI63" s="24">
        <v>267.85999999999996</v>
      </c>
      <c r="DJ63" s="24">
        <v>267.85999999999996</v>
      </c>
      <c r="DK63" s="24">
        <v>303.39999999999998</v>
      </c>
      <c r="DL63" s="24">
        <v>303.39999999999998</v>
      </c>
      <c r="DM63" s="24">
        <v>204.48000000000002</v>
      </c>
      <c r="DN63" s="24">
        <v>204.48000000000002</v>
      </c>
      <c r="DO63" s="24">
        <v>340.98</v>
      </c>
      <c r="DP63" s="24">
        <v>340.98</v>
      </c>
      <c r="DQ63" s="24">
        <v>309.02</v>
      </c>
      <c r="DR63" s="24">
        <v>309.02</v>
      </c>
      <c r="DS63" s="24">
        <v>299.92</v>
      </c>
      <c r="DT63" s="24">
        <v>299.92</v>
      </c>
      <c r="DU63" s="24">
        <v>351.84</v>
      </c>
      <c r="DV63" s="24">
        <v>351.84</v>
      </c>
      <c r="DW63" s="24" cm="1">
        <f t="array" ref="DW63">SUMPRODUCT(BQ63:DU63,--(BQ$2:DU$2=DW$2))</f>
        <v>7952.2199999999993</v>
      </c>
      <c r="DX63" s="24" cm="1">
        <f t="array" ref="DX63">SUMPRODUCT(BR63:DV63,--(BR$2:DV$2=DX$2))</f>
        <v>7952.2199999999993</v>
      </c>
      <c r="DY63" s="24">
        <v>237.6</v>
      </c>
      <c r="DZ63" s="24">
        <v>237.6</v>
      </c>
      <c r="EA63" s="24">
        <v>279.21999999999997</v>
      </c>
      <c r="EB63" s="24">
        <v>279.21999999999997</v>
      </c>
      <c r="EC63" s="24">
        <v>248.05999999999997</v>
      </c>
      <c r="ED63" s="24">
        <v>248.05999999999997</v>
      </c>
      <c r="EE63" s="24">
        <v>247.60000000000002</v>
      </c>
      <c r="EF63" s="24">
        <v>247.60000000000002</v>
      </c>
      <c r="EG63" s="24">
        <v>272.14</v>
      </c>
      <c r="EH63" s="24">
        <v>272.14</v>
      </c>
      <c r="EI63" s="24">
        <v>264.94</v>
      </c>
      <c r="EJ63" s="24">
        <v>264.94</v>
      </c>
      <c r="EK63" s="24">
        <v>160.29999999999998</v>
      </c>
      <c r="EL63" s="24">
        <v>160.29999999999998</v>
      </c>
      <c r="EM63" s="24">
        <v>271.59999999999997</v>
      </c>
      <c r="EN63" s="24">
        <v>271.59999999999997</v>
      </c>
      <c r="EO63" s="24">
        <v>367.16000000000008</v>
      </c>
      <c r="EP63" s="24">
        <v>367.16000000000008</v>
      </c>
      <c r="EQ63" s="24">
        <v>246.51999999999998</v>
      </c>
      <c r="ER63" s="24">
        <v>246.51999999999998</v>
      </c>
      <c r="ES63" s="24">
        <v>270.10000000000002</v>
      </c>
      <c r="ET63" s="24">
        <v>270.10000000000002</v>
      </c>
      <c r="EU63" s="24">
        <v>163.51999999999998</v>
      </c>
      <c r="EV63" s="24">
        <v>163.51999999999998</v>
      </c>
      <c r="EW63" s="24">
        <v>274.45999999999998</v>
      </c>
      <c r="EX63" s="24">
        <v>274.45999999999998</v>
      </c>
      <c r="EY63" s="24">
        <v>223.87999999999997</v>
      </c>
      <c r="EZ63" s="24">
        <v>223.87999999999997</v>
      </c>
      <c r="FA63" s="24">
        <v>245.95999999999998</v>
      </c>
      <c r="FB63" s="24">
        <v>245.95999999999998</v>
      </c>
      <c r="FC63" s="24">
        <v>236.14000000000001</v>
      </c>
      <c r="FD63" s="24">
        <v>236.14000000000001</v>
      </c>
      <c r="FE63" s="24">
        <v>276.85999999999996</v>
      </c>
      <c r="FF63" s="24">
        <v>276.85999999999996</v>
      </c>
      <c r="FG63" s="24">
        <v>263.26</v>
      </c>
      <c r="FH63" s="24">
        <v>263.26</v>
      </c>
      <c r="FI63" s="24">
        <v>282.14000000000004</v>
      </c>
      <c r="FJ63" s="24">
        <v>282.14000000000004</v>
      </c>
      <c r="FK63" s="24">
        <v>219.07999999999998</v>
      </c>
      <c r="FL63" s="24">
        <v>219.07999999999998</v>
      </c>
      <c r="FM63" s="24">
        <v>299.57999999999993</v>
      </c>
      <c r="FN63" s="24">
        <v>299.57999999999993</v>
      </c>
      <c r="FO63" s="24">
        <v>230.73999999999998</v>
      </c>
      <c r="FP63" s="24">
        <v>230.73999999999998</v>
      </c>
      <c r="FQ63" s="24">
        <v>260.92</v>
      </c>
      <c r="FR63" s="24">
        <v>260.92</v>
      </c>
      <c r="FS63" s="24">
        <v>159.63999999999999</v>
      </c>
      <c r="FT63" s="24">
        <v>159.63999999999999</v>
      </c>
      <c r="FU63" s="24">
        <v>350.02000000000004</v>
      </c>
      <c r="FV63" s="24">
        <v>350.02000000000004</v>
      </c>
      <c r="FW63" s="24">
        <v>259.42</v>
      </c>
      <c r="FX63" s="24">
        <v>259.42</v>
      </c>
      <c r="FY63" s="24">
        <v>255.78000000000003</v>
      </c>
      <c r="FZ63" s="24">
        <v>255.78000000000003</v>
      </c>
      <c r="GA63" s="24">
        <v>148.34</v>
      </c>
      <c r="GB63" s="24">
        <v>148.34</v>
      </c>
      <c r="GC63" s="24">
        <v>313.32</v>
      </c>
      <c r="GD63" s="24">
        <v>313.32</v>
      </c>
      <c r="GE63" s="24">
        <v>228.29999999999998</v>
      </c>
      <c r="GF63" s="24">
        <v>228.29999999999998</v>
      </c>
      <c r="GG63" s="24">
        <v>277.64</v>
      </c>
      <c r="GH63" s="24">
        <v>277.64</v>
      </c>
      <c r="GI63" s="24" cm="1">
        <f t="array" ref="GI63">SUMPRODUCT(DY63:GG63,--(DY$2:GG$2=GI$2))</f>
        <v>7834.2400000000007</v>
      </c>
      <c r="GJ63" s="24" cm="1">
        <f t="array" ref="GJ63">SUMPRODUCT(DZ63:GH63,--(DZ$2:GH$2=GJ$2))</f>
        <v>7834.2400000000007</v>
      </c>
      <c r="GK63" s="24">
        <v>204.96</v>
      </c>
      <c r="GL63" s="24">
        <v>204.96</v>
      </c>
      <c r="GM63" s="24">
        <v>249.64</v>
      </c>
      <c r="GN63" s="24">
        <v>249.64</v>
      </c>
      <c r="GO63" s="24">
        <v>337.20000000000005</v>
      </c>
      <c r="GP63" s="24">
        <v>337.20000000000005</v>
      </c>
      <c r="GQ63" s="24">
        <v>231.6</v>
      </c>
      <c r="GR63" s="24">
        <v>231.6</v>
      </c>
      <c r="GS63" s="24">
        <v>167.29999999999998</v>
      </c>
      <c r="GT63" s="24">
        <v>167.29999999999998</v>
      </c>
      <c r="GU63" s="24">
        <v>316.66000000000003</v>
      </c>
      <c r="GV63" s="24">
        <v>316.66000000000003</v>
      </c>
      <c r="GW63" s="24">
        <v>285.52</v>
      </c>
      <c r="GX63" s="24">
        <v>285.52</v>
      </c>
      <c r="GY63" s="24">
        <v>235.49999999999997</v>
      </c>
      <c r="GZ63" s="24">
        <v>235.49999999999997</v>
      </c>
      <c r="HA63" s="24">
        <v>224.58</v>
      </c>
      <c r="HB63" s="24">
        <v>224.58</v>
      </c>
      <c r="HC63" s="24">
        <v>307.59999999999997</v>
      </c>
      <c r="HD63" s="24">
        <v>307.59999999999997</v>
      </c>
      <c r="HE63" s="24">
        <v>223.69999999999996</v>
      </c>
      <c r="HF63" s="24">
        <v>223.69999999999996</v>
      </c>
      <c r="HG63" s="24">
        <v>277.5</v>
      </c>
      <c r="HH63" s="24">
        <v>277.5</v>
      </c>
      <c r="HI63" s="24">
        <v>196.42</v>
      </c>
      <c r="HJ63" s="24">
        <v>196.42</v>
      </c>
      <c r="HK63" s="24">
        <v>365.79999999999995</v>
      </c>
      <c r="HL63" s="24">
        <v>365.79999999999995</v>
      </c>
      <c r="HM63" s="24">
        <v>243.38000000000002</v>
      </c>
      <c r="HN63" s="24">
        <v>243.38000000000002</v>
      </c>
      <c r="HO63" s="24">
        <v>300.12</v>
      </c>
      <c r="HP63" s="24">
        <v>300.12</v>
      </c>
      <c r="HQ63" s="24">
        <v>241.07999999999998</v>
      </c>
      <c r="HR63" s="24">
        <v>241.07999999999998</v>
      </c>
      <c r="HS63" s="24">
        <v>324.14</v>
      </c>
      <c r="HT63" s="24">
        <v>324.14</v>
      </c>
      <c r="HU63" s="24">
        <v>253.1</v>
      </c>
      <c r="HV63" s="24">
        <v>253.1</v>
      </c>
      <c r="HW63" s="24">
        <v>269.64</v>
      </c>
      <c r="HX63" s="24">
        <v>269.64</v>
      </c>
      <c r="HY63" s="24">
        <v>251.20000000000002</v>
      </c>
      <c r="HZ63" s="24">
        <v>251.20000000000002</v>
      </c>
      <c r="IA63" s="24">
        <v>281.33999999999997</v>
      </c>
      <c r="IB63" s="24">
        <v>281.33999999999997</v>
      </c>
      <c r="IC63" s="24">
        <v>242.04000000000002</v>
      </c>
      <c r="ID63" s="24">
        <v>242.04000000000002</v>
      </c>
      <c r="IE63" s="24">
        <v>259.77999999999997</v>
      </c>
      <c r="IF63" s="24">
        <v>259.77999999999997</v>
      </c>
      <c r="IG63" s="24">
        <v>287.06000000000006</v>
      </c>
      <c r="IH63" s="24">
        <v>287.06000000000006</v>
      </c>
      <c r="II63" s="24">
        <v>232.10000000000002</v>
      </c>
      <c r="IJ63" s="24">
        <v>232.10000000000002</v>
      </c>
      <c r="IK63" s="24"/>
      <c r="IL63" s="24"/>
      <c r="IM63" s="24"/>
      <c r="IN63" s="24"/>
      <c r="IO63" s="24"/>
      <c r="IP63" s="24"/>
      <c r="IQ63" s="24"/>
      <c r="IR63" s="24"/>
      <c r="IS63" s="24">
        <f t="shared" si="161"/>
        <v>6808.9600000000009</v>
      </c>
      <c r="IT63" s="24">
        <f t="shared" si="162"/>
        <v>6808.9600000000009</v>
      </c>
      <c r="IU63" s="24">
        <v>262.24</v>
      </c>
      <c r="IV63" s="24">
        <v>262.24</v>
      </c>
      <c r="IW63" s="24">
        <v>238.33999999999997</v>
      </c>
      <c r="IX63" s="24">
        <v>238.33999999999997</v>
      </c>
      <c r="IY63" s="24">
        <v>125.22000000000001</v>
      </c>
      <c r="IZ63" s="24">
        <v>125.22000000000001</v>
      </c>
      <c r="JA63" s="24">
        <v>373.88000000000005</v>
      </c>
      <c r="JB63" s="24">
        <v>373.88000000000005</v>
      </c>
      <c r="JC63" s="24">
        <v>259.56</v>
      </c>
      <c r="JD63" s="24">
        <v>259.56</v>
      </c>
      <c r="JE63" s="24">
        <v>247.2</v>
      </c>
      <c r="JF63" s="24">
        <v>247.2</v>
      </c>
      <c r="JG63" s="24">
        <v>184.70000000000002</v>
      </c>
      <c r="JH63" s="24">
        <v>184.70000000000002</v>
      </c>
      <c r="JI63" s="24">
        <v>293.77999999999997</v>
      </c>
      <c r="JJ63" s="24">
        <v>293.77999999999997</v>
      </c>
      <c r="JK63" s="24">
        <v>237.36</v>
      </c>
      <c r="JL63" s="24">
        <v>237.36</v>
      </c>
      <c r="JM63" s="24">
        <v>280.47999999999996</v>
      </c>
      <c r="JN63" s="24">
        <v>280.47999999999996</v>
      </c>
      <c r="JO63" s="24">
        <v>187.78</v>
      </c>
      <c r="JP63" s="24">
        <v>187.78</v>
      </c>
      <c r="JQ63" s="24">
        <v>306.38000000000005</v>
      </c>
      <c r="JR63" s="24">
        <v>306.38000000000005</v>
      </c>
      <c r="JS63" s="24">
        <v>235.18000000000004</v>
      </c>
      <c r="JT63" s="24">
        <v>235.18000000000004</v>
      </c>
      <c r="JU63" s="24"/>
      <c r="JV63" s="24"/>
      <c r="JW63" s="24"/>
      <c r="JX63" s="24"/>
      <c r="JY63" s="24"/>
      <c r="JZ63" s="24"/>
      <c r="KA63" s="24"/>
      <c r="KB63" s="24"/>
      <c r="KC63" s="24"/>
      <c r="KD63" s="24"/>
      <c r="KE63" s="24"/>
      <c r="KF63" s="24"/>
      <c r="KG63" s="24"/>
      <c r="KH63" s="24"/>
      <c r="KI63" s="24"/>
      <c r="KJ63" s="24"/>
      <c r="KK63" s="24"/>
      <c r="KL63" s="24"/>
      <c r="KM63" s="24"/>
      <c r="KN63" s="24"/>
      <c r="KO63" s="24"/>
      <c r="KP63" s="24"/>
      <c r="KQ63" s="24"/>
      <c r="KR63" s="24"/>
      <c r="KS63" s="24"/>
      <c r="KT63" s="24"/>
      <c r="KU63" s="24"/>
      <c r="KV63" s="24"/>
      <c r="KW63" s="24"/>
      <c r="KX63" s="24"/>
      <c r="KY63" s="24"/>
      <c r="KZ63" s="24"/>
      <c r="LA63" s="24"/>
      <c r="LB63" s="24"/>
      <c r="LC63" s="24"/>
      <c r="LD63" s="24"/>
      <c r="LE63" s="24">
        <f t="shared" si="163"/>
        <v>3232.1000000000004</v>
      </c>
      <c r="LF63" s="24">
        <f t="shared" si="164"/>
        <v>3232.1000000000004</v>
      </c>
      <c r="LG63" s="24"/>
      <c r="LH63" s="24"/>
      <c r="LI63" s="24"/>
      <c r="LJ63" s="24"/>
      <c r="LK63" s="24"/>
      <c r="LL63" s="24"/>
      <c r="LM63" s="24"/>
      <c r="LN63" s="24"/>
      <c r="LO63" s="24"/>
      <c r="LP63" s="24"/>
      <c r="LQ63" s="24"/>
      <c r="LR63" s="24"/>
      <c r="LS63" s="24"/>
      <c r="LT63" s="24"/>
      <c r="LU63" s="24"/>
      <c r="LV63" s="24"/>
      <c r="LW63" s="24"/>
      <c r="LX63" s="24"/>
      <c r="LY63" s="24"/>
      <c r="LZ63" s="24"/>
      <c r="MA63" s="24"/>
      <c r="MB63" s="24"/>
      <c r="MC63" s="24"/>
      <c r="MD63" s="24"/>
      <c r="ME63" s="24"/>
      <c r="MF63" s="24"/>
      <c r="MG63" s="24"/>
      <c r="MH63" s="24"/>
      <c r="MI63" s="24"/>
      <c r="MJ63" s="24"/>
      <c r="MK63" s="24"/>
      <c r="ML63" s="24"/>
      <c r="MM63" s="24"/>
      <c r="MN63" s="24"/>
      <c r="MO63" s="24"/>
      <c r="MP63" s="24"/>
      <c r="MQ63" s="24"/>
      <c r="MR63" s="24"/>
      <c r="MS63" s="24"/>
      <c r="MT63" s="24"/>
      <c r="MU63" s="24"/>
      <c r="MV63" s="24"/>
      <c r="MW63" s="24"/>
      <c r="MX63" s="24"/>
      <c r="MY63" s="24"/>
      <c r="MZ63" s="24"/>
      <c r="NA63" s="24"/>
      <c r="NB63" s="24"/>
      <c r="NC63" s="24"/>
      <c r="ND63" s="24"/>
      <c r="NE63" s="24"/>
      <c r="NF63" s="24"/>
      <c r="NG63" s="24"/>
      <c r="NH63" s="24"/>
      <c r="NI63" s="24"/>
      <c r="NJ63" s="24"/>
      <c r="NK63" s="24"/>
      <c r="NL63" s="24"/>
      <c r="NM63" s="24"/>
      <c r="NN63" s="24"/>
      <c r="NO63" s="24">
        <f t="shared" si="165"/>
        <v>0</v>
      </c>
      <c r="NP63" s="24">
        <f t="shared" si="166"/>
        <v>0</v>
      </c>
      <c r="NQ63" s="24"/>
      <c r="NR63" s="24"/>
      <c r="NS63" s="24"/>
      <c r="NT63" s="24"/>
      <c r="NU63" s="24"/>
      <c r="NV63" s="24"/>
      <c r="NW63" s="24"/>
      <c r="NX63" s="24"/>
      <c r="NY63" s="24"/>
      <c r="NZ63" s="24"/>
      <c r="OA63" s="24"/>
      <c r="OB63" s="24"/>
      <c r="OC63" s="24"/>
      <c r="OD63" s="24"/>
      <c r="OE63" s="24"/>
      <c r="OF63" s="24"/>
      <c r="OG63" s="24"/>
      <c r="OH63" s="24"/>
      <c r="OI63" s="24"/>
      <c r="OJ63" s="24"/>
      <c r="OK63" s="24"/>
      <c r="OL63" s="24"/>
      <c r="OM63" s="24"/>
      <c r="ON63" s="24"/>
      <c r="OO63" s="24"/>
      <c r="OP63" s="24"/>
      <c r="OQ63" s="24"/>
      <c r="OR63" s="24"/>
      <c r="OS63" s="24"/>
      <c r="OT63" s="24"/>
      <c r="OU63" s="24"/>
      <c r="OV63" s="24"/>
      <c r="OW63" s="24"/>
      <c r="OX63" s="24"/>
      <c r="OY63" s="24"/>
      <c r="OZ63" s="24"/>
      <c r="PA63" s="24"/>
      <c r="PB63" s="24"/>
      <c r="PC63" s="24"/>
      <c r="PD63" s="24"/>
      <c r="PE63" s="24"/>
      <c r="PF63" s="24"/>
      <c r="PG63" s="24"/>
      <c r="PH63" s="24"/>
      <c r="PI63" s="24"/>
      <c r="PJ63" s="24"/>
      <c r="PK63" s="24"/>
      <c r="PL63" s="24"/>
      <c r="PM63" s="24"/>
      <c r="PN63" s="24"/>
      <c r="PO63" s="24"/>
      <c r="PP63" s="24"/>
      <c r="PQ63" s="24"/>
      <c r="PR63" s="24"/>
      <c r="PS63" s="24"/>
      <c r="PT63" s="24"/>
      <c r="PU63" s="24"/>
      <c r="PV63" s="24"/>
      <c r="PW63" s="24"/>
      <c r="PX63" s="24"/>
      <c r="PY63" s="24"/>
      <c r="PZ63" s="24"/>
      <c r="QA63" s="24">
        <f t="shared" si="167"/>
        <v>0</v>
      </c>
      <c r="QB63" s="24">
        <f t="shared" si="168"/>
        <v>0</v>
      </c>
      <c r="QC63" s="24"/>
      <c r="QD63" s="24"/>
      <c r="QE63" s="24"/>
      <c r="QF63" s="24"/>
      <c r="QG63" s="24"/>
      <c r="QH63" s="24"/>
      <c r="QI63" s="24"/>
      <c r="QJ63" s="24"/>
      <c r="QK63" s="24"/>
      <c r="QL63" s="24"/>
      <c r="QM63" s="24"/>
      <c r="QN63" s="24"/>
      <c r="QO63" s="24"/>
      <c r="QP63" s="24"/>
      <c r="QQ63" s="24"/>
      <c r="QR63" s="24"/>
      <c r="QS63" s="24"/>
      <c r="QT63" s="24"/>
      <c r="QU63" s="24"/>
      <c r="QV63" s="24"/>
      <c r="QW63" s="24"/>
      <c r="QX63" s="24"/>
      <c r="QY63" s="24"/>
      <c r="QZ63" s="24"/>
      <c r="RA63" s="24"/>
      <c r="RB63" s="24"/>
      <c r="RC63" s="24"/>
      <c r="RD63" s="24"/>
      <c r="RE63" s="24"/>
      <c r="RF63" s="24"/>
      <c r="RG63" s="24"/>
      <c r="RH63" s="24"/>
      <c r="RI63" s="24"/>
      <c r="RJ63" s="24"/>
      <c r="RK63" s="24"/>
      <c r="RL63" s="24"/>
      <c r="RM63" s="24"/>
      <c r="RN63" s="24"/>
      <c r="RO63" s="24"/>
      <c r="RP63" s="24"/>
      <c r="RQ63" s="24"/>
      <c r="RR63" s="24"/>
      <c r="RS63" s="24"/>
      <c r="RT63" s="24"/>
      <c r="RU63" s="24"/>
      <c r="RV63" s="24"/>
      <c r="RW63" s="24"/>
      <c r="RX63" s="24"/>
      <c r="RY63" s="24"/>
      <c r="RZ63" s="24"/>
      <c r="SA63" s="24"/>
      <c r="SB63" s="24"/>
      <c r="SC63" s="24"/>
      <c r="SD63" s="24"/>
      <c r="SE63" s="24"/>
      <c r="SF63" s="24"/>
      <c r="SG63" s="24"/>
      <c r="SH63" s="24"/>
      <c r="SI63" s="24"/>
      <c r="SJ63" s="24"/>
      <c r="SK63" s="24"/>
      <c r="SL63" s="24"/>
      <c r="SM63" s="24">
        <f t="shared" si="169"/>
        <v>0</v>
      </c>
      <c r="SN63" s="24">
        <f t="shared" si="170"/>
        <v>0</v>
      </c>
      <c r="SO63" s="24"/>
      <c r="SP63" s="24"/>
      <c r="SQ63" s="24"/>
      <c r="SR63" s="24"/>
      <c r="SS63" s="24"/>
      <c r="ST63" s="24"/>
      <c r="SU63" s="24"/>
      <c r="SV63" s="24"/>
      <c r="SW63" s="24"/>
      <c r="SX63" s="24"/>
      <c r="SY63" s="24"/>
      <c r="SZ63" s="24"/>
      <c r="TA63" s="24"/>
      <c r="TB63" s="24"/>
      <c r="TC63" s="24"/>
      <c r="TD63" s="24"/>
      <c r="TE63" s="24"/>
      <c r="TF63" s="24"/>
      <c r="TG63" s="24"/>
      <c r="TH63" s="24"/>
      <c r="TI63" s="24"/>
      <c r="TJ63" s="24"/>
      <c r="TK63" s="24"/>
      <c r="TL63" s="24"/>
      <c r="TM63" s="24"/>
      <c r="TN63" s="24"/>
      <c r="TO63" s="24"/>
      <c r="TP63" s="24"/>
      <c r="TQ63" s="24"/>
      <c r="TR63" s="24"/>
      <c r="TS63" s="24"/>
      <c r="TT63" s="24"/>
      <c r="TU63" s="24"/>
      <c r="TV63" s="24"/>
      <c r="TW63" s="24"/>
      <c r="TX63" s="24"/>
      <c r="TY63" s="24"/>
      <c r="TZ63" s="24"/>
      <c r="UA63" s="24"/>
      <c r="UB63" s="24"/>
      <c r="UC63" s="24"/>
      <c r="UD63" s="24"/>
      <c r="UE63" s="24"/>
      <c r="UF63" s="24"/>
      <c r="UG63" s="24"/>
      <c r="UH63" s="24"/>
      <c r="UI63" s="24"/>
      <c r="UJ63" s="24"/>
      <c r="UK63" s="24"/>
      <c r="UL63" s="24"/>
      <c r="UM63" s="24"/>
      <c r="UN63" s="24"/>
      <c r="UO63" s="24"/>
      <c r="UP63" s="24"/>
      <c r="UQ63" s="24"/>
      <c r="UR63" s="24"/>
      <c r="US63" s="24"/>
      <c r="UT63" s="24"/>
      <c r="UU63" s="24"/>
      <c r="UV63" s="24"/>
      <c r="UW63" s="24">
        <f t="shared" si="171"/>
        <v>0</v>
      </c>
      <c r="UX63" s="24">
        <f t="shared" si="172"/>
        <v>0</v>
      </c>
      <c r="UY63" s="24"/>
      <c r="UZ63" s="24"/>
      <c r="VA63" s="24"/>
      <c r="VB63" s="24"/>
      <c r="VC63" s="24"/>
      <c r="VD63" s="24"/>
      <c r="VE63" s="24"/>
      <c r="VF63" s="24"/>
      <c r="VG63" s="24"/>
      <c r="VH63" s="24"/>
      <c r="VI63" s="24"/>
      <c r="VJ63" s="24"/>
      <c r="VK63" s="24"/>
      <c r="VL63" s="24"/>
      <c r="VM63" s="24"/>
      <c r="VN63" s="24"/>
      <c r="VO63" s="24"/>
      <c r="VP63" s="24"/>
      <c r="VQ63" s="24"/>
      <c r="VR63" s="24"/>
      <c r="VS63" s="24"/>
      <c r="VT63" s="24"/>
      <c r="VU63" s="24"/>
      <c r="VV63" s="24"/>
      <c r="VW63" s="24"/>
      <c r="VX63" s="24"/>
      <c r="VY63" s="24"/>
      <c r="VZ63" s="24"/>
      <c r="WA63" s="24"/>
      <c r="WB63" s="24"/>
      <c r="WC63" s="24"/>
      <c r="WD63" s="24"/>
      <c r="WE63" s="24"/>
      <c r="WF63" s="24"/>
      <c r="WG63" s="24"/>
      <c r="WH63" s="24"/>
      <c r="WI63" s="24"/>
      <c r="WJ63" s="24"/>
      <c r="WK63" s="24"/>
      <c r="WL63" s="24"/>
      <c r="WM63" s="24"/>
      <c r="WN63" s="24"/>
      <c r="WO63" s="24"/>
      <c r="WP63" s="24"/>
      <c r="WQ63" s="24"/>
      <c r="WR63" s="24"/>
      <c r="WS63" s="24"/>
      <c r="WT63" s="24"/>
      <c r="WU63" s="24"/>
      <c r="WV63" s="24"/>
      <c r="WW63" s="24"/>
      <c r="WX63" s="24"/>
      <c r="WY63" s="24"/>
      <c r="WZ63" s="24"/>
      <c r="XA63" s="24"/>
      <c r="XB63" s="24"/>
      <c r="XC63" s="24"/>
      <c r="XD63" s="24"/>
      <c r="XE63" s="24"/>
      <c r="XF63" s="24"/>
      <c r="XG63" s="24"/>
      <c r="XH63" s="24"/>
      <c r="XI63" s="24">
        <f t="shared" si="173"/>
        <v>0</v>
      </c>
      <c r="XJ63" s="24">
        <f t="shared" si="174"/>
        <v>0</v>
      </c>
      <c r="XK63" s="24"/>
      <c r="XL63" s="24"/>
      <c r="XM63" s="24"/>
      <c r="XN63" s="24"/>
      <c r="XO63" s="24"/>
      <c r="XP63" s="24"/>
      <c r="XQ63" s="24"/>
      <c r="XR63" s="24"/>
      <c r="XS63" s="24"/>
      <c r="XT63" s="24"/>
      <c r="XU63" s="24"/>
      <c r="XV63" s="24"/>
      <c r="XW63" s="24"/>
      <c r="XX63" s="24"/>
      <c r="XY63" s="24"/>
      <c r="XZ63" s="24"/>
      <c r="YA63" s="24"/>
      <c r="YB63" s="24"/>
      <c r="YC63" s="24"/>
      <c r="YD63" s="24"/>
      <c r="YE63" s="24"/>
      <c r="YF63" s="24"/>
      <c r="YG63" s="24"/>
      <c r="YH63" s="24"/>
      <c r="YI63" s="24"/>
      <c r="YJ63" s="24"/>
      <c r="YK63" s="24"/>
      <c r="YL63" s="24"/>
      <c r="YM63" s="24"/>
      <c r="YN63" s="24"/>
      <c r="YO63" s="24"/>
      <c r="YP63" s="24"/>
      <c r="YQ63" s="24"/>
      <c r="YR63" s="24"/>
      <c r="YS63" s="24"/>
      <c r="YT63" s="24"/>
      <c r="YU63" s="24"/>
      <c r="YV63" s="24"/>
      <c r="YW63" s="24"/>
      <c r="YX63" s="24"/>
      <c r="YY63" s="24"/>
      <c r="YZ63" s="24"/>
      <c r="ZA63" s="24"/>
      <c r="ZB63" s="24"/>
      <c r="ZC63" s="24"/>
      <c r="ZD63" s="24"/>
      <c r="ZE63" s="24"/>
      <c r="ZF63" s="24"/>
      <c r="ZG63" s="24"/>
      <c r="ZH63" s="24"/>
      <c r="ZI63" s="24"/>
      <c r="ZJ63" s="24"/>
      <c r="ZK63" s="24"/>
      <c r="ZL63" s="24"/>
      <c r="ZM63" s="24"/>
      <c r="ZN63" s="24"/>
      <c r="ZO63" s="24"/>
      <c r="ZP63" s="24"/>
      <c r="ZQ63" s="24"/>
      <c r="ZR63" s="24"/>
      <c r="ZS63" s="24">
        <f t="shared" si="175"/>
        <v>0</v>
      </c>
      <c r="ZT63" s="24">
        <f t="shared" si="176"/>
        <v>0</v>
      </c>
      <c r="ZU63" s="24"/>
      <c r="ZV63" s="24"/>
      <c r="ZW63" s="24"/>
      <c r="ZX63" s="24"/>
      <c r="ZY63" s="24"/>
      <c r="ZZ63" s="24"/>
      <c r="AAA63" s="24"/>
      <c r="AAB63" s="24"/>
      <c r="AAC63" s="24"/>
      <c r="AAD63" s="24"/>
      <c r="AAE63" s="24"/>
      <c r="AAF63" s="24"/>
      <c r="AAG63" s="24"/>
      <c r="AAH63" s="24"/>
      <c r="AAI63" s="24"/>
      <c r="AAJ63" s="24"/>
      <c r="AAK63" s="24"/>
      <c r="AAL63" s="24"/>
      <c r="AAM63" s="24"/>
      <c r="AAN63" s="24"/>
      <c r="AAO63" s="24"/>
      <c r="AAP63" s="24"/>
      <c r="AAQ63" s="24"/>
      <c r="AAR63" s="24"/>
      <c r="AAS63" s="24"/>
      <c r="AAT63" s="24"/>
      <c r="AAU63" s="24"/>
      <c r="AAV63" s="24"/>
      <c r="AAW63" s="24"/>
      <c r="AAX63" s="24"/>
      <c r="AAY63" s="24"/>
      <c r="AAZ63" s="24"/>
      <c r="ABA63" s="24"/>
      <c r="ABB63" s="24"/>
      <c r="ABC63" s="24"/>
      <c r="ABD63" s="24"/>
      <c r="ABE63" s="24"/>
      <c r="ABF63" s="24"/>
      <c r="ABG63" s="24"/>
      <c r="ABH63" s="24"/>
      <c r="ABI63" s="24"/>
      <c r="ABJ63" s="24"/>
      <c r="ABK63" s="24"/>
      <c r="ABL63" s="24"/>
      <c r="ABM63" s="24"/>
      <c r="ABN63" s="24"/>
      <c r="ABO63" s="24"/>
      <c r="ABP63" s="24"/>
      <c r="ABQ63" s="24"/>
      <c r="ABR63" s="24"/>
      <c r="ABS63" s="24"/>
      <c r="ABT63" s="24"/>
      <c r="ABU63" s="24"/>
      <c r="ABV63" s="24"/>
      <c r="ABW63" s="24"/>
      <c r="ABX63" s="24"/>
      <c r="ABY63" s="24"/>
      <c r="ABZ63" s="24"/>
      <c r="ACA63" s="24"/>
      <c r="ACB63" s="24"/>
      <c r="ACC63" s="24"/>
      <c r="ACD63" s="24"/>
      <c r="ACE63" s="24">
        <f t="shared" si="177"/>
        <v>0</v>
      </c>
      <c r="ACF63" s="24"/>
      <c r="ACG63" s="24">
        <f t="shared" si="178"/>
        <v>33487.06</v>
      </c>
      <c r="ACH63" s="25"/>
      <c r="ACI63" s="71" t="s">
        <v>167</v>
      </c>
      <c r="ACJ63" s="71" t="s">
        <v>91</v>
      </c>
    </row>
    <row r="64" spans="1:764" x14ac:dyDescent="0.25">
      <c r="A64" s="162"/>
      <c r="B64" s="152"/>
      <c r="C64" s="155"/>
      <c r="D64" s="50" t="s">
        <v>7</v>
      </c>
      <c r="E64" s="74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24" cm="1">
        <f t="array" ref="BO64">SUMPRODUCT(E64:BM64,--(E$2:BM$2=BO$2))</f>
        <v>0</v>
      </c>
      <c r="BP64" s="24" cm="1">
        <f t="array" ref="BP64">SUMPRODUCT(F64:BN64,--(F$2:BN$2=BP$2))</f>
        <v>0</v>
      </c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4"/>
      <c r="DC64" s="24"/>
      <c r="DD64" s="24"/>
      <c r="DE64" s="24"/>
      <c r="DF64" s="24"/>
      <c r="DG64" s="24"/>
      <c r="DH64" s="24"/>
      <c r="DI64" s="24"/>
      <c r="DJ64" s="24"/>
      <c r="DK64" s="24"/>
      <c r="DL64" s="24"/>
      <c r="DM64" s="24"/>
      <c r="DN64" s="24"/>
      <c r="DO64" s="24"/>
      <c r="DP64" s="24"/>
      <c r="DQ64" s="24"/>
      <c r="DR64" s="24"/>
      <c r="DS64" s="24"/>
      <c r="DT64" s="24"/>
      <c r="DU64" s="24"/>
      <c r="DV64" s="24"/>
      <c r="DW64" s="24" cm="1">
        <f t="array" ref="DW64">SUMPRODUCT(BQ64:DU64,--(BQ$2:DU$2=DW$2))</f>
        <v>0</v>
      </c>
      <c r="DX64" s="24" cm="1">
        <f t="array" ref="DX64">SUMPRODUCT(BR64:DV64,--(BR$2:DV$2=DX$2))</f>
        <v>0</v>
      </c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  <c r="FC64" s="24"/>
      <c r="FD64" s="24"/>
      <c r="FE64" s="24"/>
      <c r="FF64" s="24"/>
      <c r="FG64" s="24"/>
      <c r="FH64" s="24"/>
      <c r="FI64" s="24"/>
      <c r="FJ64" s="24"/>
      <c r="FK64" s="24"/>
      <c r="FL64" s="24"/>
      <c r="FM64" s="24"/>
      <c r="FN64" s="24"/>
      <c r="FO64" s="24"/>
      <c r="FP64" s="24"/>
      <c r="FQ64" s="24"/>
      <c r="FR64" s="24"/>
      <c r="FS64" s="24"/>
      <c r="FT64" s="24"/>
      <c r="FU64" s="24"/>
      <c r="FV64" s="24"/>
      <c r="FW64" s="24"/>
      <c r="FX64" s="24"/>
      <c r="FY64" s="24"/>
      <c r="FZ64" s="24"/>
      <c r="GA64" s="24"/>
      <c r="GB64" s="24"/>
      <c r="GC64" s="24"/>
      <c r="GD64" s="24"/>
      <c r="GE64" s="24"/>
      <c r="GF64" s="24"/>
      <c r="GG64" s="24"/>
      <c r="GH64" s="24"/>
      <c r="GI64" s="24" cm="1">
        <f t="array" ref="GI64">SUMPRODUCT(DY64:GG64,--(DY$2:GG$2=GI$2))</f>
        <v>0</v>
      </c>
      <c r="GJ64" s="24" cm="1">
        <f t="array" ref="GJ64">SUMPRODUCT(DZ64:GH64,--(DZ$2:GH$2=GJ$2))</f>
        <v>0</v>
      </c>
      <c r="GK64" s="24"/>
      <c r="GL64" s="24"/>
      <c r="GM64" s="24"/>
      <c r="GN64" s="24"/>
      <c r="GO64" s="24"/>
      <c r="GP64" s="24"/>
      <c r="GQ64" s="24"/>
      <c r="GR64" s="24"/>
      <c r="GS64" s="24"/>
      <c r="GT64" s="24"/>
      <c r="GU64" s="24"/>
      <c r="GV64" s="24"/>
      <c r="GW64" s="24"/>
      <c r="GX64" s="24"/>
      <c r="GY64" s="24"/>
      <c r="GZ64" s="24"/>
      <c r="HA64" s="24"/>
      <c r="HB64" s="24"/>
      <c r="HC64" s="24"/>
      <c r="HD64" s="24"/>
      <c r="HE64" s="24"/>
      <c r="HF64" s="24"/>
      <c r="HG64" s="24"/>
      <c r="HH64" s="24"/>
      <c r="HI64" s="24"/>
      <c r="HJ64" s="24"/>
      <c r="HK64" s="24"/>
      <c r="HL64" s="24"/>
      <c r="HM64" s="24"/>
      <c r="HN64" s="24"/>
      <c r="HO64" s="24"/>
      <c r="HP64" s="24"/>
      <c r="HQ64" s="24"/>
      <c r="HR64" s="24"/>
      <c r="HS64" s="24"/>
      <c r="HT64" s="24"/>
      <c r="HU64" s="24"/>
      <c r="HV64" s="24"/>
      <c r="HW64" s="24"/>
      <c r="HX64" s="24"/>
      <c r="HY64" s="24"/>
      <c r="HZ64" s="24"/>
      <c r="IA64" s="24"/>
      <c r="IB64" s="24"/>
      <c r="IC64" s="24"/>
      <c r="ID64" s="24"/>
      <c r="IE64" s="24"/>
      <c r="IF64" s="24"/>
      <c r="IG64" s="24"/>
      <c r="IH64" s="24"/>
      <c r="II64" s="24"/>
      <c r="IJ64" s="24"/>
      <c r="IK64" s="24"/>
      <c r="IL64" s="24"/>
      <c r="IM64" s="24"/>
      <c r="IN64" s="24"/>
      <c r="IO64" s="24"/>
      <c r="IP64" s="24"/>
      <c r="IQ64" s="24"/>
      <c r="IR64" s="24"/>
      <c r="IS64" s="24">
        <f t="shared" si="161"/>
        <v>0</v>
      </c>
      <c r="IT64" s="24">
        <f t="shared" si="162"/>
        <v>0</v>
      </c>
      <c r="IU64" s="24"/>
      <c r="IV64" s="24"/>
      <c r="IW64" s="24"/>
      <c r="IX64" s="24"/>
      <c r="IY64" s="24"/>
      <c r="IZ64" s="24"/>
      <c r="JA64" s="24"/>
      <c r="JB64" s="24"/>
      <c r="JC64" s="24"/>
      <c r="JD64" s="24"/>
      <c r="JE64" s="24"/>
      <c r="JF64" s="24"/>
      <c r="JG64" s="24"/>
      <c r="JH64" s="24"/>
      <c r="JI64" s="24"/>
      <c r="JJ64" s="24"/>
      <c r="JK64" s="24"/>
      <c r="JL64" s="24"/>
      <c r="JM64" s="24"/>
      <c r="JN64" s="24"/>
      <c r="JO64" s="24"/>
      <c r="JP64" s="24"/>
      <c r="JQ64" s="24"/>
      <c r="JR64" s="24"/>
      <c r="JS64" s="24"/>
      <c r="JT64" s="24"/>
      <c r="JU64" s="24"/>
      <c r="JV64" s="24"/>
      <c r="JW64" s="24"/>
      <c r="JX64" s="24"/>
      <c r="JY64" s="24"/>
      <c r="JZ64" s="24"/>
      <c r="KA64" s="24"/>
      <c r="KB64" s="24"/>
      <c r="KC64" s="24"/>
      <c r="KD64" s="24"/>
      <c r="KE64" s="24"/>
      <c r="KF64" s="24"/>
      <c r="KG64" s="24"/>
      <c r="KH64" s="24"/>
      <c r="KI64" s="24"/>
      <c r="KJ64" s="24"/>
      <c r="KK64" s="24"/>
      <c r="KL64" s="24"/>
      <c r="KM64" s="24"/>
      <c r="KN64" s="24"/>
      <c r="KO64" s="24"/>
      <c r="KP64" s="24"/>
      <c r="KQ64" s="24"/>
      <c r="KR64" s="24"/>
      <c r="KS64" s="24"/>
      <c r="KT64" s="24"/>
      <c r="KU64" s="24"/>
      <c r="KV64" s="24"/>
      <c r="KW64" s="24"/>
      <c r="KX64" s="24"/>
      <c r="KY64" s="24"/>
      <c r="KZ64" s="24"/>
      <c r="LA64" s="24"/>
      <c r="LB64" s="24"/>
      <c r="LC64" s="24"/>
      <c r="LD64" s="24"/>
      <c r="LE64" s="24">
        <f t="shared" si="163"/>
        <v>0</v>
      </c>
      <c r="LF64" s="24">
        <f t="shared" si="164"/>
        <v>0</v>
      </c>
      <c r="LG64" s="24"/>
      <c r="LH64" s="24"/>
      <c r="LI64" s="24"/>
      <c r="LJ64" s="24"/>
      <c r="LK64" s="24"/>
      <c r="LL64" s="24"/>
      <c r="LM64" s="24"/>
      <c r="LN64" s="24"/>
      <c r="LO64" s="24"/>
      <c r="LP64" s="24"/>
      <c r="LQ64" s="24"/>
      <c r="LR64" s="24"/>
      <c r="LS64" s="24"/>
      <c r="LT64" s="24"/>
      <c r="LU64" s="24"/>
      <c r="LV64" s="24"/>
      <c r="LW64" s="24"/>
      <c r="LX64" s="24"/>
      <c r="LY64" s="24"/>
      <c r="LZ64" s="24"/>
      <c r="MA64" s="24"/>
      <c r="MB64" s="24"/>
      <c r="MC64" s="24"/>
      <c r="MD64" s="24"/>
      <c r="ME64" s="24"/>
      <c r="MF64" s="24"/>
      <c r="MG64" s="24"/>
      <c r="MH64" s="24"/>
      <c r="MI64" s="24"/>
      <c r="MJ64" s="24"/>
      <c r="MK64" s="24"/>
      <c r="ML64" s="24"/>
      <c r="MM64" s="24"/>
      <c r="MN64" s="24"/>
      <c r="MO64" s="24"/>
      <c r="MP64" s="24"/>
      <c r="MQ64" s="24"/>
      <c r="MR64" s="24"/>
      <c r="MS64" s="24"/>
      <c r="MT64" s="24"/>
      <c r="MU64" s="24"/>
      <c r="MV64" s="24"/>
      <c r="MW64" s="24"/>
      <c r="MX64" s="24"/>
      <c r="MY64" s="24"/>
      <c r="MZ64" s="24"/>
      <c r="NA64" s="24"/>
      <c r="NB64" s="24"/>
      <c r="NC64" s="24"/>
      <c r="ND64" s="24"/>
      <c r="NE64" s="24"/>
      <c r="NF64" s="24"/>
      <c r="NG64" s="24"/>
      <c r="NH64" s="24"/>
      <c r="NI64" s="24"/>
      <c r="NJ64" s="24"/>
      <c r="NK64" s="24"/>
      <c r="NL64" s="24"/>
      <c r="NM64" s="24"/>
      <c r="NN64" s="24"/>
      <c r="NO64" s="24">
        <f t="shared" si="165"/>
        <v>0</v>
      </c>
      <c r="NP64" s="24">
        <f t="shared" si="166"/>
        <v>0</v>
      </c>
      <c r="NQ64" s="24"/>
      <c r="NR64" s="24"/>
      <c r="NS64" s="24"/>
      <c r="NT64" s="24"/>
      <c r="NU64" s="24"/>
      <c r="NV64" s="24"/>
      <c r="NW64" s="24"/>
      <c r="NX64" s="24"/>
      <c r="NY64" s="24"/>
      <c r="NZ64" s="24"/>
      <c r="OA64" s="24"/>
      <c r="OB64" s="24"/>
      <c r="OC64" s="24"/>
      <c r="OD64" s="24"/>
      <c r="OE64" s="24"/>
      <c r="OF64" s="24"/>
      <c r="OG64" s="24"/>
      <c r="OH64" s="24"/>
      <c r="OI64" s="24"/>
      <c r="OJ64" s="24"/>
      <c r="OK64" s="24"/>
      <c r="OL64" s="24"/>
      <c r="OM64" s="24"/>
      <c r="ON64" s="24"/>
      <c r="OO64" s="24"/>
      <c r="OP64" s="24"/>
      <c r="OQ64" s="24"/>
      <c r="OR64" s="24"/>
      <c r="OS64" s="24"/>
      <c r="OT64" s="24"/>
      <c r="OU64" s="24"/>
      <c r="OV64" s="24"/>
      <c r="OW64" s="24"/>
      <c r="OX64" s="24"/>
      <c r="OY64" s="24"/>
      <c r="OZ64" s="24"/>
      <c r="PA64" s="24"/>
      <c r="PB64" s="24"/>
      <c r="PC64" s="24"/>
      <c r="PD64" s="24"/>
      <c r="PE64" s="24"/>
      <c r="PF64" s="24"/>
      <c r="PG64" s="24"/>
      <c r="PH64" s="24"/>
      <c r="PI64" s="24"/>
      <c r="PJ64" s="24"/>
      <c r="PK64" s="24"/>
      <c r="PL64" s="24"/>
      <c r="PM64" s="24"/>
      <c r="PN64" s="24"/>
      <c r="PO64" s="24"/>
      <c r="PP64" s="24"/>
      <c r="PQ64" s="24"/>
      <c r="PR64" s="24"/>
      <c r="PS64" s="24"/>
      <c r="PT64" s="24"/>
      <c r="PU64" s="24"/>
      <c r="PV64" s="24"/>
      <c r="PW64" s="24"/>
      <c r="PX64" s="24"/>
      <c r="PY64" s="24"/>
      <c r="PZ64" s="24"/>
      <c r="QA64" s="24">
        <f t="shared" si="167"/>
        <v>0</v>
      </c>
      <c r="QB64" s="24">
        <f t="shared" si="168"/>
        <v>0</v>
      </c>
      <c r="QC64" s="24"/>
      <c r="QD64" s="24"/>
      <c r="QE64" s="24"/>
      <c r="QF64" s="24"/>
      <c r="QG64" s="24"/>
      <c r="QH64" s="24"/>
      <c r="QI64" s="24"/>
      <c r="QJ64" s="24"/>
      <c r="QK64" s="24"/>
      <c r="QL64" s="24"/>
      <c r="QM64" s="24"/>
      <c r="QN64" s="24"/>
      <c r="QO64" s="24"/>
      <c r="QP64" s="24"/>
      <c r="QQ64" s="24"/>
      <c r="QR64" s="24"/>
      <c r="QS64" s="24"/>
      <c r="QT64" s="24"/>
      <c r="QU64" s="24"/>
      <c r="QV64" s="24"/>
      <c r="QW64" s="24"/>
      <c r="QX64" s="24"/>
      <c r="QY64" s="24"/>
      <c r="QZ64" s="24"/>
      <c r="RA64" s="24"/>
      <c r="RB64" s="24"/>
      <c r="RC64" s="24"/>
      <c r="RD64" s="24"/>
      <c r="RE64" s="24"/>
      <c r="RF64" s="24"/>
      <c r="RG64" s="24"/>
      <c r="RH64" s="24"/>
      <c r="RI64" s="24"/>
      <c r="RJ64" s="24"/>
      <c r="RK64" s="24"/>
      <c r="RL64" s="24"/>
      <c r="RM64" s="24"/>
      <c r="RN64" s="24"/>
      <c r="RO64" s="24"/>
      <c r="RP64" s="24"/>
      <c r="RQ64" s="24"/>
      <c r="RR64" s="24"/>
      <c r="RS64" s="24"/>
      <c r="RT64" s="24"/>
      <c r="RU64" s="24"/>
      <c r="RV64" s="24"/>
      <c r="RW64" s="24"/>
      <c r="RX64" s="24"/>
      <c r="RY64" s="24"/>
      <c r="RZ64" s="24"/>
      <c r="SA64" s="24"/>
      <c r="SB64" s="24"/>
      <c r="SC64" s="24"/>
      <c r="SD64" s="24"/>
      <c r="SE64" s="24"/>
      <c r="SF64" s="24"/>
      <c r="SG64" s="24"/>
      <c r="SH64" s="24"/>
      <c r="SI64" s="24"/>
      <c r="SJ64" s="24"/>
      <c r="SK64" s="24"/>
      <c r="SL64" s="24"/>
      <c r="SM64" s="24">
        <f t="shared" si="169"/>
        <v>0</v>
      </c>
      <c r="SN64" s="24">
        <f t="shared" si="170"/>
        <v>0</v>
      </c>
      <c r="SO64" s="24"/>
      <c r="SP64" s="24"/>
      <c r="SQ64" s="24"/>
      <c r="SR64" s="24"/>
      <c r="SS64" s="24"/>
      <c r="ST64" s="24"/>
      <c r="SU64" s="24"/>
      <c r="SV64" s="24"/>
      <c r="SW64" s="24"/>
      <c r="SX64" s="24"/>
      <c r="SY64" s="24"/>
      <c r="SZ64" s="24"/>
      <c r="TA64" s="24"/>
      <c r="TB64" s="24"/>
      <c r="TC64" s="24"/>
      <c r="TD64" s="24"/>
      <c r="TE64" s="24"/>
      <c r="TF64" s="24"/>
      <c r="TG64" s="24"/>
      <c r="TH64" s="24"/>
      <c r="TI64" s="24"/>
      <c r="TJ64" s="24"/>
      <c r="TK64" s="24"/>
      <c r="TL64" s="24"/>
      <c r="TM64" s="24"/>
      <c r="TN64" s="24"/>
      <c r="TO64" s="24"/>
      <c r="TP64" s="24"/>
      <c r="TQ64" s="24"/>
      <c r="TR64" s="24"/>
      <c r="TS64" s="24"/>
      <c r="TT64" s="24"/>
      <c r="TU64" s="24"/>
      <c r="TV64" s="24"/>
      <c r="TW64" s="24"/>
      <c r="TX64" s="24"/>
      <c r="TY64" s="24"/>
      <c r="TZ64" s="24"/>
      <c r="UA64" s="24"/>
      <c r="UB64" s="24"/>
      <c r="UC64" s="24"/>
      <c r="UD64" s="24"/>
      <c r="UE64" s="24"/>
      <c r="UF64" s="24"/>
      <c r="UG64" s="24"/>
      <c r="UH64" s="24"/>
      <c r="UI64" s="24"/>
      <c r="UJ64" s="24"/>
      <c r="UK64" s="24"/>
      <c r="UL64" s="24"/>
      <c r="UM64" s="24"/>
      <c r="UN64" s="24"/>
      <c r="UO64" s="24"/>
      <c r="UP64" s="24"/>
      <c r="UQ64" s="24"/>
      <c r="UR64" s="24"/>
      <c r="US64" s="24"/>
      <c r="UT64" s="24"/>
      <c r="UU64" s="24"/>
      <c r="UV64" s="24"/>
      <c r="UW64" s="24">
        <f t="shared" si="171"/>
        <v>0</v>
      </c>
      <c r="UX64" s="24">
        <f t="shared" si="172"/>
        <v>0</v>
      </c>
      <c r="UY64" s="24"/>
      <c r="UZ64" s="24"/>
      <c r="VA64" s="24"/>
      <c r="VB64" s="24"/>
      <c r="VC64" s="24"/>
      <c r="VD64" s="24"/>
      <c r="VE64" s="24"/>
      <c r="VF64" s="24"/>
      <c r="VG64" s="24"/>
      <c r="VH64" s="24"/>
      <c r="VI64" s="24"/>
      <c r="VJ64" s="24"/>
      <c r="VK64" s="24"/>
      <c r="VL64" s="24"/>
      <c r="VM64" s="24"/>
      <c r="VN64" s="24"/>
      <c r="VO64" s="24"/>
      <c r="VP64" s="24"/>
      <c r="VQ64" s="24"/>
      <c r="VR64" s="24"/>
      <c r="VS64" s="24"/>
      <c r="VT64" s="24"/>
      <c r="VU64" s="24"/>
      <c r="VV64" s="24"/>
      <c r="VW64" s="24"/>
      <c r="VX64" s="24"/>
      <c r="VY64" s="24"/>
      <c r="VZ64" s="24"/>
      <c r="WA64" s="24"/>
      <c r="WB64" s="24"/>
      <c r="WC64" s="24"/>
      <c r="WD64" s="24"/>
      <c r="WE64" s="24"/>
      <c r="WF64" s="24"/>
      <c r="WG64" s="24"/>
      <c r="WH64" s="24"/>
      <c r="WI64" s="24"/>
      <c r="WJ64" s="24"/>
      <c r="WK64" s="24"/>
      <c r="WL64" s="24"/>
      <c r="WM64" s="24"/>
      <c r="WN64" s="24"/>
      <c r="WO64" s="24"/>
      <c r="WP64" s="24"/>
      <c r="WQ64" s="24"/>
      <c r="WR64" s="24"/>
      <c r="WS64" s="24"/>
      <c r="WT64" s="24"/>
      <c r="WU64" s="24"/>
      <c r="WV64" s="24"/>
      <c r="WW64" s="24"/>
      <c r="WX64" s="24"/>
      <c r="WY64" s="24"/>
      <c r="WZ64" s="24"/>
      <c r="XA64" s="24"/>
      <c r="XB64" s="24"/>
      <c r="XC64" s="24"/>
      <c r="XD64" s="24"/>
      <c r="XE64" s="24"/>
      <c r="XF64" s="24"/>
      <c r="XG64" s="24"/>
      <c r="XH64" s="24"/>
      <c r="XI64" s="24">
        <f t="shared" si="173"/>
        <v>0</v>
      </c>
      <c r="XJ64" s="24">
        <f t="shared" si="174"/>
        <v>0</v>
      </c>
      <c r="XK64" s="24"/>
      <c r="XL64" s="24"/>
      <c r="XM64" s="24"/>
      <c r="XN64" s="24"/>
      <c r="XO64" s="24"/>
      <c r="XP64" s="24"/>
      <c r="XQ64" s="24"/>
      <c r="XR64" s="24"/>
      <c r="XS64" s="24"/>
      <c r="XT64" s="24"/>
      <c r="XU64" s="24"/>
      <c r="XV64" s="24"/>
      <c r="XW64" s="24"/>
      <c r="XX64" s="24"/>
      <c r="XY64" s="24"/>
      <c r="XZ64" s="24"/>
      <c r="YA64" s="24"/>
      <c r="YB64" s="24"/>
      <c r="YC64" s="24"/>
      <c r="YD64" s="24"/>
      <c r="YE64" s="24"/>
      <c r="YF64" s="24"/>
      <c r="YG64" s="24"/>
      <c r="YH64" s="24"/>
      <c r="YI64" s="24"/>
      <c r="YJ64" s="24"/>
      <c r="YK64" s="24"/>
      <c r="YL64" s="24"/>
      <c r="YM64" s="24"/>
      <c r="YN64" s="24"/>
      <c r="YO64" s="24"/>
      <c r="YP64" s="24"/>
      <c r="YQ64" s="24"/>
      <c r="YR64" s="24"/>
      <c r="YS64" s="24"/>
      <c r="YT64" s="24"/>
      <c r="YU64" s="24"/>
      <c r="YV64" s="24"/>
      <c r="YW64" s="24"/>
      <c r="YX64" s="24"/>
      <c r="YY64" s="24"/>
      <c r="YZ64" s="24"/>
      <c r="ZA64" s="24"/>
      <c r="ZB64" s="24"/>
      <c r="ZC64" s="24"/>
      <c r="ZD64" s="24"/>
      <c r="ZE64" s="24"/>
      <c r="ZF64" s="24"/>
      <c r="ZG64" s="24"/>
      <c r="ZH64" s="24"/>
      <c r="ZI64" s="24"/>
      <c r="ZJ64" s="24"/>
      <c r="ZK64" s="24"/>
      <c r="ZL64" s="24"/>
      <c r="ZM64" s="24"/>
      <c r="ZN64" s="24"/>
      <c r="ZO64" s="24"/>
      <c r="ZP64" s="24"/>
      <c r="ZQ64" s="24"/>
      <c r="ZR64" s="24"/>
      <c r="ZS64" s="24">
        <f t="shared" si="175"/>
        <v>0</v>
      </c>
      <c r="ZT64" s="24">
        <f t="shared" si="176"/>
        <v>0</v>
      </c>
      <c r="ZU64" s="24"/>
      <c r="ZV64" s="24"/>
      <c r="ZW64" s="24"/>
      <c r="ZX64" s="24"/>
      <c r="ZY64" s="24"/>
      <c r="ZZ64" s="24"/>
      <c r="AAA64" s="24"/>
      <c r="AAB64" s="24"/>
      <c r="AAC64" s="24"/>
      <c r="AAD64" s="24"/>
      <c r="AAE64" s="24"/>
      <c r="AAF64" s="24"/>
      <c r="AAG64" s="24"/>
      <c r="AAH64" s="24"/>
      <c r="AAI64" s="24"/>
      <c r="AAJ64" s="24"/>
      <c r="AAK64" s="24"/>
      <c r="AAL64" s="24"/>
      <c r="AAM64" s="24"/>
      <c r="AAN64" s="24"/>
      <c r="AAO64" s="24"/>
      <c r="AAP64" s="24"/>
      <c r="AAQ64" s="24"/>
      <c r="AAR64" s="24"/>
      <c r="AAS64" s="24"/>
      <c r="AAT64" s="24"/>
      <c r="AAU64" s="24"/>
      <c r="AAV64" s="24"/>
      <c r="AAW64" s="24"/>
      <c r="AAX64" s="24"/>
      <c r="AAY64" s="24"/>
      <c r="AAZ64" s="24"/>
      <c r="ABA64" s="24"/>
      <c r="ABB64" s="24"/>
      <c r="ABC64" s="24"/>
      <c r="ABD64" s="24"/>
      <c r="ABE64" s="24"/>
      <c r="ABF64" s="24"/>
      <c r="ABG64" s="24"/>
      <c r="ABH64" s="24"/>
      <c r="ABI64" s="24"/>
      <c r="ABJ64" s="24"/>
      <c r="ABK64" s="24"/>
      <c r="ABL64" s="24"/>
      <c r="ABM64" s="24"/>
      <c r="ABN64" s="24"/>
      <c r="ABO64" s="24"/>
      <c r="ABP64" s="24"/>
      <c r="ABQ64" s="24"/>
      <c r="ABR64" s="24"/>
      <c r="ABS64" s="24"/>
      <c r="ABT64" s="24"/>
      <c r="ABU64" s="24"/>
      <c r="ABV64" s="24"/>
      <c r="ABW64" s="24"/>
      <c r="ABX64" s="24"/>
      <c r="ABY64" s="24"/>
      <c r="ABZ64" s="24"/>
      <c r="ACA64" s="24"/>
      <c r="ACB64" s="24"/>
      <c r="ACC64" s="24"/>
      <c r="ACD64" s="24"/>
      <c r="ACE64" s="24">
        <f t="shared" si="177"/>
        <v>0</v>
      </c>
      <c r="ACF64" s="24"/>
      <c r="ACG64" s="24">
        <f t="shared" si="178"/>
        <v>0</v>
      </c>
      <c r="ACH64" s="25"/>
      <c r="ACI64" s="71" t="s">
        <v>168</v>
      </c>
      <c r="ACJ64" s="71" t="s">
        <v>91</v>
      </c>
    </row>
    <row r="65" spans="1:764" x14ac:dyDescent="0.25">
      <c r="A65" s="162"/>
      <c r="B65" s="152"/>
      <c r="C65" s="155"/>
      <c r="D65" s="50" t="s">
        <v>4</v>
      </c>
      <c r="E65" s="74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24" cm="1">
        <f t="array" ref="BO65">SUMPRODUCT(E65:BM65,--(E$2:BM$2=BO$2))</f>
        <v>0</v>
      </c>
      <c r="BP65" s="24" cm="1">
        <f t="array" ref="BP65">SUMPRODUCT(F65:BN65,--(F$2:BN$2=BP$2))</f>
        <v>0</v>
      </c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4"/>
      <c r="DA65" s="24"/>
      <c r="DB65" s="24"/>
      <c r="DC65" s="24"/>
      <c r="DD65" s="24"/>
      <c r="DE65" s="24"/>
      <c r="DF65" s="24"/>
      <c r="DG65" s="24"/>
      <c r="DH65" s="24"/>
      <c r="DI65" s="24"/>
      <c r="DJ65" s="24"/>
      <c r="DK65" s="24"/>
      <c r="DL65" s="24"/>
      <c r="DM65" s="24"/>
      <c r="DN65" s="24"/>
      <c r="DO65" s="24"/>
      <c r="DP65" s="24"/>
      <c r="DQ65" s="24"/>
      <c r="DR65" s="24"/>
      <c r="DS65" s="24"/>
      <c r="DT65" s="24"/>
      <c r="DU65" s="24"/>
      <c r="DV65" s="24"/>
      <c r="DW65" s="24" cm="1">
        <f t="array" ref="DW65">SUMPRODUCT(BQ65:DU65,--(BQ$2:DU$2=DW$2))</f>
        <v>0</v>
      </c>
      <c r="DX65" s="24" cm="1">
        <f t="array" ref="DX65">SUMPRODUCT(BR65:DV65,--(BR$2:DV$2=DX$2))</f>
        <v>0</v>
      </c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  <c r="ES65" s="24"/>
      <c r="ET65" s="24"/>
      <c r="EU65" s="24"/>
      <c r="EV65" s="24"/>
      <c r="EW65" s="24"/>
      <c r="EX65" s="24"/>
      <c r="EY65" s="24"/>
      <c r="EZ65" s="24"/>
      <c r="FA65" s="24"/>
      <c r="FB65" s="24"/>
      <c r="FC65" s="24"/>
      <c r="FD65" s="24"/>
      <c r="FE65" s="24"/>
      <c r="FF65" s="24"/>
      <c r="FG65" s="24"/>
      <c r="FH65" s="24"/>
      <c r="FI65" s="24"/>
      <c r="FJ65" s="24"/>
      <c r="FK65" s="24"/>
      <c r="FL65" s="24"/>
      <c r="FM65" s="24"/>
      <c r="FN65" s="24"/>
      <c r="FO65" s="24"/>
      <c r="FP65" s="24"/>
      <c r="FQ65" s="24"/>
      <c r="FR65" s="24"/>
      <c r="FS65" s="24"/>
      <c r="FT65" s="24"/>
      <c r="FU65" s="24"/>
      <c r="FV65" s="24"/>
      <c r="FW65" s="24"/>
      <c r="FX65" s="24"/>
      <c r="FY65" s="24"/>
      <c r="FZ65" s="24"/>
      <c r="GA65" s="24"/>
      <c r="GB65" s="24"/>
      <c r="GC65" s="24"/>
      <c r="GD65" s="24"/>
      <c r="GE65" s="24"/>
      <c r="GF65" s="24"/>
      <c r="GG65" s="24"/>
      <c r="GH65" s="24"/>
      <c r="GI65" s="24" cm="1">
        <f t="array" ref="GI65">SUMPRODUCT(DY65:GG65,--(DY$2:GG$2=GI$2))</f>
        <v>0</v>
      </c>
      <c r="GJ65" s="24" cm="1">
        <f t="array" ref="GJ65">SUMPRODUCT(DZ65:GH65,--(DZ$2:GH$2=GJ$2))</f>
        <v>0</v>
      </c>
      <c r="GK65" s="24"/>
      <c r="GL65" s="24"/>
      <c r="GM65" s="24"/>
      <c r="GN65" s="24"/>
      <c r="GO65" s="24"/>
      <c r="GP65" s="24"/>
      <c r="GQ65" s="24"/>
      <c r="GR65" s="24"/>
      <c r="GS65" s="24"/>
      <c r="GT65" s="24"/>
      <c r="GU65" s="24"/>
      <c r="GV65" s="24"/>
      <c r="GW65" s="24"/>
      <c r="GX65" s="24"/>
      <c r="GY65" s="24"/>
      <c r="GZ65" s="24"/>
      <c r="HA65" s="24"/>
      <c r="HB65" s="24"/>
      <c r="HC65" s="24"/>
      <c r="HD65" s="24"/>
      <c r="HE65" s="24"/>
      <c r="HF65" s="24"/>
      <c r="HG65" s="24"/>
      <c r="HH65" s="24"/>
      <c r="HI65" s="24"/>
      <c r="HJ65" s="24"/>
      <c r="HK65" s="24"/>
      <c r="HL65" s="24"/>
      <c r="HM65" s="24"/>
      <c r="HN65" s="24"/>
      <c r="HO65" s="24"/>
      <c r="HP65" s="24"/>
      <c r="HQ65" s="24"/>
      <c r="HR65" s="24"/>
      <c r="HS65" s="24"/>
      <c r="HT65" s="24"/>
      <c r="HU65" s="24"/>
      <c r="HV65" s="24"/>
      <c r="HW65" s="24"/>
      <c r="HX65" s="24"/>
      <c r="HY65" s="24"/>
      <c r="HZ65" s="24"/>
      <c r="IA65" s="24"/>
      <c r="IB65" s="24"/>
      <c r="IC65" s="24"/>
      <c r="ID65" s="24"/>
      <c r="IE65" s="24"/>
      <c r="IF65" s="24"/>
      <c r="IG65" s="24"/>
      <c r="IH65" s="24"/>
      <c r="II65" s="24"/>
      <c r="IJ65" s="24"/>
      <c r="IK65" s="24"/>
      <c r="IL65" s="24"/>
      <c r="IM65" s="24"/>
      <c r="IN65" s="24"/>
      <c r="IO65" s="24"/>
      <c r="IP65" s="24"/>
      <c r="IQ65" s="24"/>
      <c r="IR65" s="24"/>
      <c r="IS65" s="24">
        <f t="shared" si="161"/>
        <v>0</v>
      </c>
      <c r="IT65" s="24">
        <f t="shared" si="162"/>
        <v>0</v>
      </c>
      <c r="IU65" s="24"/>
      <c r="IV65" s="24"/>
      <c r="IW65" s="24"/>
      <c r="IX65" s="24"/>
      <c r="IY65" s="24"/>
      <c r="IZ65" s="24"/>
      <c r="JA65" s="24"/>
      <c r="JB65" s="24"/>
      <c r="JC65" s="24"/>
      <c r="JD65" s="24"/>
      <c r="JE65" s="24"/>
      <c r="JF65" s="24"/>
      <c r="JG65" s="24"/>
      <c r="JH65" s="24"/>
      <c r="JI65" s="24"/>
      <c r="JJ65" s="24"/>
      <c r="JK65" s="24"/>
      <c r="JL65" s="24"/>
      <c r="JM65" s="24"/>
      <c r="JN65" s="24"/>
      <c r="JO65" s="24"/>
      <c r="JP65" s="24"/>
      <c r="JQ65" s="24"/>
      <c r="JR65" s="24"/>
      <c r="JS65" s="24"/>
      <c r="JT65" s="24"/>
      <c r="JU65" s="24"/>
      <c r="JV65" s="24"/>
      <c r="JW65" s="24"/>
      <c r="JX65" s="24"/>
      <c r="JY65" s="24"/>
      <c r="JZ65" s="24"/>
      <c r="KA65" s="24"/>
      <c r="KB65" s="24"/>
      <c r="KC65" s="24"/>
      <c r="KD65" s="24"/>
      <c r="KE65" s="24"/>
      <c r="KF65" s="24"/>
      <c r="KG65" s="24"/>
      <c r="KH65" s="24"/>
      <c r="KI65" s="24"/>
      <c r="KJ65" s="24"/>
      <c r="KK65" s="24"/>
      <c r="KL65" s="24"/>
      <c r="KM65" s="24"/>
      <c r="KN65" s="24"/>
      <c r="KO65" s="24"/>
      <c r="KP65" s="24"/>
      <c r="KQ65" s="24"/>
      <c r="KR65" s="24"/>
      <c r="KS65" s="24"/>
      <c r="KT65" s="24"/>
      <c r="KU65" s="24"/>
      <c r="KV65" s="24"/>
      <c r="KW65" s="24"/>
      <c r="KX65" s="24"/>
      <c r="KY65" s="24"/>
      <c r="KZ65" s="24"/>
      <c r="LA65" s="24"/>
      <c r="LB65" s="24"/>
      <c r="LC65" s="24"/>
      <c r="LD65" s="24"/>
      <c r="LE65" s="24">
        <f t="shared" si="163"/>
        <v>0</v>
      </c>
      <c r="LF65" s="24">
        <f t="shared" si="164"/>
        <v>0</v>
      </c>
      <c r="LG65" s="24"/>
      <c r="LH65" s="24"/>
      <c r="LI65" s="24"/>
      <c r="LJ65" s="24"/>
      <c r="LK65" s="24"/>
      <c r="LL65" s="24"/>
      <c r="LM65" s="24"/>
      <c r="LN65" s="24"/>
      <c r="LO65" s="24"/>
      <c r="LP65" s="24"/>
      <c r="LQ65" s="24"/>
      <c r="LR65" s="24"/>
      <c r="LS65" s="24"/>
      <c r="LT65" s="24"/>
      <c r="LU65" s="24"/>
      <c r="LV65" s="24"/>
      <c r="LW65" s="24"/>
      <c r="LX65" s="24"/>
      <c r="LY65" s="24"/>
      <c r="LZ65" s="24"/>
      <c r="MA65" s="24"/>
      <c r="MB65" s="24"/>
      <c r="MC65" s="24"/>
      <c r="MD65" s="24"/>
      <c r="ME65" s="24"/>
      <c r="MF65" s="24"/>
      <c r="MG65" s="24"/>
      <c r="MH65" s="24"/>
      <c r="MI65" s="24"/>
      <c r="MJ65" s="24"/>
      <c r="MK65" s="24"/>
      <c r="ML65" s="24"/>
      <c r="MM65" s="24"/>
      <c r="MN65" s="24"/>
      <c r="MO65" s="24"/>
      <c r="MP65" s="24"/>
      <c r="MQ65" s="24"/>
      <c r="MR65" s="24"/>
      <c r="MS65" s="24"/>
      <c r="MT65" s="24"/>
      <c r="MU65" s="24"/>
      <c r="MV65" s="24"/>
      <c r="MW65" s="24"/>
      <c r="MX65" s="24"/>
      <c r="MY65" s="24"/>
      <c r="MZ65" s="24"/>
      <c r="NA65" s="24"/>
      <c r="NB65" s="24"/>
      <c r="NC65" s="24"/>
      <c r="ND65" s="24"/>
      <c r="NE65" s="24"/>
      <c r="NF65" s="24"/>
      <c r="NG65" s="24"/>
      <c r="NH65" s="24"/>
      <c r="NI65" s="24"/>
      <c r="NJ65" s="24"/>
      <c r="NK65" s="24"/>
      <c r="NL65" s="24"/>
      <c r="NM65" s="24"/>
      <c r="NN65" s="24"/>
      <c r="NO65" s="24">
        <f t="shared" si="165"/>
        <v>0</v>
      </c>
      <c r="NP65" s="24">
        <f t="shared" si="166"/>
        <v>0</v>
      </c>
      <c r="NQ65" s="24"/>
      <c r="NR65" s="24"/>
      <c r="NS65" s="24"/>
      <c r="NT65" s="24"/>
      <c r="NU65" s="24"/>
      <c r="NV65" s="24"/>
      <c r="NW65" s="24"/>
      <c r="NX65" s="24"/>
      <c r="NY65" s="24"/>
      <c r="NZ65" s="24"/>
      <c r="OA65" s="24"/>
      <c r="OB65" s="24"/>
      <c r="OC65" s="24"/>
      <c r="OD65" s="24"/>
      <c r="OE65" s="24"/>
      <c r="OF65" s="24"/>
      <c r="OG65" s="24"/>
      <c r="OH65" s="24"/>
      <c r="OI65" s="24"/>
      <c r="OJ65" s="24"/>
      <c r="OK65" s="24"/>
      <c r="OL65" s="24"/>
      <c r="OM65" s="24"/>
      <c r="ON65" s="24"/>
      <c r="OO65" s="24"/>
      <c r="OP65" s="24"/>
      <c r="OQ65" s="24"/>
      <c r="OR65" s="24"/>
      <c r="OS65" s="24"/>
      <c r="OT65" s="24"/>
      <c r="OU65" s="24"/>
      <c r="OV65" s="24"/>
      <c r="OW65" s="24"/>
      <c r="OX65" s="24"/>
      <c r="OY65" s="24"/>
      <c r="OZ65" s="24"/>
      <c r="PA65" s="24"/>
      <c r="PB65" s="24"/>
      <c r="PC65" s="24"/>
      <c r="PD65" s="24"/>
      <c r="PE65" s="24"/>
      <c r="PF65" s="24"/>
      <c r="PG65" s="24"/>
      <c r="PH65" s="24"/>
      <c r="PI65" s="24"/>
      <c r="PJ65" s="24"/>
      <c r="PK65" s="24"/>
      <c r="PL65" s="24"/>
      <c r="PM65" s="24"/>
      <c r="PN65" s="24"/>
      <c r="PO65" s="24"/>
      <c r="PP65" s="24"/>
      <c r="PQ65" s="24"/>
      <c r="PR65" s="24"/>
      <c r="PS65" s="24"/>
      <c r="PT65" s="24"/>
      <c r="PU65" s="24"/>
      <c r="PV65" s="24"/>
      <c r="PW65" s="24"/>
      <c r="PX65" s="24"/>
      <c r="PY65" s="24"/>
      <c r="PZ65" s="24"/>
      <c r="QA65" s="24">
        <f t="shared" si="167"/>
        <v>0</v>
      </c>
      <c r="QB65" s="24">
        <f t="shared" si="168"/>
        <v>0</v>
      </c>
      <c r="QC65" s="24"/>
      <c r="QD65" s="24"/>
      <c r="QE65" s="24"/>
      <c r="QF65" s="24"/>
      <c r="QG65" s="24"/>
      <c r="QH65" s="24"/>
      <c r="QI65" s="24"/>
      <c r="QJ65" s="24"/>
      <c r="QK65" s="24"/>
      <c r="QL65" s="24"/>
      <c r="QM65" s="24"/>
      <c r="QN65" s="24"/>
      <c r="QO65" s="24"/>
      <c r="QP65" s="24"/>
      <c r="QQ65" s="24"/>
      <c r="QR65" s="24"/>
      <c r="QS65" s="24"/>
      <c r="QT65" s="24"/>
      <c r="QU65" s="24"/>
      <c r="QV65" s="24"/>
      <c r="QW65" s="24"/>
      <c r="QX65" s="24"/>
      <c r="QY65" s="24"/>
      <c r="QZ65" s="24"/>
      <c r="RA65" s="24"/>
      <c r="RB65" s="24"/>
      <c r="RC65" s="24"/>
      <c r="RD65" s="24"/>
      <c r="RE65" s="24"/>
      <c r="RF65" s="24"/>
      <c r="RG65" s="24"/>
      <c r="RH65" s="24"/>
      <c r="RI65" s="24"/>
      <c r="RJ65" s="24"/>
      <c r="RK65" s="24"/>
      <c r="RL65" s="24"/>
      <c r="RM65" s="24"/>
      <c r="RN65" s="24"/>
      <c r="RO65" s="24"/>
      <c r="RP65" s="24"/>
      <c r="RQ65" s="24"/>
      <c r="RR65" s="24"/>
      <c r="RS65" s="24"/>
      <c r="RT65" s="24"/>
      <c r="RU65" s="24"/>
      <c r="RV65" s="24"/>
      <c r="RW65" s="24"/>
      <c r="RX65" s="24"/>
      <c r="RY65" s="24"/>
      <c r="RZ65" s="24"/>
      <c r="SA65" s="24"/>
      <c r="SB65" s="24"/>
      <c r="SC65" s="24"/>
      <c r="SD65" s="24"/>
      <c r="SE65" s="24"/>
      <c r="SF65" s="24"/>
      <c r="SG65" s="24"/>
      <c r="SH65" s="24"/>
      <c r="SI65" s="24"/>
      <c r="SJ65" s="24"/>
      <c r="SK65" s="24"/>
      <c r="SL65" s="24"/>
      <c r="SM65" s="24">
        <f t="shared" si="169"/>
        <v>0</v>
      </c>
      <c r="SN65" s="24">
        <f t="shared" si="170"/>
        <v>0</v>
      </c>
      <c r="SO65" s="24"/>
      <c r="SP65" s="24"/>
      <c r="SQ65" s="24"/>
      <c r="SR65" s="24"/>
      <c r="SS65" s="24"/>
      <c r="ST65" s="24"/>
      <c r="SU65" s="24"/>
      <c r="SV65" s="24"/>
      <c r="SW65" s="24"/>
      <c r="SX65" s="24"/>
      <c r="SY65" s="24"/>
      <c r="SZ65" s="24"/>
      <c r="TA65" s="24"/>
      <c r="TB65" s="24"/>
      <c r="TC65" s="24"/>
      <c r="TD65" s="24"/>
      <c r="TE65" s="24"/>
      <c r="TF65" s="24"/>
      <c r="TG65" s="24"/>
      <c r="TH65" s="24"/>
      <c r="TI65" s="24"/>
      <c r="TJ65" s="24"/>
      <c r="TK65" s="24"/>
      <c r="TL65" s="24"/>
      <c r="TM65" s="24"/>
      <c r="TN65" s="24"/>
      <c r="TO65" s="24"/>
      <c r="TP65" s="24"/>
      <c r="TQ65" s="24"/>
      <c r="TR65" s="24"/>
      <c r="TS65" s="24"/>
      <c r="TT65" s="24"/>
      <c r="TU65" s="24"/>
      <c r="TV65" s="24"/>
      <c r="TW65" s="24"/>
      <c r="TX65" s="24"/>
      <c r="TY65" s="24"/>
      <c r="TZ65" s="24"/>
      <c r="UA65" s="24"/>
      <c r="UB65" s="24"/>
      <c r="UC65" s="24"/>
      <c r="UD65" s="24"/>
      <c r="UE65" s="24"/>
      <c r="UF65" s="24"/>
      <c r="UG65" s="24"/>
      <c r="UH65" s="24"/>
      <c r="UI65" s="24"/>
      <c r="UJ65" s="24"/>
      <c r="UK65" s="24"/>
      <c r="UL65" s="24"/>
      <c r="UM65" s="24"/>
      <c r="UN65" s="24"/>
      <c r="UO65" s="24"/>
      <c r="UP65" s="24"/>
      <c r="UQ65" s="24"/>
      <c r="UR65" s="24"/>
      <c r="US65" s="24"/>
      <c r="UT65" s="24"/>
      <c r="UU65" s="24"/>
      <c r="UV65" s="24"/>
      <c r="UW65" s="24">
        <f t="shared" si="171"/>
        <v>0</v>
      </c>
      <c r="UX65" s="24">
        <f t="shared" si="172"/>
        <v>0</v>
      </c>
      <c r="UY65" s="24"/>
      <c r="UZ65" s="24"/>
      <c r="VA65" s="24"/>
      <c r="VB65" s="24"/>
      <c r="VC65" s="24"/>
      <c r="VD65" s="24"/>
      <c r="VE65" s="24"/>
      <c r="VF65" s="24"/>
      <c r="VG65" s="24"/>
      <c r="VH65" s="24"/>
      <c r="VI65" s="24"/>
      <c r="VJ65" s="24"/>
      <c r="VK65" s="24"/>
      <c r="VL65" s="24"/>
      <c r="VM65" s="24"/>
      <c r="VN65" s="24"/>
      <c r="VO65" s="24"/>
      <c r="VP65" s="24"/>
      <c r="VQ65" s="24"/>
      <c r="VR65" s="24"/>
      <c r="VS65" s="24"/>
      <c r="VT65" s="24"/>
      <c r="VU65" s="24"/>
      <c r="VV65" s="24"/>
      <c r="VW65" s="24"/>
      <c r="VX65" s="24"/>
      <c r="VY65" s="24"/>
      <c r="VZ65" s="24"/>
      <c r="WA65" s="24"/>
      <c r="WB65" s="24"/>
      <c r="WC65" s="24"/>
      <c r="WD65" s="24"/>
      <c r="WE65" s="24"/>
      <c r="WF65" s="24"/>
      <c r="WG65" s="24"/>
      <c r="WH65" s="24"/>
      <c r="WI65" s="24"/>
      <c r="WJ65" s="24"/>
      <c r="WK65" s="24"/>
      <c r="WL65" s="24"/>
      <c r="WM65" s="24"/>
      <c r="WN65" s="24"/>
      <c r="WO65" s="24"/>
      <c r="WP65" s="24"/>
      <c r="WQ65" s="24"/>
      <c r="WR65" s="24"/>
      <c r="WS65" s="24"/>
      <c r="WT65" s="24"/>
      <c r="WU65" s="24"/>
      <c r="WV65" s="24"/>
      <c r="WW65" s="24"/>
      <c r="WX65" s="24"/>
      <c r="WY65" s="24"/>
      <c r="WZ65" s="24"/>
      <c r="XA65" s="24"/>
      <c r="XB65" s="24"/>
      <c r="XC65" s="24"/>
      <c r="XD65" s="24"/>
      <c r="XE65" s="24"/>
      <c r="XF65" s="24"/>
      <c r="XG65" s="24"/>
      <c r="XH65" s="24"/>
      <c r="XI65" s="24">
        <f t="shared" si="173"/>
        <v>0</v>
      </c>
      <c r="XJ65" s="24">
        <f t="shared" si="174"/>
        <v>0</v>
      </c>
      <c r="XK65" s="24"/>
      <c r="XL65" s="24"/>
      <c r="XM65" s="24"/>
      <c r="XN65" s="24"/>
      <c r="XO65" s="24"/>
      <c r="XP65" s="24"/>
      <c r="XQ65" s="24"/>
      <c r="XR65" s="24"/>
      <c r="XS65" s="24"/>
      <c r="XT65" s="24"/>
      <c r="XU65" s="24"/>
      <c r="XV65" s="24"/>
      <c r="XW65" s="24"/>
      <c r="XX65" s="24"/>
      <c r="XY65" s="24"/>
      <c r="XZ65" s="24"/>
      <c r="YA65" s="24"/>
      <c r="YB65" s="24"/>
      <c r="YC65" s="24"/>
      <c r="YD65" s="24"/>
      <c r="YE65" s="24"/>
      <c r="YF65" s="24"/>
      <c r="YG65" s="24"/>
      <c r="YH65" s="24"/>
      <c r="YI65" s="24"/>
      <c r="YJ65" s="24"/>
      <c r="YK65" s="24"/>
      <c r="YL65" s="24"/>
      <c r="YM65" s="24"/>
      <c r="YN65" s="24"/>
      <c r="YO65" s="24"/>
      <c r="YP65" s="24"/>
      <c r="YQ65" s="24"/>
      <c r="YR65" s="24"/>
      <c r="YS65" s="24"/>
      <c r="YT65" s="24"/>
      <c r="YU65" s="24"/>
      <c r="YV65" s="24"/>
      <c r="YW65" s="24"/>
      <c r="YX65" s="24"/>
      <c r="YY65" s="24"/>
      <c r="YZ65" s="24"/>
      <c r="ZA65" s="24"/>
      <c r="ZB65" s="24"/>
      <c r="ZC65" s="24"/>
      <c r="ZD65" s="24"/>
      <c r="ZE65" s="24"/>
      <c r="ZF65" s="24"/>
      <c r="ZG65" s="24"/>
      <c r="ZH65" s="24"/>
      <c r="ZI65" s="24"/>
      <c r="ZJ65" s="24"/>
      <c r="ZK65" s="24"/>
      <c r="ZL65" s="24"/>
      <c r="ZM65" s="24"/>
      <c r="ZN65" s="24"/>
      <c r="ZO65" s="24"/>
      <c r="ZP65" s="24"/>
      <c r="ZQ65" s="24"/>
      <c r="ZR65" s="24"/>
      <c r="ZS65" s="24">
        <f t="shared" si="175"/>
        <v>0</v>
      </c>
      <c r="ZT65" s="24">
        <f t="shared" si="176"/>
        <v>0</v>
      </c>
      <c r="ZU65" s="24"/>
      <c r="ZV65" s="24"/>
      <c r="ZW65" s="24"/>
      <c r="ZX65" s="24"/>
      <c r="ZY65" s="24"/>
      <c r="ZZ65" s="24"/>
      <c r="AAA65" s="24"/>
      <c r="AAB65" s="24"/>
      <c r="AAC65" s="24"/>
      <c r="AAD65" s="24"/>
      <c r="AAE65" s="24"/>
      <c r="AAF65" s="24"/>
      <c r="AAG65" s="24"/>
      <c r="AAH65" s="24"/>
      <c r="AAI65" s="24"/>
      <c r="AAJ65" s="24"/>
      <c r="AAK65" s="24"/>
      <c r="AAL65" s="24"/>
      <c r="AAM65" s="24"/>
      <c r="AAN65" s="24"/>
      <c r="AAO65" s="24"/>
      <c r="AAP65" s="24"/>
      <c r="AAQ65" s="24"/>
      <c r="AAR65" s="24"/>
      <c r="AAS65" s="24"/>
      <c r="AAT65" s="24"/>
      <c r="AAU65" s="24"/>
      <c r="AAV65" s="24"/>
      <c r="AAW65" s="24"/>
      <c r="AAX65" s="24"/>
      <c r="AAY65" s="24"/>
      <c r="AAZ65" s="24"/>
      <c r="ABA65" s="24"/>
      <c r="ABB65" s="24"/>
      <c r="ABC65" s="24"/>
      <c r="ABD65" s="24"/>
      <c r="ABE65" s="24"/>
      <c r="ABF65" s="24"/>
      <c r="ABG65" s="24"/>
      <c r="ABH65" s="24"/>
      <c r="ABI65" s="24"/>
      <c r="ABJ65" s="24"/>
      <c r="ABK65" s="24"/>
      <c r="ABL65" s="24"/>
      <c r="ABM65" s="24"/>
      <c r="ABN65" s="24"/>
      <c r="ABO65" s="24"/>
      <c r="ABP65" s="24"/>
      <c r="ABQ65" s="24"/>
      <c r="ABR65" s="24"/>
      <c r="ABS65" s="24"/>
      <c r="ABT65" s="24"/>
      <c r="ABU65" s="24"/>
      <c r="ABV65" s="24"/>
      <c r="ABW65" s="24"/>
      <c r="ABX65" s="24"/>
      <c r="ABY65" s="24"/>
      <c r="ABZ65" s="24"/>
      <c r="ACA65" s="24"/>
      <c r="ACB65" s="24"/>
      <c r="ACC65" s="24"/>
      <c r="ACD65" s="24"/>
      <c r="ACE65" s="24">
        <f t="shared" si="177"/>
        <v>0</v>
      </c>
      <c r="ACF65" s="24"/>
      <c r="ACG65" s="24">
        <f t="shared" si="178"/>
        <v>0</v>
      </c>
      <c r="ACH65" s="25"/>
      <c r="ACI65" s="71" t="s">
        <v>169</v>
      </c>
      <c r="ACJ65" s="71" t="s">
        <v>91</v>
      </c>
    </row>
    <row r="66" spans="1:764" x14ac:dyDescent="0.25">
      <c r="A66" s="162"/>
      <c r="B66" s="152"/>
      <c r="C66" s="155"/>
      <c r="D66" s="50" t="s">
        <v>8</v>
      </c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24" cm="1">
        <f t="array" ref="BO66">SUMPRODUCT(E66:BM66,--(E$2:BM$2=BO$2))</f>
        <v>0</v>
      </c>
      <c r="BP66" s="24" cm="1">
        <f t="array" ref="BP66">SUMPRODUCT(F66:BN66,--(F$2:BN$2=BP$2))</f>
        <v>0</v>
      </c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 cm="1">
        <f t="array" ref="DW66">SUMPRODUCT(BQ66:DU66,--(BQ$2:DU$2=DW$2))</f>
        <v>0</v>
      </c>
      <c r="DX66" s="24" cm="1">
        <f t="array" ref="DX66">SUMPRODUCT(BR66:DV66,--(BR$2:DV$2=DX$2))</f>
        <v>0</v>
      </c>
      <c r="DY66" s="24"/>
      <c r="DZ66" s="24"/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  <c r="FC66" s="24"/>
      <c r="FD66" s="24"/>
      <c r="FE66" s="24"/>
      <c r="FF66" s="24"/>
      <c r="FG66" s="24"/>
      <c r="FH66" s="24"/>
      <c r="FI66" s="24"/>
      <c r="FJ66" s="24"/>
      <c r="FK66" s="24"/>
      <c r="FL66" s="24"/>
      <c r="FM66" s="24"/>
      <c r="FN66" s="24"/>
      <c r="FO66" s="24"/>
      <c r="FP66" s="24"/>
      <c r="FQ66" s="24"/>
      <c r="FR66" s="24"/>
      <c r="FS66" s="24"/>
      <c r="FT66" s="24"/>
      <c r="FU66" s="24"/>
      <c r="FV66" s="24"/>
      <c r="FW66" s="24"/>
      <c r="FX66" s="24"/>
      <c r="FY66" s="24"/>
      <c r="FZ66" s="24"/>
      <c r="GA66" s="24"/>
      <c r="GB66" s="24"/>
      <c r="GC66" s="24"/>
      <c r="GD66" s="24"/>
      <c r="GE66" s="24"/>
      <c r="GF66" s="24"/>
      <c r="GG66" s="24"/>
      <c r="GH66" s="24"/>
      <c r="GI66" s="24" cm="1">
        <f t="array" ref="GI66">SUMPRODUCT(DY66:GG66,--(DY$2:GG$2=GI$2))</f>
        <v>0</v>
      </c>
      <c r="GJ66" s="24" cm="1">
        <f t="array" ref="GJ66">SUMPRODUCT(DZ66:GH66,--(DZ$2:GH$2=GJ$2))</f>
        <v>0</v>
      </c>
      <c r="GK66" s="24"/>
      <c r="GL66" s="24"/>
      <c r="GM66" s="24"/>
      <c r="GN66" s="24"/>
      <c r="GO66" s="24"/>
      <c r="GP66" s="24"/>
      <c r="GQ66" s="24"/>
      <c r="GR66" s="24"/>
      <c r="GS66" s="24"/>
      <c r="GT66" s="24"/>
      <c r="GU66" s="24"/>
      <c r="GV66" s="24"/>
      <c r="GW66" s="24"/>
      <c r="GX66" s="24"/>
      <c r="GY66" s="24"/>
      <c r="GZ66" s="24"/>
      <c r="HA66" s="24"/>
      <c r="HB66" s="24"/>
      <c r="HC66" s="24"/>
      <c r="HD66" s="24"/>
      <c r="HE66" s="24"/>
      <c r="HF66" s="24"/>
      <c r="HG66" s="24"/>
      <c r="HH66" s="24"/>
      <c r="HI66" s="24"/>
      <c r="HJ66" s="24"/>
      <c r="HK66" s="24"/>
      <c r="HL66" s="24"/>
      <c r="HM66" s="24"/>
      <c r="HN66" s="24"/>
      <c r="HO66" s="24"/>
      <c r="HP66" s="24"/>
      <c r="HQ66" s="24"/>
      <c r="HR66" s="24"/>
      <c r="HS66" s="24"/>
      <c r="HT66" s="24"/>
      <c r="HU66" s="24"/>
      <c r="HV66" s="24"/>
      <c r="HW66" s="24"/>
      <c r="HX66" s="24"/>
      <c r="HY66" s="24"/>
      <c r="HZ66" s="24"/>
      <c r="IA66" s="24"/>
      <c r="IB66" s="24"/>
      <c r="IC66" s="24"/>
      <c r="ID66" s="24"/>
      <c r="IE66" s="24"/>
      <c r="IF66" s="24"/>
      <c r="IG66" s="24"/>
      <c r="IH66" s="24"/>
      <c r="II66" s="24"/>
      <c r="IJ66" s="24"/>
      <c r="IK66" s="24"/>
      <c r="IL66" s="24"/>
      <c r="IM66" s="24"/>
      <c r="IN66" s="24"/>
      <c r="IO66" s="24"/>
      <c r="IP66" s="24"/>
      <c r="IQ66" s="24"/>
      <c r="IR66" s="24"/>
      <c r="IS66" s="24">
        <f t="shared" si="161"/>
        <v>0</v>
      </c>
      <c r="IT66" s="24">
        <f t="shared" si="162"/>
        <v>0</v>
      </c>
      <c r="IU66" s="24"/>
      <c r="IV66" s="24"/>
      <c r="IW66" s="24"/>
      <c r="IX66" s="24"/>
      <c r="IY66" s="24"/>
      <c r="IZ66" s="24"/>
      <c r="JA66" s="24"/>
      <c r="JB66" s="24"/>
      <c r="JC66" s="24"/>
      <c r="JD66" s="24"/>
      <c r="JE66" s="24"/>
      <c r="JF66" s="24"/>
      <c r="JG66" s="24"/>
      <c r="JH66" s="24"/>
      <c r="JI66" s="24"/>
      <c r="JJ66" s="24"/>
      <c r="JK66" s="24"/>
      <c r="JL66" s="24"/>
      <c r="JM66" s="24"/>
      <c r="JN66" s="24"/>
      <c r="JO66" s="24"/>
      <c r="JP66" s="24"/>
      <c r="JQ66" s="24"/>
      <c r="JR66" s="24"/>
      <c r="JS66" s="24"/>
      <c r="JT66" s="24"/>
      <c r="JU66" s="24"/>
      <c r="JV66" s="24"/>
      <c r="JW66" s="24"/>
      <c r="JX66" s="24"/>
      <c r="JY66" s="24"/>
      <c r="JZ66" s="24"/>
      <c r="KA66" s="24"/>
      <c r="KB66" s="24"/>
      <c r="KC66" s="24"/>
      <c r="KD66" s="24"/>
      <c r="KE66" s="24"/>
      <c r="KF66" s="24"/>
      <c r="KG66" s="24"/>
      <c r="KH66" s="24"/>
      <c r="KI66" s="24"/>
      <c r="KJ66" s="24"/>
      <c r="KK66" s="24"/>
      <c r="KL66" s="24"/>
      <c r="KM66" s="24"/>
      <c r="KN66" s="24"/>
      <c r="KO66" s="24"/>
      <c r="KP66" s="24"/>
      <c r="KQ66" s="24"/>
      <c r="KR66" s="24"/>
      <c r="KS66" s="24"/>
      <c r="KT66" s="24"/>
      <c r="KU66" s="24"/>
      <c r="KV66" s="24"/>
      <c r="KW66" s="24"/>
      <c r="KX66" s="24"/>
      <c r="KY66" s="24"/>
      <c r="KZ66" s="24"/>
      <c r="LA66" s="24"/>
      <c r="LB66" s="24"/>
      <c r="LC66" s="24"/>
      <c r="LD66" s="24"/>
      <c r="LE66" s="24">
        <f t="shared" si="163"/>
        <v>0</v>
      </c>
      <c r="LF66" s="24">
        <f t="shared" si="164"/>
        <v>0</v>
      </c>
      <c r="LG66" s="24"/>
      <c r="LH66" s="24"/>
      <c r="LI66" s="24"/>
      <c r="LJ66" s="24"/>
      <c r="LK66" s="24"/>
      <c r="LL66" s="24"/>
      <c r="LM66" s="24"/>
      <c r="LN66" s="24"/>
      <c r="LO66" s="24"/>
      <c r="LP66" s="24"/>
      <c r="LQ66" s="24"/>
      <c r="LR66" s="24"/>
      <c r="LS66" s="24"/>
      <c r="LT66" s="24"/>
      <c r="LU66" s="24"/>
      <c r="LV66" s="24"/>
      <c r="LW66" s="24"/>
      <c r="LX66" s="24"/>
      <c r="LY66" s="24"/>
      <c r="LZ66" s="24"/>
      <c r="MA66" s="24"/>
      <c r="MB66" s="24"/>
      <c r="MC66" s="24"/>
      <c r="MD66" s="24"/>
      <c r="ME66" s="24"/>
      <c r="MF66" s="24"/>
      <c r="MG66" s="24"/>
      <c r="MH66" s="24"/>
      <c r="MI66" s="24"/>
      <c r="MJ66" s="24"/>
      <c r="MK66" s="24"/>
      <c r="ML66" s="24"/>
      <c r="MM66" s="24"/>
      <c r="MN66" s="24"/>
      <c r="MO66" s="24"/>
      <c r="MP66" s="24"/>
      <c r="MQ66" s="24"/>
      <c r="MR66" s="24"/>
      <c r="MS66" s="24"/>
      <c r="MT66" s="24"/>
      <c r="MU66" s="24"/>
      <c r="MV66" s="24"/>
      <c r="MW66" s="24"/>
      <c r="MX66" s="24"/>
      <c r="MY66" s="24"/>
      <c r="MZ66" s="24"/>
      <c r="NA66" s="24"/>
      <c r="NB66" s="24"/>
      <c r="NC66" s="24"/>
      <c r="ND66" s="24"/>
      <c r="NE66" s="24"/>
      <c r="NF66" s="24"/>
      <c r="NG66" s="24"/>
      <c r="NH66" s="24"/>
      <c r="NI66" s="24"/>
      <c r="NJ66" s="24"/>
      <c r="NK66" s="24"/>
      <c r="NL66" s="24"/>
      <c r="NM66" s="24"/>
      <c r="NN66" s="24"/>
      <c r="NO66" s="24">
        <f t="shared" si="165"/>
        <v>0</v>
      </c>
      <c r="NP66" s="24">
        <f t="shared" si="166"/>
        <v>0</v>
      </c>
      <c r="NQ66" s="24"/>
      <c r="NR66" s="24"/>
      <c r="NS66" s="24"/>
      <c r="NT66" s="24"/>
      <c r="NU66" s="24"/>
      <c r="NV66" s="24"/>
      <c r="NW66" s="24"/>
      <c r="NX66" s="24"/>
      <c r="NY66" s="24"/>
      <c r="NZ66" s="24"/>
      <c r="OA66" s="24"/>
      <c r="OB66" s="24"/>
      <c r="OC66" s="24"/>
      <c r="OD66" s="24"/>
      <c r="OE66" s="24"/>
      <c r="OF66" s="24"/>
      <c r="OG66" s="24"/>
      <c r="OH66" s="24"/>
      <c r="OI66" s="24"/>
      <c r="OJ66" s="24"/>
      <c r="OK66" s="24"/>
      <c r="OL66" s="24"/>
      <c r="OM66" s="24"/>
      <c r="ON66" s="24"/>
      <c r="OO66" s="24"/>
      <c r="OP66" s="24"/>
      <c r="OQ66" s="24"/>
      <c r="OR66" s="24"/>
      <c r="OS66" s="24"/>
      <c r="OT66" s="24"/>
      <c r="OU66" s="24"/>
      <c r="OV66" s="24"/>
      <c r="OW66" s="24"/>
      <c r="OX66" s="24"/>
      <c r="OY66" s="24"/>
      <c r="OZ66" s="24"/>
      <c r="PA66" s="24"/>
      <c r="PB66" s="24"/>
      <c r="PC66" s="24"/>
      <c r="PD66" s="24"/>
      <c r="PE66" s="24"/>
      <c r="PF66" s="24"/>
      <c r="PG66" s="24"/>
      <c r="PH66" s="24"/>
      <c r="PI66" s="24"/>
      <c r="PJ66" s="24"/>
      <c r="PK66" s="24"/>
      <c r="PL66" s="24"/>
      <c r="PM66" s="24"/>
      <c r="PN66" s="24"/>
      <c r="PO66" s="24"/>
      <c r="PP66" s="24"/>
      <c r="PQ66" s="24"/>
      <c r="PR66" s="24"/>
      <c r="PS66" s="24"/>
      <c r="PT66" s="24"/>
      <c r="PU66" s="24"/>
      <c r="PV66" s="24"/>
      <c r="PW66" s="24"/>
      <c r="PX66" s="24"/>
      <c r="PY66" s="24"/>
      <c r="PZ66" s="24"/>
      <c r="QA66" s="24">
        <f t="shared" si="167"/>
        <v>0</v>
      </c>
      <c r="QB66" s="24">
        <f t="shared" si="168"/>
        <v>0</v>
      </c>
      <c r="QC66" s="24"/>
      <c r="QD66" s="24"/>
      <c r="QE66" s="24"/>
      <c r="QF66" s="24"/>
      <c r="QG66" s="24"/>
      <c r="QH66" s="24"/>
      <c r="QI66" s="24"/>
      <c r="QJ66" s="24"/>
      <c r="QK66" s="24"/>
      <c r="QL66" s="24"/>
      <c r="QM66" s="24"/>
      <c r="QN66" s="24"/>
      <c r="QO66" s="24"/>
      <c r="QP66" s="24"/>
      <c r="QQ66" s="24"/>
      <c r="QR66" s="24"/>
      <c r="QS66" s="24"/>
      <c r="QT66" s="24"/>
      <c r="QU66" s="24"/>
      <c r="QV66" s="24"/>
      <c r="QW66" s="24"/>
      <c r="QX66" s="24"/>
      <c r="QY66" s="24"/>
      <c r="QZ66" s="24"/>
      <c r="RA66" s="24"/>
      <c r="RB66" s="24"/>
      <c r="RC66" s="24"/>
      <c r="RD66" s="24"/>
      <c r="RE66" s="24"/>
      <c r="RF66" s="24"/>
      <c r="RG66" s="24"/>
      <c r="RH66" s="24"/>
      <c r="RI66" s="24"/>
      <c r="RJ66" s="24"/>
      <c r="RK66" s="24"/>
      <c r="RL66" s="24"/>
      <c r="RM66" s="24"/>
      <c r="RN66" s="24"/>
      <c r="RO66" s="24"/>
      <c r="RP66" s="24"/>
      <c r="RQ66" s="24"/>
      <c r="RR66" s="24"/>
      <c r="RS66" s="24"/>
      <c r="RT66" s="24"/>
      <c r="RU66" s="24"/>
      <c r="RV66" s="24"/>
      <c r="RW66" s="24"/>
      <c r="RX66" s="24"/>
      <c r="RY66" s="24"/>
      <c r="RZ66" s="24"/>
      <c r="SA66" s="24"/>
      <c r="SB66" s="24"/>
      <c r="SC66" s="24"/>
      <c r="SD66" s="24"/>
      <c r="SE66" s="24"/>
      <c r="SF66" s="24"/>
      <c r="SG66" s="24"/>
      <c r="SH66" s="24"/>
      <c r="SI66" s="24"/>
      <c r="SJ66" s="24"/>
      <c r="SK66" s="24"/>
      <c r="SL66" s="24"/>
      <c r="SM66" s="24">
        <f t="shared" si="169"/>
        <v>0</v>
      </c>
      <c r="SN66" s="24">
        <f t="shared" si="170"/>
        <v>0</v>
      </c>
      <c r="SO66" s="24"/>
      <c r="SP66" s="24"/>
      <c r="SQ66" s="24"/>
      <c r="SR66" s="24"/>
      <c r="SS66" s="24"/>
      <c r="ST66" s="24"/>
      <c r="SU66" s="24"/>
      <c r="SV66" s="24"/>
      <c r="SW66" s="24"/>
      <c r="SX66" s="24"/>
      <c r="SY66" s="24"/>
      <c r="SZ66" s="24"/>
      <c r="TA66" s="24"/>
      <c r="TB66" s="24"/>
      <c r="TC66" s="24"/>
      <c r="TD66" s="24"/>
      <c r="TE66" s="24"/>
      <c r="TF66" s="24"/>
      <c r="TG66" s="24"/>
      <c r="TH66" s="24"/>
      <c r="TI66" s="24"/>
      <c r="TJ66" s="24"/>
      <c r="TK66" s="24"/>
      <c r="TL66" s="24"/>
      <c r="TM66" s="24"/>
      <c r="TN66" s="24"/>
      <c r="TO66" s="24"/>
      <c r="TP66" s="24"/>
      <c r="TQ66" s="24"/>
      <c r="TR66" s="24"/>
      <c r="TS66" s="24"/>
      <c r="TT66" s="24"/>
      <c r="TU66" s="24"/>
      <c r="TV66" s="24"/>
      <c r="TW66" s="24"/>
      <c r="TX66" s="24"/>
      <c r="TY66" s="24"/>
      <c r="TZ66" s="24"/>
      <c r="UA66" s="24"/>
      <c r="UB66" s="24"/>
      <c r="UC66" s="24"/>
      <c r="UD66" s="24"/>
      <c r="UE66" s="24"/>
      <c r="UF66" s="24"/>
      <c r="UG66" s="24"/>
      <c r="UH66" s="24"/>
      <c r="UI66" s="24"/>
      <c r="UJ66" s="24"/>
      <c r="UK66" s="24"/>
      <c r="UL66" s="24"/>
      <c r="UM66" s="24"/>
      <c r="UN66" s="24"/>
      <c r="UO66" s="24"/>
      <c r="UP66" s="24"/>
      <c r="UQ66" s="24"/>
      <c r="UR66" s="24"/>
      <c r="US66" s="24"/>
      <c r="UT66" s="24"/>
      <c r="UU66" s="24"/>
      <c r="UV66" s="24"/>
      <c r="UW66" s="24">
        <f t="shared" si="171"/>
        <v>0</v>
      </c>
      <c r="UX66" s="24">
        <f t="shared" si="172"/>
        <v>0</v>
      </c>
      <c r="UY66" s="24"/>
      <c r="UZ66" s="24"/>
      <c r="VA66" s="24"/>
      <c r="VB66" s="24"/>
      <c r="VC66" s="24"/>
      <c r="VD66" s="24"/>
      <c r="VE66" s="24"/>
      <c r="VF66" s="24"/>
      <c r="VG66" s="24"/>
      <c r="VH66" s="24"/>
      <c r="VI66" s="24"/>
      <c r="VJ66" s="24"/>
      <c r="VK66" s="24"/>
      <c r="VL66" s="24"/>
      <c r="VM66" s="24"/>
      <c r="VN66" s="24"/>
      <c r="VO66" s="24"/>
      <c r="VP66" s="24"/>
      <c r="VQ66" s="24"/>
      <c r="VR66" s="24"/>
      <c r="VS66" s="24"/>
      <c r="VT66" s="24"/>
      <c r="VU66" s="24"/>
      <c r="VV66" s="24"/>
      <c r="VW66" s="24"/>
      <c r="VX66" s="24"/>
      <c r="VY66" s="24"/>
      <c r="VZ66" s="24"/>
      <c r="WA66" s="24"/>
      <c r="WB66" s="24"/>
      <c r="WC66" s="24"/>
      <c r="WD66" s="24"/>
      <c r="WE66" s="24"/>
      <c r="WF66" s="24"/>
      <c r="WG66" s="24"/>
      <c r="WH66" s="24"/>
      <c r="WI66" s="24"/>
      <c r="WJ66" s="24"/>
      <c r="WK66" s="24"/>
      <c r="WL66" s="24"/>
      <c r="WM66" s="24"/>
      <c r="WN66" s="24"/>
      <c r="WO66" s="24"/>
      <c r="WP66" s="24"/>
      <c r="WQ66" s="24"/>
      <c r="WR66" s="24"/>
      <c r="WS66" s="24"/>
      <c r="WT66" s="24"/>
      <c r="WU66" s="24"/>
      <c r="WV66" s="24"/>
      <c r="WW66" s="24"/>
      <c r="WX66" s="24"/>
      <c r="WY66" s="24"/>
      <c r="WZ66" s="24"/>
      <c r="XA66" s="24"/>
      <c r="XB66" s="24"/>
      <c r="XC66" s="24"/>
      <c r="XD66" s="24"/>
      <c r="XE66" s="24"/>
      <c r="XF66" s="24"/>
      <c r="XG66" s="24"/>
      <c r="XH66" s="24"/>
      <c r="XI66" s="24">
        <f t="shared" si="173"/>
        <v>0</v>
      </c>
      <c r="XJ66" s="24">
        <f t="shared" si="174"/>
        <v>0</v>
      </c>
      <c r="XK66" s="24"/>
      <c r="XL66" s="24"/>
      <c r="XM66" s="24"/>
      <c r="XN66" s="24"/>
      <c r="XO66" s="24"/>
      <c r="XP66" s="24"/>
      <c r="XQ66" s="24"/>
      <c r="XR66" s="24"/>
      <c r="XS66" s="24"/>
      <c r="XT66" s="24"/>
      <c r="XU66" s="24"/>
      <c r="XV66" s="24"/>
      <c r="XW66" s="24"/>
      <c r="XX66" s="24"/>
      <c r="XY66" s="24"/>
      <c r="XZ66" s="24"/>
      <c r="YA66" s="24"/>
      <c r="YB66" s="24"/>
      <c r="YC66" s="24"/>
      <c r="YD66" s="24"/>
      <c r="YE66" s="24"/>
      <c r="YF66" s="24"/>
      <c r="YG66" s="24"/>
      <c r="YH66" s="24"/>
      <c r="YI66" s="24"/>
      <c r="YJ66" s="24"/>
      <c r="YK66" s="24"/>
      <c r="YL66" s="24"/>
      <c r="YM66" s="24"/>
      <c r="YN66" s="24"/>
      <c r="YO66" s="24"/>
      <c r="YP66" s="24"/>
      <c r="YQ66" s="24"/>
      <c r="YR66" s="24"/>
      <c r="YS66" s="24"/>
      <c r="YT66" s="24"/>
      <c r="YU66" s="24"/>
      <c r="YV66" s="24"/>
      <c r="YW66" s="24"/>
      <c r="YX66" s="24"/>
      <c r="YY66" s="24"/>
      <c r="YZ66" s="24"/>
      <c r="ZA66" s="24"/>
      <c r="ZB66" s="24"/>
      <c r="ZC66" s="24"/>
      <c r="ZD66" s="24"/>
      <c r="ZE66" s="24"/>
      <c r="ZF66" s="24"/>
      <c r="ZG66" s="24"/>
      <c r="ZH66" s="24"/>
      <c r="ZI66" s="24"/>
      <c r="ZJ66" s="24"/>
      <c r="ZK66" s="24"/>
      <c r="ZL66" s="24"/>
      <c r="ZM66" s="24"/>
      <c r="ZN66" s="24"/>
      <c r="ZO66" s="24"/>
      <c r="ZP66" s="24"/>
      <c r="ZQ66" s="24"/>
      <c r="ZR66" s="24"/>
      <c r="ZS66" s="24">
        <f t="shared" si="175"/>
        <v>0</v>
      </c>
      <c r="ZT66" s="24">
        <f t="shared" si="176"/>
        <v>0</v>
      </c>
      <c r="ZU66" s="24"/>
      <c r="ZV66" s="24"/>
      <c r="ZW66" s="24"/>
      <c r="ZX66" s="24"/>
      <c r="ZY66" s="24"/>
      <c r="ZZ66" s="24"/>
      <c r="AAA66" s="24"/>
      <c r="AAB66" s="24"/>
      <c r="AAC66" s="24"/>
      <c r="AAD66" s="24"/>
      <c r="AAE66" s="24"/>
      <c r="AAF66" s="24"/>
      <c r="AAG66" s="24"/>
      <c r="AAH66" s="24"/>
      <c r="AAI66" s="24"/>
      <c r="AAJ66" s="24"/>
      <c r="AAK66" s="24"/>
      <c r="AAL66" s="24"/>
      <c r="AAM66" s="24"/>
      <c r="AAN66" s="24"/>
      <c r="AAO66" s="24"/>
      <c r="AAP66" s="24"/>
      <c r="AAQ66" s="24"/>
      <c r="AAR66" s="24"/>
      <c r="AAS66" s="24"/>
      <c r="AAT66" s="24"/>
      <c r="AAU66" s="24"/>
      <c r="AAV66" s="24"/>
      <c r="AAW66" s="24"/>
      <c r="AAX66" s="24"/>
      <c r="AAY66" s="24"/>
      <c r="AAZ66" s="24"/>
      <c r="ABA66" s="24"/>
      <c r="ABB66" s="24"/>
      <c r="ABC66" s="24"/>
      <c r="ABD66" s="24"/>
      <c r="ABE66" s="24"/>
      <c r="ABF66" s="24"/>
      <c r="ABG66" s="24"/>
      <c r="ABH66" s="24"/>
      <c r="ABI66" s="24"/>
      <c r="ABJ66" s="24"/>
      <c r="ABK66" s="24"/>
      <c r="ABL66" s="24"/>
      <c r="ABM66" s="24"/>
      <c r="ABN66" s="24"/>
      <c r="ABO66" s="24"/>
      <c r="ABP66" s="24"/>
      <c r="ABQ66" s="24"/>
      <c r="ABR66" s="24"/>
      <c r="ABS66" s="24"/>
      <c r="ABT66" s="24"/>
      <c r="ABU66" s="24"/>
      <c r="ABV66" s="24"/>
      <c r="ABW66" s="24"/>
      <c r="ABX66" s="24"/>
      <c r="ABY66" s="24"/>
      <c r="ABZ66" s="24"/>
      <c r="ACA66" s="24"/>
      <c r="ACB66" s="24"/>
      <c r="ACC66" s="24"/>
      <c r="ACD66" s="24"/>
      <c r="ACE66" s="24">
        <f t="shared" si="177"/>
        <v>0</v>
      </c>
      <c r="ACF66" s="24"/>
      <c r="ACG66" s="24">
        <f t="shared" si="178"/>
        <v>0</v>
      </c>
      <c r="ACH66" s="25"/>
      <c r="ACI66" s="71" t="s">
        <v>170</v>
      </c>
      <c r="ACJ66" s="71" t="s">
        <v>91</v>
      </c>
    </row>
    <row r="67" spans="1:764" ht="15.75" thickBot="1" x14ac:dyDescent="0.3">
      <c r="A67" s="162"/>
      <c r="B67" s="153"/>
      <c r="C67" s="158"/>
      <c r="D67" s="68" t="s">
        <v>9</v>
      </c>
      <c r="E67" s="76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45" cm="1">
        <f t="array" ref="BO67">SUMPRODUCT(E67:BM67,--(E$2:BM$2=BO$2))</f>
        <v>0</v>
      </c>
      <c r="BP67" s="45" cm="1">
        <f t="array" ref="BP67">SUMPRODUCT(F67:BN67,--(F$2:BN$2=BP$2))</f>
        <v>0</v>
      </c>
      <c r="BQ67" s="45"/>
      <c r="BR67" s="45"/>
      <c r="BS67" s="45"/>
      <c r="BT67" s="45"/>
      <c r="BU67" s="45"/>
      <c r="BV67" s="45"/>
      <c r="BW67" s="45"/>
      <c r="BX67" s="45"/>
      <c r="BY67" s="45"/>
      <c r="BZ67" s="45"/>
      <c r="CA67" s="45"/>
      <c r="CB67" s="45"/>
      <c r="CC67" s="45"/>
      <c r="CD67" s="45"/>
      <c r="CE67" s="45"/>
      <c r="CF67" s="45"/>
      <c r="CG67" s="45"/>
      <c r="CH67" s="45"/>
      <c r="CI67" s="45"/>
      <c r="CJ67" s="45"/>
      <c r="CK67" s="45"/>
      <c r="CL67" s="45"/>
      <c r="CM67" s="45"/>
      <c r="CN67" s="45"/>
      <c r="CO67" s="45"/>
      <c r="CP67" s="45"/>
      <c r="CQ67" s="45"/>
      <c r="CR67" s="45"/>
      <c r="CS67" s="45"/>
      <c r="CT67" s="45"/>
      <c r="CU67" s="45"/>
      <c r="CV67" s="45"/>
      <c r="CW67" s="45"/>
      <c r="CX67" s="45"/>
      <c r="CY67" s="45"/>
      <c r="CZ67" s="45"/>
      <c r="DA67" s="45"/>
      <c r="DB67" s="45"/>
      <c r="DC67" s="45"/>
      <c r="DD67" s="45"/>
      <c r="DE67" s="45"/>
      <c r="DF67" s="45"/>
      <c r="DG67" s="45"/>
      <c r="DH67" s="45"/>
      <c r="DI67" s="45"/>
      <c r="DJ67" s="45"/>
      <c r="DK67" s="45"/>
      <c r="DL67" s="45"/>
      <c r="DM67" s="45"/>
      <c r="DN67" s="45"/>
      <c r="DO67" s="45"/>
      <c r="DP67" s="45"/>
      <c r="DQ67" s="45"/>
      <c r="DR67" s="45"/>
      <c r="DS67" s="45"/>
      <c r="DT67" s="45"/>
      <c r="DU67" s="45"/>
      <c r="DV67" s="45"/>
      <c r="DW67" s="45" cm="1">
        <f t="array" ref="DW67">SUMPRODUCT(BQ67:DU67,--(BQ$2:DU$2=DW$2))</f>
        <v>0</v>
      </c>
      <c r="DX67" s="45" cm="1">
        <f t="array" ref="DX67">SUMPRODUCT(BR67:DV67,--(BR$2:DV$2=DX$2))</f>
        <v>0</v>
      </c>
      <c r="DY67" s="45"/>
      <c r="DZ67" s="45"/>
      <c r="EA67" s="45"/>
      <c r="EB67" s="45"/>
      <c r="EC67" s="45"/>
      <c r="ED67" s="45"/>
      <c r="EE67" s="45"/>
      <c r="EF67" s="45"/>
      <c r="EG67" s="45"/>
      <c r="EH67" s="45"/>
      <c r="EI67" s="45"/>
      <c r="EJ67" s="45"/>
      <c r="EK67" s="45"/>
      <c r="EL67" s="45"/>
      <c r="EM67" s="45"/>
      <c r="EN67" s="45"/>
      <c r="EO67" s="45"/>
      <c r="EP67" s="45"/>
      <c r="EQ67" s="45"/>
      <c r="ER67" s="45"/>
      <c r="ES67" s="45"/>
      <c r="ET67" s="45"/>
      <c r="EU67" s="45"/>
      <c r="EV67" s="45"/>
      <c r="EW67" s="45"/>
      <c r="EX67" s="45"/>
      <c r="EY67" s="45"/>
      <c r="EZ67" s="45"/>
      <c r="FA67" s="45"/>
      <c r="FB67" s="45"/>
      <c r="FC67" s="45"/>
      <c r="FD67" s="45"/>
      <c r="FE67" s="45"/>
      <c r="FF67" s="45"/>
      <c r="FG67" s="45"/>
      <c r="FH67" s="45"/>
      <c r="FI67" s="45"/>
      <c r="FJ67" s="45"/>
      <c r="FK67" s="45"/>
      <c r="FL67" s="45"/>
      <c r="FM67" s="45"/>
      <c r="FN67" s="45"/>
      <c r="FO67" s="45"/>
      <c r="FP67" s="45"/>
      <c r="FQ67" s="45"/>
      <c r="FR67" s="45"/>
      <c r="FS67" s="45"/>
      <c r="FT67" s="45"/>
      <c r="FU67" s="45"/>
      <c r="FV67" s="45"/>
      <c r="FW67" s="45"/>
      <c r="FX67" s="45"/>
      <c r="FY67" s="45"/>
      <c r="FZ67" s="45"/>
      <c r="GA67" s="45"/>
      <c r="GB67" s="45"/>
      <c r="GC67" s="45"/>
      <c r="GD67" s="45"/>
      <c r="GE67" s="45"/>
      <c r="GF67" s="45"/>
      <c r="GG67" s="45"/>
      <c r="GH67" s="45"/>
      <c r="GI67" s="45" cm="1">
        <f t="array" ref="GI67">SUMPRODUCT(DY67:GG67,--(DY$2:GG$2=GI$2))</f>
        <v>0</v>
      </c>
      <c r="GJ67" s="45" cm="1">
        <f t="array" ref="GJ67">SUMPRODUCT(DZ67:GH67,--(DZ$2:GH$2=GJ$2))</f>
        <v>0</v>
      </c>
      <c r="GK67" s="24"/>
      <c r="GL67" s="24"/>
      <c r="GM67" s="24"/>
      <c r="GN67" s="24"/>
      <c r="GO67" s="24"/>
      <c r="GP67" s="24"/>
      <c r="GQ67" s="24"/>
      <c r="GR67" s="24"/>
      <c r="GS67" s="24"/>
      <c r="GT67" s="24"/>
      <c r="GU67" s="24"/>
      <c r="GV67" s="24"/>
      <c r="GW67" s="24"/>
      <c r="GX67" s="24"/>
      <c r="GY67" s="24"/>
      <c r="GZ67" s="24"/>
      <c r="HA67" s="24"/>
      <c r="HB67" s="24"/>
      <c r="HC67" s="24"/>
      <c r="HD67" s="24"/>
      <c r="HE67" s="24"/>
      <c r="HF67" s="24"/>
      <c r="HG67" s="24"/>
      <c r="HH67" s="24"/>
      <c r="HI67" s="24"/>
      <c r="HJ67" s="24"/>
      <c r="HK67" s="24"/>
      <c r="HL67" s="24"/>
      <c r="HM67" s="24"/>
      <c r="HN67" s="24"/>
      <c r="HO67" s="24"/>
      <c r="HP67" s="24"/>
      <c r="HQ67" s="24"/>
      <c r="HR67" s="24"/>
      <c r="HS67" s="24"/>
      <c r="HT67" s="24"/>
      <c r="HU67" s="24"/>
      <c r="HV67" s="24"/>
      <c r="HW67" s="24"/>
      <c r="HX67" s="24"/>
      <c r="HY67" s="24"/>
      <c r="HZ67" s="24"/>
      <c r="IA67" s="24"/>
      <c r="IB67" s="24"/>
      <c r="IC67" s="24"/>
      <c r="ID67" s="24"/>
      <c r="IE67" s="24"/>
      <c r="IF67" s="24"/>
      <c r="IG67" s="24"/>
      <c r="IH67" s="24"/>
      <c r="II67" s="24"/>
      <c r="IJ67" s="24"/>
      <c r="IK67" s="24"/>
      <c r="IL67" s="24"/>
      <c r="IM67" s="24"/>
      <c r="IN67" s="24"/>
      <c r="IO67" s="24"/>
      <c r="IP67" s="24"/>
      <c r="IQ67" s="24"/>
      <c r="IR67" s="24"/>
      <c r="IS67" s="45">
        <f t="shared" si="161"/>
        <v>0</v>
      </c>
      <c r="IT67" s="45">
        <f t="shared" si="162"/>
        <v>0</v>
      </c>
      <c r="IU67" s="45"/>
      <c r="IV67" s="45"/>
      <c r="IW67" s="45"/>
      <c r="IX67" s="45"/>
      <c r="IY67" s="45"/>
      <c r="IZ67" s="45"/>
      <c r="JA67" s="45"/>
      <c r="JB67" s="45"/>
      <c r="JC67" s="45"/>
      <c r="JD67" s="45"/>
      <c r="JE67" s="45"/>
      <c r="JF67" s="45"/>
      <c r="JG67" s="45"/>
      <c r="JH67" s="45"/>
      <c r="JI67" s="45"/>
      <c r="JJ67" s="45"/>
      <c r="JK67" s="45"/>
      <c r="JL67" s="45"/>
      <c r="JM67" s="45"/>
      <c r="JN67" s="45"/>
      <c r="JO67" s="45"/>
      <c r="JP67" s="45"/>
      <c r="JQ67" s="45"/>
      <c r="JR67" s="45"/>
      <c r="JS67" s="45"/>
      <c r="JT67" s="45"/>
      <c r="JU67" s="45"/>
      <c r="JV67" s="45"/>
      <c r="JW67" s="45"/>
      <c r="JX67" s="45"/>
      <c r="JY67" s="45"/>
      <c r="JZ67" s="45"/>
      <c r="KA67" s="45"/>
      <c r="KB67" s="45"/>
      <c r="KC67" s="45"/>
      <c r="KD67" s="45"/>
      <c r="KE67" s="45"/>
      <c r="KF67" s="45"/>
      <c r="KG67" s="45"/>
      <c r="KH67" s="45"/>
      <c r="KI67" s="45"/>
      <c r="KJ67" s="45"/>
      <c r="KK67" s="45"/>
      <c r="KL67" s="45"/>
      <c r="KM67" s="45"/>
      <c r="KN67" s="45"/>
      <c r="KO67" s="45"/>
      <c r="KP67" s="45"/>
      <c r="KQ67" s="45"/>
      <c r="KR67" s="45"/>
      <c r="KS67" s="45"/>
      <c r="KT67" s="45"/>
      <c r="KU67" s="45"/>
      <c r="KV67" s="45"/>
      <c r="KW67" s="45"/>
      <c r="KX67" s="45"/>
      <c r="KY67" s="45"/>
      <c r="KZ67" s="45"/>
      <c r="LA67" s="45"/>
      <c r="LB67" s="45"/>
      <c r="LC67" s="45"/>
      <c r="LD67" s="45"/>
      <c r="LE67" s="45">
        <f t="shared" si="163"/>
        <v>0</v>
      </c>
      <c r="LF67" s="45">
        <f t="shared" si="164"/>
        <v>0</v>
      </c>
      <c r="LG67" s="45"/>
      <c r="LH67" s="45"/>
      <c r="LI67" s="45"/>
      <c r="LJ67" s="45"/>
      <c r="LK67" s="45"/>
      <c r="LL67" s="45"/>
      <c r="LM67" s="45"/>
      <c r="LN67" s="45"/>
      <c r="LO67" s="45"/>
      <c r="LP67" s="45"/>
      <c r="LQ67" s="45"/>
      <c r="LR67" s="45"/>
      <c r="LS67" s="45"/>
      <c r="LT67" s="45"/>
      <c r="LU67" s="45"/>
      <c r="LV67" s="45"/>
      <c r="LW67" s="45"/>
      <c r="LX67" s="45"/>
      <c r="LY67" s="45"/>
      <c r="LZ67" s="45"/>
      <c r="MA67" s="45"/>
      <c r="MB67" s="45"/>
      <c r="MC67" s="45"/>
      <c r="MD67" s="45"/>
      <c r="ME67" s="45"/>
      <c r="MF67" s="45"/>
      <c r="MG67" s="45"/>
      <c r="MH67" s="45"/>
      <c r="MI67" s="45"/>
      <c r="MJ67" s="45"/>
      <c r="MK67" s="45"/>
      <c r="ML67" s="45"/>
      <c r="MM67" s="45"/>
      <c r="MN67" s="45"/>
      <c r="MO67" s="45"/>
      <c r="MP67" s="45"/>
      <c r="MQ67" s="45"/>
      <c r="MR67" s="45"/>
      <c r="MS67" s="45"/>
      <c r="MT67" s="45"/>
      <c r="MU67" s="45"/>
      <c r="MV67" s="45"/>
      <c r="MW67" s="45"/>
      <c r="MX67" s="45"/>
      <c r="MY67" s="45"/>
      <c r="MZ67" s="45"/>
      <c r="NA67" s="45"/>
      <c r="NB67" s="45"/>
      <c r="NC67" s="45"/>
      <c r="ND67" s="45"/>
      <c r="NE67" s="45"/>
      <c r="NF67" s="45"/>
      <c r="NG67" s="45"/>
      <c r="NH67" s="45"/>
      <c r="NI67" s="45"/>
      <c r="NJ67" s="45"/>
      <c r="NK67" s="45"/>
      <c r="NL67" s="45"/>
      <c r="NM67" s="45"/>
      <c r="NN67" s="45"/>
      <c r="NO67" s="45">
        <f t="shared" si="165"/>
        <v>0</v>
      </c>
      <c r="NP67" s="45">
        <f t="shared" si="166"/>
        <v>0</v>
      </c>
      <c r="NQ67" s="45"/>
      <c r="NR67" s="45"/>
      <c r="NS67" s="45"/>
      <c r="NT67" s="45"/>
      <c r="NU67" s="45"/>
      <c r="NV67" s="45"/>
      <c r="NW67" s="45"/>
      <c r="NX67" s="45"/>
      <c r="NY67" s="45"/>
      <c r="NZ67" s="45"/>
      <c r="OA67" s="45"/>
      <c r="OB67" s="45"/>
      <c r="OC67" s="45"/>
      <c r="OD67" s="45"/>
      <c r="OE67" s="45"/>
      <c r="OF67" s="45"/>
      <c r="OG67" s="45"/>
      <c r="OH67" s="45"/>
      <c r="OI67" s="45"/>
      <c r="OJ67" s="45"/>
      <c r="OK67" s="45"/>
      <c r="OL67" s="45"/>
      <c r="OM67" s="45"/>
      <c r="ON67" s="45"/>
      <c r="OO67" s="45"/>
      <c r="OP67" s="45"/>
      <c r="OQ67" s="45"/>
      <c r="OR67" s="45"/>
      <c r="OS67" s="45"/>
      <c r="OT67" s="45"/>
      <c r="OU67" s="45"/>
      <c r="OV67" s="45"/>
      <c r="OW67" s="45"/>
      <c r="OX67" s="45"/>
      <c r="OY67" s="45"/>
      <c r="OZ67" s="45"/>
      <c r="PA67" s="45"/>
      <c r="PB67" s="45"/>
      <c r="PC67" s="45"/>
      <c r="PD67" s="45"/>
      <c r="PE67" s="45"/>
      <c r="PF67" s="45"/>
      <c r="PG67" s="45"/>
      <c r="PH67" s="45"/>
      <c r="PI67" s="45"/>
      <c r="PJ67" s="45"/>
      <c r="PK67" s="45"/>
      <c r="PL67" s="45"/>
      <c r="PM67" s="45"/>
      <c r="PN67" s="45"/>
      <c r="PO67" s="45"/>
      <c r="PP67" s="45"/>
      <c r="PQ67" s="45"/>
      <c r="PR67" s="45"/>
      <c r="PS67" s="45"/>
      <c r="PT67" s="45"/>
      <c r="PU67" s="45"/>
      <c r="PV67" s="45"/>
      <c r="PW67" s="45"/>
      <c r="PX67" s="45"/>
      <c r="PY67" s="45"/>
      <c r="PZ67" s="45"/>
      <c r="QA67" s="45">
        <f t="shared" si="167"/>
        <v>0</v>
      </c>
      <c r="QB67" s="45">
        <f t="shared" si="168"/>
        <v>0</v>
      </c>
      <c r="QC67" s="45"/>
      <c r="QD67" s="45"/>
      <c r="QE67" s="45"/>
      <c r="QF67" s="45"/>
      <c r="QG67" s="45"/>
      <c r="QH67" s="45"/>
      <c r="QI67" s="45"/>
      <c r="QJ67" s="45"/>
      <c r="QK67" s="45"/>
      <c r="QL67" s="45"/>
      <c r="QM67" s="45"/>
      <c r="QN67" s="45"/>
      <c r="QO67" s="45"/>
      <c r="QP67" s="45"/>
      <c r="QQ67" s="45"/>
      <c r="QR67" s="45"/>
      <c r="QS67" s="45"/>
      <c r="QT67" s="45"/>
      <c r="QU67" s="45"/>
      <c r="QV67" s="45"/>
      <c r="QW67" s="45"/>
      <c r="QX67" s="45"/>
      <c r="QY67" s="45"/>
      <c r="QZ67" s="45"/>
      <c r="RA67" s="45"/>
      <c r="RB67" s="45"/>
      <c r="RC67" s="45"/>
      <c r="RD67" s="45"/>
      <c r="RE67" s="45"/>
      <c r="RF67" s="45"/>
      <c r="RG67" s="45"/>
      <c r="RH67" s="45"/>
      <c r="RI67" s="45"/>
      <c r="RJ67" s="45"/>
      <c r="RK67" s="45"/>
      <c r="RL67" s="45"/>
      <c r="RM67" s="45"/>
      <c r="RN67" s="45"/>
      <c r="RO67" s="45"/>
      <c r="RP67" s="45"/>
      <c r="RQ67" s="45"/>
      <c r="RR67" s="45"/>
      <c r="RS67" s="45"/>
      <c r="RT67" s="45"/>
      <c r="RU67" s="45"/>
      <c r="RV67" s="45"/>
      <c r="RW67" s="45"/>
      <c r="RX67" s="45"/>
      <c r="RY67" s="45"/>
      <c r="RZ67" s="45"/>
      <c r="SA67" s="45"/>
      <c r="SB67" s="45"/>
      <c r="SC67" s="45"/>
      <c r="SD67" s="45"/>
      <c r="SE67" s="45"/>
      <c r="SF67" s="45"/>
      <c r="SG67" s="45"/>
      <c r="SH67" s="45"/>
      <c r="SI67" s="45"/>
      <c r="SJ67" s="45"/>
      <c r="SK67" s="45"/>
      <c r="SL67" s="45"/>
      <c r="SM67" s="45">
        <f t="shared" si="169"/>
        <v>0</v>
      </c>
      <c r="SN67" s="45">
        <f t="shared" si="170"/>
        <v>0</v>
      </c>
      <c r="SO67" s="24"/>
      <c r="SP67" s="24"/>
      <c r="SQ67" s="24"/>
      <c r="SR67" s="24"/>
      <c r="SS67" s="24"/>
      <c r="ST67" s="24"/>
      <c r="SU67" s="24"/>
      <c r="SV67" s="24"/>
      <c r="SW67" s="24"/>
      <c r="SX67" s="24"/>
      <c r="SY67" s="24"/>
      <c r="SZ67" s="24"/>
      <c r="TA67" s="24"/>
      <c r="TB67" s="24"/>
      <c r="TC67" s="24"/>
      <c r="TD67" s="24"/>
      <c r="TE67" s="24"/>
      <c r="TF67" s="24"/>
      <c r="TG67" s="24"/>
      <c r="TH67" s="24"/>
      <c r="TI67" s="24"/>
      <c r="TJ67" s="24"/>
      <c r="TK67" s="24"/>
      <c r="TL67" s="24"/>
      <c r="TM67" s="24"/>
      <c r="TN67" s="24"/>
      <c r="TO67" s="24"/>
      <c r="TP67" s="24"/>
      <c r="TQ67" s="24"/>
      <c r="TR67" s="24"/>
      <c r="TS67" s="24"/>
      <c r="TT67" s="24"/>
      <c r="TU67" s="24"/>
      <c r="TV67" s="24"/>
      <c r="TW67" s="24"/>
      <c r="TX67" s="24"/>
      <c r="TY67" s="24"/>
      <c r="TZ67" s="24"/>
      <c r="UA67" s="24"/>
      <c r="UB67" s="24"/>
      <c r="UC67" s="24"/>
      <c r="UD67" s="24"/>
      <c r="UE67" s="24"/>
      <c r="UF67" s="24"/>
      <c r="UG67" s="24"/>
      <c r="UH67" s="24"/>
      <c r="UI67" s="24"/>
      <c r="UJ67" s="24"/>
      <c r="UK67" s="24"/>
      <c r="UL67" s="24"/>
      <c r="UM67" s="24"/>
      <c r="UN67" s="24"/>
      <c r="UO67" s="24"/>
      <c r="UP67" s="24"/>
      <c r="UQ67" s="24"/>
      <c r="UR67" s="24"/>
      <c r="US67" s="24"/>
      <c r="UT67" s="24"/>
      <c r="UU67" s="24"/>
      <c r="UV67" s="24"/>
      <c r="UW67" s="45">
        <f t="shared" si="171"/>
        <v>0</v>
      </c>
      <c r="UX67" s="45">
        <f t="shared" si="172"/>
        <v>0</v>
      </c>
      <c r="UY67" s="45"/>
      <c r="UZ67" s="45"/>
      <c r="VA67" s="45"/>
      <c r="VB67" s="45"/>
      <c r="VC67" s="45"/>
      <c r="VD67" s="45"/>
      <c r="VE67" s="45"/>
      <c r="VF67" s="45"/>
      <c r="VG67" s="45"/>
      <c r="VH67" s="45"/>
      <c r="VI67" s="45"/>
      <c r="VJ67" s="45"/>
      <c r="VK67" s="45"/>
      <c r="VL67" s="45"/>
      <c r="VM67" s="45"/>
      <c r="VN67" s="45"/>
      <c r="VO67" s="45"/>
      <c r="VP67" s="45"/>
      <c r="VQ67" s="45"/>
      <c r="VR67" s="45"/>
      <c r="VS67" s="45"/>
      <c r="VT67" s="45"/>
      <c r="VU67" s="45"/>
      <c r="VV67" s="45"/>
      <c r="VW67" s="45"/>
      <c r="VX67" s="45"/>
      <c r="VY67" s="45"/>
      <c r="VZ67" s="45"/>
      <c r="WA67" s="45"/>
      <c r="WB67" s="45"/>
      <c r="WC67" s="45"/>
      <c r="WD67" s="45"/>
      <c r="WE67" s="45"/>
      <c r="WF67" s="45"/>
      <c r="WG67" s="45"/>
      <c r="WH67" s="45"/>
      <c r="WI67" s="45"/>
      <c r="WJ67" s="45"/>
      <c r="WK67" s="45"/>
      <c r="WL67" s="45"/>
      <c r="WM67" s="45"/>
      <c r="WN67" s="45"/>
      <c r="WO67" s="45"/>
      <c r="WP67" s="45"/>
      <c r="WQ67" s="45"/>
      <c r="WR67" s="45"/>
      <c r="WS67" s="45"/>
      <c r="WT67" s="45"/>
      <c r="WU67" s="45"/>
      <c r="WV67" s="45"/>
      <c r="WW67" s="45"/>
      <c r="WX67" s="45"/>
      <c r="WY67" s="45"/>
      <c r="WZ67" s="45"/>
      <c r="XA67" s="45"/>
      <c r="XB67" s="45"/>
      <c r="XC67" s="45"/>
      <c r="XD67" s="45"/>
      <c r="XE67" s="45"/>
      <c r="XF67" s="45"/>
      <c r="XG67" s="45"/>
      <c r="XH67" s="45"/>
      <c r="XI67" s="45">
        <f t="shared" si="173"/>
        <v>0</v>
      </c>
      <c r="XJ67" s="45">
        <f t="shared" si="174"/>
        <v>0</v>
      </c>
      <c r="XK67" s="45"/>
      <c r="XL67" s="45"/>
      <c r="XM67" s="45"/>
      <c r="XN67" s="45"/>
      <c r="XO67" s="45"/>
      <c r="XP67" s="45"/>
      <c r="XQ67" s="45"/>
      <c r="XR67" s="45"/>
      <c r="XS67" s="45"/>
      <c r="XT67" s="45"/>
      <c r="XU67" s="45"/>
      <c r="XV67" s="45"/>
      <c r="XW67" s="45"/>
      <c r="XX67" s="45"/>
      <c r="XY67" s="45"/>
      <c r="XZ67" s="45"/>
      <c r="YA67" s="45"/>
      <c r="YB67" s="45"/>
      <c r="YC67" s="45"/>
      <c r="YD67" s="45"/>
      <c r="YE67" s="45"/>
      <c r="YF67" s="45"/>
      <c r="YG67" s="45"/>
      <c r="YH67" s="45"/>
      <c r="YI67" s="45"/>
      <c r="YJ67" s="45"/>
      <c r="YK67" s="45"/>
      <c r="YL67" s="45"/>
      <c r="YM67" s="45"/>
      <c r="YN67" s="45"/>
      <c r="YO67" s="45"/>
      <c r="YP67" s="45"/>
      <c r="YQ67" s="45"/>
      <c r="YR67" s="45"/>
      <c r="YS67" s="45"/>
      <c r="YT67" s="45"/>
      <c r="YU67" s="45"/>
      <c r="YV67" s="45"/>
      <c r="YW67" s="45"/>
      <c r="YX67" s="45"/>
      <c r="YY67" s="45"/>
      <c r="YZ67" s="45"/>
      <c r="ZA67" s="45"/>
      <c r="ZB67" s="45"/>
      <c r="ZC67" s="45"/>
      <c r="ZD67" s="45"/>
      <c r="ZE67" s="45"/>
      <c r="ZF67" s="45"/>
      <c r="ZG67" s="45"/>
      <c r="ZH67" s="45"/>
      <c r="ZI67" s="45"/>
      <c r="ZJ67" s="45"/>
      <c r="ZK67" s="45"/>
      <c r="ZL67" s="45"/>
      <c r="ZM67" s="45"/>
      <c r="ZN67" s="45"/>
      <c r="ZO67" s="45"/>
      <c r="ZP67" s="45"/>
      <c r="ZQ67" s="45"/>
      <c r="ZR67" s="45"/>
      <c r="ZS67" s="45">
        <f t="shared" si="175"/>
        <v>0</v>
      </c>
      <c r="ZT67" s="45">
        <f t="shared" si="176"/>
        <v>0</v>
      </c>
      <c r="ZU67" s="45"/>
      <c r="ZV67" s="45"/>
      <c r="ZW67" s="45"/>
      <c r="ZX67" s="45"/>
      <c r="ZY67" s="45"/>
      <c r="ZZ67" s="45"/>
      <c r="AAA67" s="45"/>
      <c r="AAB67" s="45"/>
      <c r="AAC67" s="45"/>
      <c r="AAD67" s="45"/>
      <c r="AAE67" s="45"/>
      <c r="AAF67" s="45"/>
      <c r="AAG67" s="45"/>
      <c r="AAH67" s="45"/>
      <c r="AAI67" s="45"/>
      <c r="AAJ67" s="45"/>
      <c r="AAK67" s="45"/>
      <c r="AAL67" s="45"/>
      <c r="AAM67" s="45"/>
      <c r="AAN67" s="45"/>
      <c r="AAO67" s="45"/>
      <c r="AAP67" s="45"/>
      <c r="AAQ67" s="45"/>
      <c r="AAR67" s="45"/>
      <c r="AAS67" s="45"/>
      <c r="AAT67" s="45"/>
      <c r="AAU67" s="45"/>
      <c r="AAV67" s="45"/>
      <c r="AAW67" s="45"/>
      <c r="AAX67" s="45"/>
      <c r="AAY67" s="45"/>
      <c r="AAZ67" s="45"/>
      <c r="ABA67" s="45"/>
      <c r="ABB67" s="45"/>
      <c r="ABC67" s="45"/>
      <c r="ABD67" s="45"/>
      <c r="ABE67" s="45"/>
      <c r="ABF67" s="45"/>
      <c r="ABG67" s="45"/>
      <c r="ABH67" s="45"/>
      <c r="ABI67" s="45"/>
      <c r="ABJ67" s="45"/>
      <c r="ABK67" s="45"/>
      <c r="ABL67" s="45"/>
      <c r="ABM67" s="45"/>
      <c r="ABN67" s="45"/>
      <c r="ABO67" s="45"/>
      <c r="ABP67" s="45"/>
      <c r="ABQ67" s="45"/>
      <c r="ABR67" s="45"/>
      <c r="ABS67" s="45"/>
      <c r="ABT67" s="45"/>
      <c r="ABU67" s="45"/>
      <c r="ABV67" s="45"/>
      <c r="ABW67" s="45"/>
      <c r="ABX67" s="45"/>
      <c r="ABY67" s="45"/>
      <c r="ABZ67" s="45"/>
      <c r="ACA67" s="45"/>
      <c r="ACB67" s="45"/>
      <c r="ACC67" s="45"/>
      <c r="ACD67" s="45"/>
      <c r="ACE67" s="45">
        <f t="shared" si="177"/>
        <v>0</v>
      </c>
      <c r="ACF67" s="45"/>
      <c r="ACG67" s="45">
        <f t="shared" si="178"/>
        <v>0</v>
      </c>
      <c r="ACH67" s="55"/>
      <c r="ACI67" s="71" t="s">
        <v>171</v>
      </c>
      <c r="ACJ67" s="71" t="s">
        <v>91</v>
      </c>
    </row>
    <row r="68" spans="1:764" ht="16.5" thickBot="1" x14ac:dyDescent="0.3">
      <c r="A68" s="163"/>
      <c r="B68" s="164" t="s">
        <v>37</v>
      </c>
      <c r="C68" s="165"/>
      <c r="D68" s="166"/>
      <c r="E68" s="48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>
        <f>SUM(BO58:BO67)</f>
        <v>7659.5399999999991</v>
      </c>
      <c r="BP68" s="39">
        <f>SUM(BP58:BP67)</f>
        <v>7659.5399999999991</v>
      </c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>
        <f>SUM(DW58:DW67)</f>
        <v>7952.2199999999993</v>
      </c>
      <c r="DX68" s="39">
        <f>SUM(DX58:DX67)</f>
        <v>7952.2199999999993</v>
      </c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>
        <f ca="1">SUM(GI58:GI67)</f>
        <v>16407.04293103447</v>
      </c>
      <c r="GJ68" s="39">
        <f ca="1">SUM(GJ58:GJ67)</f>
        <v>16407.04293103447</v>
      </c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>
        <f>SUM(IS58:IS67)</f>
        <v>6808.9600000000009</v>
      </c>
      <c r="IT68" s="39">
        <f>SUM(IT58:IT67)</f>
        <v>6808.9600000000009</v>
      </c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  <c r="JP68" s="39"/>
      <c r="JQ68" s="39"/>
      <c r="JR68" s="39"/>
      <c r="JS68" s="39"/>
      <c r="JT68" s="39"/>
      <c r="JU68" s="39"/>
      <c r="JV68" s="39"/>
      <c r="JW68" s="39"/>
      <c r="JX68" s="39"/>
      <c r="JY68" s="39"/>
      <c r="JZ68" s="39"/>
      <c r="KA68" s="39"/>
      <c r="KB68" s="39"/>
      <c r="KC68" s="39"/>
      <c r="KD68" s="39"/>
      <c r="KE68" s="39"/>
      <c r="KF68" s="39"/>
      <c r="KG68" s="39"/>
      <c r="KH68" s="39"/>
      <c r="KI68" s="39"/>
      <c r="KJ68" s="39"/>
      <c r="KK68" s="39"/>
      <c r="KL68" s="39"/>
      <c r="KM68" s="39"/>
      <c r="KN68" s="39"/>
      <c r="KO68" s="39"/>
      <c r="KP68" s="39"/>
      <c r="KQ68" s="39"/>
      <c r="KR68" s="39"/>
      <c r="KS68" s="39"/>
      <c r="KT68" s="39"/>
      <c r="KU68" s="39"/>
      <c r="KV68" s="39"/>
      <c r="KW68" s="39"/>
      <c r="KX68" s="39"/>
      <c r="KY68" s="39"/>
      <c r="KZ68" s="39"/>
      <c r="LA68" s="39"/>
      <c r="LB68" s="39"/>
      <c r="LC68" s="39"/>
      <c r="LD68" s="39"/>
      <c r="LE68" s="39">
        <f>SUM(LE58:LE67)</f>
        <v>3383.9600000000005</v>
      </c>
      <c r="LF68" s="39">
        <f>SUM(LF58:LF67)</f>
        <v>3232.1000000000004</v>
      </c>
      <c r="LG68" s="39"/>
      <c r="LH68" s="39"/>
      <c r="LI68" s="39"/>
      <c r="LJ68" s="39"/>
      <c r="LK68" s="39"/>
      <c r="LL68" s="39"/>
      <c r="LM68" s="39"/>
      <c r="LN68" s="39"/>
      <c r="LO68" s="39"/>
      <c r="LP68" s="39"/>
      <c r="LQ68" s="39"/>
      <c r="LR68" s="39"/>
      <c r="LS68" s="39"/>
      <c r="LT68" s="39"/>
      <c r="LU68" s="39"/>
      <c r="LV68" s="39"/>
      <c r="LW68" s="39"/>
      <c r="LX68" s="39"/>
      <c r="LY68" s="39"/>
      <c r="LZ68" s="39"/>
      <c r="MA68" s="39"/>
      <c r="MB68" s="39"/>
      <c r="MC68" s="39"/>
      <c r="MD68" s="39"/>
      <c r="ME68" s="39"/>
      <c r="MF68" s="39"/>
      <c r="MG68" s="39"/>
      <c r="MH68" s="39"/>
      <c r="MI68" s="39"/>
      <c r="MJ68" s="39"/>
      <c r="MK68" s="39"/>
      <c r="ML68" s="39"/>
      <c r="MM68" s="39"/>
      <c r="MN68" s="39"/>
      <c r="MO68" s="39"/>
      <c r="MP68" s="39"/>
      <c r="MQ68" s="39"/>
      <c r="MR68" s="39"/>
      <c r="MS68" s="39"/>
      <c r="MT68" s="39"/>
      <c r="MU68" s="39"/>
      <c r="MV68" s="39"/>
      <c r="MW68" s="39"/>
      <c r="MX68" s="39"/>
      <c r="MY68" s="39"/>
      <c r="MZ68" s="39"/>
      <c r="NA68" s="39"/>
      <c r="NB68" s="39"/>
      <c r="NC68" s="39"/>
      <c r="ND68" s="39"/>
      <c r="NE68" s="39"/>
      <c r="NF68" s="39"/>
      <c r="NG68" s="39"/>
      <c r="NH68" s="39"/>
      <c r="NI68" s="39"/>
      <c r="NJ68" s="39"/>
      <c r="NK68" s="39"/>
      <c r="NL68" s="39"/>
      <c r="NM68" s="39"/>
      <c r="NN68" s="39"/>
      <c r="NO68" s="39">
        <f>SUM(NO58:NO67)</f>
        <v>0</v>
      </c>
      <c r="NP68" s="39">
        <f>SUM(NP58:NP67)</f>
        <v>0</v>
      </c>
      <c r="NQ68" s="39"/>
      <c r="NR68" s="39"/>
      <c r="NS68" s="39"/>
      <c r="NT68" s="39"/>
      <c r="NU68" s="39"/>
      <c r="NV68" s="39"/>
      <c r="NW68" s="39"/>
      <c r="NX68" s="39"/>
      <c r="NY68" s="39"/>
      <c r="NZ68" s="39"/>
      <c r="OA68" s="39"/>
      <c r="OB68" s="39"/>
      <c r="OC68" s="39"/>
      <c r="OD68" s="39"/>
      <c r="OE68" s="39"/>
      <c r="OF68" s="39"/>
      <c r="OG68" s="39"/>
      <c r="OH68" s="39"/>
      <c r="OI68" s="39"/>
      <c r="OJ68" s="39"/>
      <c r="OK68" s="39"/>
      <c r="OL68" s="39"/>
      <c r="OM68" s="39"/>
      <c r="ON68" s="39"/>
      <c r="OO68" s="39"/>
      <c r="OP68" s="39"/>
      <c r="OQ68" s="39"/>
      <c r="OR68" s="39"/>
      <c r="OS68" s="39"/>
      <c r="OT68" s="39"/>
      <c r="OU68" s="39"/>
      <c r="OV68" s="39"/>
      <c r="OW68" s="39"/>
      <c r="OX68" s="39"/>
      <c r="OY68" s="39"/>
      <c r="OZ68" s="39"/>
      <c r="PA68" s="39"/>
      <c r="PB68" s="39"/>
      <c r="PC68" s="39"/>
      <c r="PD68" s="39"/>
      <c r="PE68" s="39"/>
      <c r="PF68" s="39"/>
      <c r="PG68" s="39"/>
      <c r="PH68" s="39"/>
      <c r="PI68" s="39"/>
      <c r="PJ68" s="39"/>
      <c r="PK68" s="39"/>
      <c r="PL68" s="39"/>
      <c r="PM68" s="39"/>
      <c r="PN68" s="39"/>
      <c r="PO68" s="39"/>
      <c r="PP68" s="39"/>
      <c r="PQ68" s="39"/>
      <c r="PR68" s="39"/>
      <c r="PS68" s="39"/>
      <c r="PT68" s="39"/>
      <c r="PU68" s="39"/>
      <c r="PV68" s="39"/>
      <c r="PW68" s="39"/>
      <c r="PX68" s="39"/>
      <c r="PY68" s="39"/>
      <c r="PZ68" s="39"/>
      <c r="QA68" s="39">
        <f>SUM(QA58:QA67)</f>
        <v>0</v>
      </c>
      <c r="QB68" s="39">
        <f>SUM(QB58:QB67)</f>
        <v>0</v>
      </c>
      <c r="QC68" s="39"/>
      <c r="QD68" s="39"/>
      <c r="QE68" s="39"/>
      <c r="QF68" s="39"/>
      <c r="QG68" s="39"/>
      <c r="QH68" s="39"/>
      <c r="QI68" s="39"/>
      <c r="QJ68" s="39"/>
      <c r="QK68" s="39"/>
      <c r="QL68" s="39"/>
      <c r="QM68" s="39"/>
      <c r="QN68" s="39"/>
      <c r="QO68" s="39"/>
      <c r="QP68" s="39"/>
      <c r="QQ68" s="39"/>
      <c r="QR68" s="39"/>
      <c r="QS68" s="39"/>
      <c r="QT68" s="39"/>
      <c r="QU68" s="39"/>
      <c r="QV68" s="39"/>
      <c r="QW68" s="39"/>
      <c r="QX68" s="39"/>
      <c r="QY68" s="39"/>
      <c r="QZ68" s="39"/>
      <c r="RA68" s="39"/>
      <c r="RB68" s="39"/>
      <c r="RC68" s="39"/>
      <c r="RD68" s="39"/>
      <c r="RE68" s="39"/>
      <c r="RF68" s="39"/>
      <c r="RG68" s="39"/>
      <c r="RH68" s="39"/>
      <c r="RI68" s="39"/>
      <c r="RJ68" s="39"/>
      <c r="RK68" s="39"/>
      <c r="RL68" s="39"/>
      <c r="RM68" s="39"/>
      <c r="RN68" s="39"/>
      <c r="RO68" s="39"/>
      <c r="RP68" s="39"/>
      <c r="RQ68" s="39"/>
      <c r="RR68" s="39"/>
      <c r="RS68" s="39"/>
      <c r="RT68" s="39"/>
      <c r="RU68" s="39"/>
      <c r="RV68" s="39"/>
      <c r="RW68" s="39"/>
      <c r="RX68" s="39"/>
      <c r="RY68" s="39"/>
      <c r="RZ68" s="39"/>
      <c r="SA68" s="39"/>
      <c r="SB68" s="39"/>
      <c r="SC68" s="39"/>
      <c r="SD68" s="39"/>
      <c r="SE68" s="39"/>
      <c r="SF68" s="39"/>
      <c r="SG68" s="39"/>
      <c r="SH68" s="39"/>
      <c r="SI68" s="39"/>
      <c r="SJ68" s="39"/>
      <c r="SK68" s="39"/>
      <c r="SL68" s="39"/>
      <c r="SM68" s="39">
        <f>SUM(SM58:SM67)</f>
        <v>0</v>
      </c>
      <c r="SN68" s="39">
        <f>SUM(SN58:SN67)</f>
        <v>0</v>
      </c>
      <c r="SO68" s="39"/>
      <c r="SP68" s="39"/>
      <c r="SQ68" s="39"/>
      <c r="SR68" s="39"/>
      <c r="SS68" s="39"/>
      <c r="ST68" s="39"/>
      <c r="SU68" s="39"/>
      <c r="SV68" s="39"/>
      <c r="SW68" s="39"/>
      <c r="SX68" s="39"/>
      <c r="SY68" s="39"/>
      <c r="SZ68" s="39"/>
      <c r="TA68" s="39"/>
      <c r="TB68" s="39"/>
      <c r="TC68" s="39"/>
      <c r="TD68" s="39"/>
      <c r="TE68" s="39"/>
      <c r="TF68" s="39"/>
      <c r="TG68" s="39"/>
      <c r="TH68" s="39"/>
      <c r="TI68" s="39"/>
      <c r="TJ68" s="39"/>
      <c r="TK68" s="39"/>
      <c r="TL68" s="39"/>
      <c r="TM68" s="39"/>
      <c r="TN68" s="39"/>
      <c r="TO68" s="39"/>
      <c r="TP68" s="39"/>
      <c r="TQ68" s="39"/>
      <c r="TR68" s="39"/>
      <c r="TS68" s="39"/>
      <c r="TT68" s="39"/>
      <c r="TU68" s="39"/>
      <c r="TV68" s="39"/>
      <c r="TW68" s="39"/>
      <c r="TX68" s="39"/>
      <c r="TY68" s="39"/>
      <c r="TZ68" s="39"/>
      <c r="UA68" s="39"/>
      <c r="UB68" s="39"/>
      <c r="UC68" s="39"/>
      <c r="UD68" s="39"/>
      <c r="UE68" s="39"/>
      <c r="UF68" s="39"/>
      <c r="UG68" s="39"/>
      <c r="UH68" s="39"/>
      <c r="UI68" s="39"/>
      <c r="UJ68" s="39"/>
      <c r="UK68" s="39"/>
      <c r="UL68" s="39"/>
      <c r="UM68" s="39"/>
      <c r="UN68" s="39"/>
      <c r="UO68" s="39"/>
      <c r="UP68" s="39"/>
      <c r="UQ68" s="39"/>
      <c r="UR68" s="39"/>
      <c r="US68" s="39"/>
      <c r="UT68" s="39"/>
      <c r="UU68" s="39"/>
      <c r="UV68" s="39"/>
      <c r="UW68" s="39">
        <f>SUM(UW58:UW67)</f>
        <v>0</v>
      </c>
      <c r="UX68" s="39">
        <f>SUM(UX58:UX67)</f>
        <v>0</v>
      </c>
      <c r="UY68" s="39"/>
      <c r="UZ68" s="39"/>
      <c r="VA68" s="39"/>
      <c r="VB68" s="39"/>
      <c r="VC68" s="39"/>
      <c r="VD68" s="39"/>
      <c r="VE68" s="39"/>
      <c r="VF68" s="39"/>
      <c r="VG68" s="39"/>
      <c r="VH68" s="39"/>
      <c r="VI68" s="39"/>
      <c r="VJ68" s="39"/>
      <c r="VK68" s="39"/>
      <c r="VL68" s="39"/>
      <c r="VM68" s="39"/>
      <c r="VN68" s="39"/>
      <c r="VO68" s="39"/>
      <c r="VP68" s="39"/>
      <c r="VQ68" s="39"/>
      <c r="VR68" s="39"/>
      <c r="VS68" s="39"/>
      <c r="VT68" s="39"/>
      <c r="VU68" s="39"/>
      <c r="VV68" s="39"/>
      <c r="VW68" s="39"/>
      <c r="VX68" s="39"/>
      <c r="VY68" s="39"/>
      <c r="VZ68" s="39"/>
      <c r="WA68" s="39"/>
      <c r="WB68" s="39"/>
      <c r="WC68" s="39"/>
      <c r="WD68" s="39"/>
      <c r="WE68" s="39"/>
      <c r="WF68" s="39"/>
      <c r="WG68" s="39"/>
      <c r="WH68" s="39"/>
      <c r="WI68" s="39"/>
      <c r="WJ68" s="39"/>
      <c r="WK68" s="39"/>
      <c r="WL68" s="39"/>
      <c r="WM68" s="39"/>
      <c r="WN68" s="39"/>
      <c r="WO68" s="39"/>
      <c r="WP68" s="39"/>
      <c r="WQ68" s="39"/>
      <c r="WR68" s="39"/>
      <c r="WS68" s="39"/>
      <c r="WT68" s="39"/>
      <c r="WU68" s="39"/>
      <c r="WV68" s="39"/>
      <c r="WW68" s="39"/>
      <c r="WX68" s="39"/>
      <c r="WY68" s="39"/>
      <c r="WZ68" s="39"/>
      <c r="XA68" s="39"/>
      <c r="XB68" s="39"/>
      <c r="XC68" s="39"/>
      <c r="XD68" s="39"/>
      <c r="XE68" s="39"/>
      <c r="XF68" s="39"/>
      <c r="XG68" s="39"/>
      <c r="XH68" s="39"/>
      <c r="XI68" s="39">
        <f>SUM(XI58:XI67)</f>
        <v>0</v>
      </c>
      <c r="XJ68" s="39">
        <f>SUM(XJ58:XJ67)</f>
        <v>0</v>
      </c>
      <c r="XK68" s="39"/>
      <c r="XL68" s="39"/>
      <c r="XM68" s="39"/>
      <c r="XN68" s="39"/>
      <c r="XO68" s="39"/>
      <c r="XP68" s="39"/>
      <c r="XQ68" s="39"/>
      <c r="XR68" s="39"/>
      <c r="XS68" s="39"/>
      <c r="XT68" s="39"/>
      <c r="XU68" s="39"/>
      <c r="XV68" s="39"/>
      <c r="XW68" s="39"/>
      <c r="XX68" s="39"/>
      <c r="XY68" s="39"/>
      <c r="XZ68" s="39"/>
      <c r="YA68" s="39"/>
      <c r="YB68" s="39"/>
      <c r="YC68" s="39"/>
      <c r="YD68" s="39"/>
      <c r="YE68" s="39"/>
      <c r="YF68" s="39"/>
      <c r="YG68" s="39"/>
      <c r="YH68" s="39"/>
      <c r="YI68" s="39"/>
      <c r="YJ68" s="39"/>
      <c r="YK68" s="39"/>
      <c r="YL68" s="39"/>
      <c r="YM68" s="39"/>
      <c r="YN68" s="39"/>
      <c r="YO68" s="39"/>
      <c r="YP68" s="39"/>
      <c r="YQ68" s="39"/>
      <c r="YR68" s="39"/>
      <c r="YS68" s="39"/>
      <c r="YT68" s="39"/>
      <c r="YU68" s="39"/>
      <c r="YV68" s="39"/>
      <c r="YW68" s="39"/>
      <c r="YX68" s="39"/>
      <c r="YY68" s="39"/>
      <c r="YZ68" s="39"/>
      <c r="ZA68" s="39"/>
      <c r="ZB68" s="39"/>
      <c r="ZC68" s="39"/>
      <c r="ZD68" s="39"/>
      <c r="ZE68" s="39"/>
      <c r="ZF68" s="39"/>
      <c r="ZG68" s="39"/>
      <c r="ZH68" s="39"/>
      <c r="ZI68" s="39"/>
      <c r="ZJ68" s="39"/>
      <c r="ZK68" s="39"/>
      <c r="ZL68" s="39"/>
      <c r="ZM68" s="39"/>
      <c r="ZN68" s="39"/>
      <c r="ZO68" s="39"/>
      <c r="ZP68" s="39"/>
      <c r="ZQ68" s="39"/>
      <c r="ZR68" s="39"/>
      <c r="ZS68" s="39">
        <f>SUM(ZS58:ZS67)</f>
        <v>0</v>
      </c>
      <c r="ZT68" s="39">
        <f>SUM(ZT58:ZT67)</f>
        <v>0</v>
      </c>
      <c r="ZU68" s="39"/>
      <c r="ZV68" s="39"/>
      <c r="ZW68" s="39"/>
      <c r="ZX68" s="39"/>
      <c r="ZY68" s="39"/>
      <c r="ZZ68" s="39"/>
      <c r="AAA68" s="39"/>
      <c r="AAB68" s="39"/>
      <c r="AAC68" s="39"/>
      <c r="AAD68" s="39"/>
      <c r="AAE68" s="39"/>
      <c r="AAF68" s="39"/>
      <c r="AAG68" s="39"/>
      <c r="AAH68" s="39"/>
      <c r="AAI68" s="39"/>
      <c r="AAJ68" s="39"/>
      <c r="AAK68" s="39"/>
      <c r="AAL68" s="39"/>
      <c r="AAM68" s="39"/>
      <c r="AAN68" s="39"/>
      <c r="AAO68" s="39"/>
      <c r="AAP68" s="39"/>
      <c r="AAQ68" s="39"/>
      <c r="AAR68" s="39"/>
      <c r="AAS68" s="39"/>
      <c r="AAT68" s="39"/>
      <c r="AAU68" s="39"/>
      <c r="AAV68" s="39"/>
      <c r="AAW68" s="39"/>
      <c r="AAX68" s="39"/>
      <c r="AAY68" s="39"/>
      <c r="AAZ68" s="39"/>
      <c r="ABA68" s="39"/>
      <c r="ABB68" s="39"/>
      <c r="ABC68" s="39"/>
      <c r="ABD68" s="39"/>
      <c r="ABE68" s="39"/>
      <c r="ABF68" s="39"/>
      <c r="ABG68" s="39"/>
      <c r="ABH68" s="39"/>
      <c r="ABI68" s="39"/>
      <c r="ABJ68" s="39"/>
      <c r="ABK68" s="39"/>
      <c r="ABL68" s="39"/>
      <c r="ABM68" s="39"/>
      <c r="ABN68" s="39"/>
      <c r="ABO68" s="39"/>
      <c r="ABP68" s="39"/>
      <c r="ABQ68" s="39"/>
      <c r="ABR68" s="39"/>
      <c r="ABS68" s="39"/>
      <c r="ABT68" s="39"/>
      <c r="ABU68" s="39"/>
      <c r="ABV68" s="39"/>
      <c r="ABW68" s="39"/>
      <c r="ABX68" s="39"/>
      <c r="ABY68" s="39"/>
      <c r="ABZ68" s="39"/>
      <c r="ACA68" s="39"/>
      <c r="ACB68" s="39"/>
      <c r="ACC68" s="39"/>
      <c r="ACD68" s="39"/>
      <c r="ACE68" s="39">
        <f>SUM(ACE58:ACE67)</f>
        <v>0</v>
      </c>
      <c r="ACF68" s="39"/>
      <c r="ACG68" s="39">
        <f ca="1">SUM(ACG58:ACG67)</f>
        <v>42211.72293103447</v>
      </c>
      <c r="ACH68" s="40"/>
      <c r="ACI68" s="71" t="s">
        <v>223</v>
      </c>
      <c r="ACJ68" s="71" t="s">
        <v>37</v>
      </c>
    </row>
    <row r="69" spans="1:764" x14ac:dyDescent="0.25">
      <c r="A69" s="161">
        <v>7</v>
      </c>
      <c r="B69" s="151" t="s">
        <v>99</v>
      </c>
      <c r="C69" s="154" t="s">
        <v>3</v>
      </c>
      <c r="D69" s="49" t="s">
        <v>6</v>
      </c>
      <c r="E69" s="72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43" cm="1">
        <f t="array" ref="BO69">SUMPRODUCT(E69:BM69,--(E$2:BM$2=BO$2))</f>
        <v>0</v>
      </c>
      <c r="BP69" s="43" cm="1">
        <f t="array" ref="BP69">SUMPRODUCT(F69:BN69,--(F$2:BN$2=BP$2))</f>
        <v>0</v>
      </c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 cm="1">
        <f t="array" ref="DW69">SUMPRODUCT(BQ69:DU69,--(BQ$2:DU$2=DW$2))</f>
        <v>0</v>
      </c>
      <c r="DX69" s="43" cm="1">
        <f t="array" ref="DX69">SUMPRODUCT(BR69:DV69,--(BR$2:DV$2=DX$2))</f>
        <v>0</v>
      </c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>
        <v>29.25</v>
      </c>
      <c r="EJ69" s="43">
        <v>29.22</v>
      </c>
      <c r="EK69" s="43">
        <v>29.1</v>
      </c>
      <c r="EL69" s="43">
        <v>29.08</v>
      </c>
      <c r="EM69" s="43">
        <v>25.26</v>
      </c>
      <c r="EN69" s="43">
        <v>25.02</v>
      </c>
      <c r="EO69" s="43"/>
      <c r="EP69" s="43"/>
      <c r="EQ69" s="43">
        <v>25.38</v>
      </c>
      <c r="ER69" s="43">
        <v>25.36</v>
      </c>
      <c r="ES69" s="43"/>
      <c r="ET69" s="43"/>
      <c r="EU69" s="43"/>
      <c r="EV69" s="43"/>
      <c r="EW69" s="43">
        <v>26.66</v>
      </c>
      <c r="EX69" s="43">
        <v>26.98</v>
      </c>
      <c r="EY69" s="43"/>
      <c r="EZ69" s="43"/>
      <c r="FA69" s="43">
        <v>26.98</v>
      </c>
      <c r="FB69" s="43">
        <v>26.76</v>
      </c>
      <c r="FC69" s="43"/>
      <c r="FD69" s="43"/>
      <c r="FE69" s="43"/>
      <c r="FF69" s="43"/>
      <c r="FG69" s="43">
        <v>49.31</v>
      </c>
      <c r="FH69" s="43">
        <v>49.12</v>
      </c>
      <c r="FI69" s="43">
        <v>59.75</v>
      </c>
      <c r="FJ69" s="43">
        <v>59.54</v>
      </c>
      <c r="FK69" s="43">
        <v>55.96</v>
      </c>
      <c r="FL69" s="43">
        <v>55.7</v>
      </c>
      <c r="FM69" s="43"/>
      <c r="FN69" s="43"/>
      <c r="FO69" s="43">
        <v>29.44</v>
      </c>
      <c r="FP69" s="43">
        <v>29.44</v>
      </c>
      <c r="FQ69" s="43">
        <v>55.79</v>
      </c>
      <c r="FR69" s="43">
        <v>58.56</v>
      </c>
      <c r="FS69" s="43">
        <v>28.43</v>
      </c>
      <c r="FT69" s="43">
        <v>28.2</v>
      </c>
      <c r="FU69" s="43">
        <v>27.42</v>
      </c>
      <c r="FV69" s="43">
        <v>28.22</v>
      </c>
      <c r="FW69" s="43">
        <v>29.66</v>
      </c>
      <c r="FX69" s="43">
        <v>29.82</v>
      </c>
      <c r="FY69" s="43">
        <v>27.4</v>
      </c>
      <c r="FZ69" s="43">
        <v>27.4</v>
      </c>
      <c r="GA69" s="43">
        <v>84.25</v>
      </c>
      <c r="GB69" s="43">
        <v>84.08</v>
      </c>
      <c r="GC69" s="43">
        <v>56.75</v>
      </c>
      <c r="GD69" s="43">
        <v>56.66</v>
      </c>
      <c r="GE69" s="43">
        <v>31.28</v>
      </c>
      <c r="GF69" s="43">
        <v>31.16</v>
      </c>
      <c r="GG69" s="43">
        <v>81.3</v>
      </c>
      <c r="GH69" s="43">
        <v>81.14</v>
      </c>
      <c r="GI69" s="43" cm="1">
        <f t="array" ref="GI69">SUMPRODUCT(DY69:GG69,--(DY$2:GG$2=GI$2))</f>
        <v>779.37</v>
      </c>
      <c r="GJ69" s="43" cm="1">
        <f t="array" ref="GJ69">SUMPRODUCT(DZ69:GH69,--(DZ$2:GH$2=GJ$2))</f>
        <v>781.45999999999992</v>
      </c>
      <c r="GK69" s="43">
        <v>27.04</v>
      </c>
      <c r="GL69" s="43">
        <v>26.86</v>
      </c>
      <c r="GM69" s="43">
        <v>27</v>
      </c>
      <c r="GN69" s="43">
        <v>26.88</v>
      </c>
      <c r="GO69" s="43">
        <v>27.66</v>
      </c>
      <c r="GP69" s="43">
        <v>27.78</v>
      </c>
      <c r="GQ69" s="43">
        <v>28.06</v>
      </c>
      <c r="GR69" s="43">
        <v>28.08</v>
      </c>
      <c r="GS69" s="43">
        <v>24.18</v>
      </c>
      <c r="GT69" s="43">
        <v>24.16</v>
      </c>
      <c r="GU69" s="43">
        <v>52.95</v>
      </c>
      <c r="GV69" s="43">
        <v>52.72</v>
      </c>
      <c r="GW69" s="43">
        <v>88.34</v>
      </c>
      <c r="GX69" s="43">
        <v>88.039999999999992</v>
      </c>
      <c r="GY69" s="43">
        <v>27.2</v>
      </c>
      <c r="GZ69" s="43">
        <v>27.64</v>
      </c>
      <c r="HA69" s="43"/>
      <c r="HB69" s="43"/>
      <c r="HC69" s="43"/>
      <c r="HD69" s="43"/>
      <c r="HE69" s="43"/>
      <c r="HF69" s="43"/>
      <c r="HG69" s="43"/>
      <c r="HH69" s="43"/>
      <c r="HI69" s="43">
        <v>31.56</v>
      </c>
      <c r="HJ69" s="43">
        <v>31.86</v>
      </c>
      <c r="HK69" s="43">
        <v>28.02</v>
      </c>
      <c r="HL69" s="43">
        <v>27.92</v>
      </c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>
        <v>57.39</v>
      </c>
      <c r="HX69" s="43">
        <v>58.16</v>
      </c>
      <c r="HY69" s="43">
        <v>85.259999999999991</v>
      </c>
      <c r="HZ69" s="43">
        <v>84.62</v>
      </c>
      <c r="IA69" s="43">
        <v>54.92</v>
      </c>
      <c r="IB69" s="43">
        <v>55</v>
      </c>
      <c r="IC69" s="43">
        <v>29</v>
      </c>
      <c r="ID69" s="43">
        <v>28.28</v>
      </c>
      <c r="IE69" s="43">
        <v>29.36</v>
      </c>
      <c r="IF69" s="43">
        <v>29.3</v>
      </c>
      <c r="IG69" s="43"/>
      <c r="IH69" s="43"/>
      <c r="II69" s="43">
        <v>27.96</v>
      </c>
      <c r="IJ69" s="43">
        <v>27.88</v>
      </c>
      <c r="IK69" s="43"/>
      <c r="IL69" s="43"/>
      <c r="IM69" s="43"/>
      <c r="IN69" s="43"/>
      <c r="IO69" s="43"/>
      <c r="IP69" s="43"/>
      <c r="IQ69" s="43"/>
      <c r="IR69" s="43"/>
      <c r="IS69" s="43">
        <f t="shared" ref="IS69:IS73" si="179">GK69+GM69+GO69+GQ69+GS69+GU69+GW69+GY69+HA69+HC69+HE69+HG69+HI69+HK69+HM69+HO69+HQ69+HS69+HU69+HW69+HY69+IA69+IC69+IE69+IG69+II69+IK69+IM69+IO69+IQ69</f>
        <v>645.9</v>
      </c>
      <c r="IT69" s="43">
        <f t="shared" ref="IT69:IT73" si="180">GL69+GN69+GP69+GR69+GT69+GV69+GX69+GZ69+HB69+HD69+HF69+HH69+HJ69+HL69+HN69+HP69+HR69+HT69+HV69+HX69+HZ69+IB69+ID69+IF69+IH69+IJ69+IL69+IN69+IP69+IR69</f>
        <v>645.17999999999995</v>
      </c>
      <c r="IU69" s="43">
        <v>25.22</v>
      </c>
      <c r="IV69" s="43">
        <v>25.42</v>
      </c>
      <c r="IW69" s="43">
        <v>55.57</v>
      </c>
      <c r="IX69" s="43">
        <v>54.7</v>
      </c>
      <c r="IY69" s="43"/>
      <c r="IZ69" s="43"/>
      <c r="JA69" s="43"/>
      <c r="JB69" s="43"/>
      <c r="JC69" s="43">
        <v>27.4</v>
      </c>
      <c r="JD69" s="43">
        <v>27.4</v>
      </c>
      <c r="JE69" s="43">
        <v>52.78</v>
      </c>
      <c r="JF69" s="43">
        <v>52.78</v>
      </c>
      <c r="JG69" s="43"/>
      <c r="JH69" s="43"/>
      <c r="JI69" s="43"/>
      <c r="JJ69" s="43"/>
      <c r="JK69" s="43"/>
      <c r="JL69" s="43"/>
      <c r="JM69" s="43"/>
      <c r="JN69" s="43"/>
      <c r="JO69" s="43">
        <v>52.870000000000005</v>
      </c>
      <c r="JP69" s="43">
        <v>52.879999999999995</v>
      </c>
      <c r="JQ69" s="43"/>
      <c r="JR69" s="43"/>
      <c r="JS69" s="43"/>
      <c r="JT69" s="43"/>
      <c r="JU69" s="43"/>
      <c r="JV69" s="43"/>
      <c r="JW69" s="43"/>
      <c r="JX69" s="43"/>
      <c r="JY69" s="43"/>
      <c r="JZ69" s="43"/>
      <c r="KA69" s="43"/>
      <c r="KB69" s="43"/>
      <c r="KC69" s="43"/>
      <c r="KD69" s="43"/>
      <c r="KE69" s="43"/>
      <c r="KF69" s="43"/>
      <c r="KG69" s="43"/>
      <c r="KH69" s="43"/>
      <c r="KI69" s="43"/>
      <c r="KJ69" s="43"/>
      <c r="KK69" s="43"/>
      <c r="KL69" s="43"/>
      <c r="KM69" s="43"/>
      <c r="KN69" s="43"/>
      <c r="KO69" s="43"/>
      <c r="KP69" s="43"/>
      <c r="KQ69" s="43"/>
      <c r="KR69" s="43"/>
      <c r="KS69" s="43"/>
      <c r="KT69" s="43"/>
      <c r="KU69" s="43"/>
      <c r="KV69" s="43"/>
      <c r="KW69" s="43"/>
      <c r="KX69" s="43"/>
      <c r="KY69" s="43"/>
      <c r="KZ69" s="43"/>
      <c r="LA69" s="43"/>
      <c r="LB69" s="43"/>
      <c r="LC69" s="43"/>
      <c r="LD69" s="43"/>
      <c r="LE69" s="43"/>
      <c r="LF69" s="43"/>
      <c r="LG69" s="43"/>
      <c r="LH69" s="43"/>
      <c r="LI69" s="43"/>
      <c r="LJ69" s="43"/>
      <c r="LK69" s="43"/>
      <c r="LL69" s="43"/>
      <c r="LM69" s="43"/>
      <c r="LN69" s="43"/>
      <c r="LO69" s="43"/>
      <c r="LP69" s="43"/>
      <c r="LQ69" s="43"/>
      <c r="LR69" s="43"/>
      <c r="LS69" s="43"/>
      <c r="LT69" s="43"/>
      <c r="LU69" s="43"/>
      <c r="LV69" s="43"/>
      <c r="LW69" s="43"/>
      <c r="LX69" s="43"/>
      <c r="LY69" s="43"/>
      <c r="LZ69" s="43"/>
      <c r="MA69" s="43"/>
      <c r="MB69" s="43"/>
      <c r="MC69" s="43"/>
      <c r="MD69" s="43"/>
      <c r="ME69" s="43"/>
      <c r="MF69" s="43"/>
      <c r="MG69" s="43"/>
      <c r="MH69" s="43"/>
      <c r="MI69" s="43"/>
      <c r="MJ69" s="43"/>
      <c r="MK69" s="43"/>
      <c r="ML69" s="43"/>
      <c r="MM69" s="43"/>
      <c r="MN69" s="43"/>
      <c r="MO69" s="43"/>
      <c r="MP69" s="43"/>
      <c r="MQ69" s="43"/>
      <c r="MR69" s="43"/>
      <c r="MS69" s="43"/>
      <c r="MT69" s="43"/>
      <c r="MU69" s="43"/>
      <c r="MV69" s="43"/>
      <c r="MW69" s="43"/>
      <c r="MX69" s="43"/>
      <c r="MY69" s="43"/>
      <c r="MZ69" s="43"/>
      <c r="NA69" s="43"/>
      <c r="NB69" s="43"/>
      <c r="NC69" s="43"/>
      <c r="ND69" s="43"/>
      <c r="NE69" s="43"/>
      <c r="NF69" s="43"/>
      <c r="NG69" s="43"/>
      <c r="NH69" s="43"/>
      <c r="NI69" s="43"/>
      <c r="NJ69" s="43"/>
      <c r="NK69" s="43"/>
      <c r="NL69" s="43"/>
      <c r="NM69" s="43"/>
      <c r="NN69" s="43"/>
      <c r="NO69" s="43"/>
      <c r="NP69" s="43"/>
      <c r="NQ69" s="43"/>
      <c r="NR69" s="43"/>
      <c r="NS69" s="43"/>
      <c r="NT69" s="43"/>
      <c r="NU69" s="43"/>
      <c r="NV69" s="43"/>
      <c r="NW69" s="43"/>
      <c r="NX69" s="43"/>
      <c r="NY69" s="43"/>
      <c r="NZ69" s="43"/>
      <c r="OA69" s="43"/>
      <c r="OB69" s="43"/>
      <c r="OC69" s="43"/>
      <c r="OD69" s="43"/>
      <c r="OE69" s="43"/>
      <c r="OF69" s="43"/>
      <c r="OG69" s="43"/>
      <c r="OH69" s="43"/>
      <c r="OI69" s="43"/>
      <c r="OJ69" s="43"/>
      <c r="OK69" s="43"/>
      <c r="OL69" s="43"/>
      <c r="OM69" s="43"/>
      <c r="ON69" s="43"/>
      <c r="OO69" s="43"/>
      <c r="OP69" s="43"/>
      <c r="OQ69" s="43"/>
      <c r="OR69" s="43"/>
      <c r="OS69" s="43"/>
      <c r="OT69" s="43"/>
      <c r="OU69" s="43"/>
      <c r="OV69" s="43"/>
      <c r="OW69" s="43"/>
      <c r="OX69" s="43"/>
      <c r="OY69" s="43"/>
      <c r="OZ69" s="43"/>
      <c r="PA69" s="43"/>
      <c r="PB69" s="43"/>
      <c r="PC69" s="43"/>
      <c r="PD69" s="43"/>
      <c r="PE69" s="43"/>
      <c r="PF69" s="43"/>
      <c r="PG69" s="43"/>
      <c r="PH69" s="43"/>
      <c r="PI69" s="43"/>
      <c r="PJ69" s="43"/>
      <c r="PK69" s="43"/>
      <c r="PL69" s="43"/>
      <c r="PM69" s="43"/>
      <c r="PN69" s="43"/>
      <c r="PO69" s="43"/>
      <c r="PP69" s="43"/>
      <c r="PQ69" s="43"/>
      <c r="PR69" s="43"/>
      <c r="PS69" s="43"/>
      <c r="PT69" s="43"/>
      <c r="PU69" s="43"/>
      <c r="PV69" s="43"/>
      <c r="PW69" s="43"/>
      <c r="PX69" s="43"/>
      <c r="PY69" s="43"/>
      <c r="PZ69" s="43"/>
      <c r="QA69" s="43"/>
      <c r="QB69" s="43"/>
      <c r="QC69" s="43"/>
      <c r="QD69" s="43"/>
      <c r="QE69" s="43"/>
      <c r="QF69" s="43"/>
      <c r="QG69" s="43"/>
      <c r="QH69" s="43"/>
      <c r="QI69" s="43"/>
      <c r="QJ69" s="43"/>
      <c r="QK69" s="43"/>
      <c r="QL69" s="43"/>
      <c r="QM69" s="43"/>
      <c r="QN69" s="43"/>
      <c r="QO69" s="43"/>
      <c r="QP69" s="43"/>
      <c r="QQ69" s="43"/>
      <c r="QR69" s="43"/>
      <c r="QS69" s="43"/>
      <c r="QT69" s="43"/>
      <c r="QU69" s="43"/>
      <c r="QV69" s="43"/>
      <c r="QW69" s="43"/>
      <c r="QX69" s="43"/>
      <c r="QY69" s="43"/>
      <c r="QZ69" s="43"/>
      <c r="RA69" s="43"/>
      <c r="RB69" s="43"/>
      <c r="RC69" s="43"/>
      <c r="RD69" s="43"/>
      <c r="RE69" s="43"/>
      <c r="RF69" s="43"/>
      <c r="RG69" s="43"/>
      <c r="RH69" s="43"/>
      <c r="RI69" s="43"/>
      <c r="RJ69" s="43"/>
      <c r="RK69" s="43"/>
      <c r="RL69" s="43"/>
      <c r="RM69" s="43"/>
      <c r="RN69" s="43"/>
      <c r="RO69" s="43"/>
      <c r="RP69" s="43"/>
      <c r="RQ69" s="43"/>
      <c r="RR69" s="43"/>
      <c r="RS69" s="43"/>
      <c r="RT69" s="43"/>
      <c r="RU69" s="43"/>
      <c r="RV69" s="43"/>
      <c r="RW69" s="43"/>
      <c r="RX69" s="43"/>
      <c r="RY69" s="43"/>
      <c r="RZ69" s="43"/>
      <c r="SA69" s="43"/>
      <c r="SB69" s="43"/>
      <c r="SC69" s="43"/>
      <c r="SD69" s="43"/>
      <c r="SE69" s="43"/>
      <c r="SF69" s="43"/>
      <c r="SG69" s="43"/>
      <c r="SH69" s="43"/>
      <c r="SI69" s="43"/>
      <c r="SJ69" s="43"/>
      <c r="SK69" s="43"/>
      <c r="SL69" s="43"/>
      <c r="SM69" s="43"/>
      <c r="SN69" s="43"/>
      <c r="SO69" s="43"/>
      <c r="SP69" s="43"/>
      <c r="SQ69" s="43"/>
      <c r="SR69" s="43"/>
      <c r="SS69" s="43"/>
      <c r="ST69" s="43"/>
      <c r="SU69" s="43"/>
      <c r="SV69" s="43"/>
      <c r="SW69" s="43"/>
      <c r="SX69" s="43"/>
      <c r="SY69" s="43"/>
      <c r="SZ69" s="43"/>
      <c r="TA69" s="43"/>
      <c r="TB69" s="43"/>
      <c r="TC69" s="43"/>
      <c r="TD69" s="43"/>
      <c r="TE69" s="43"/>
      <c r="TF69" s="43"/>
      <c r="TG69" s="43"/>
      <c r="TH69" s="43"/>
      <c r="TI69" s="43"/>
      <c r="TJ69" s="43"/>
      <c r="TK69" s="43"/>
      <c r="TL69" s="43"/>
      <c r="TM69" s="43"/>
      <c r="TN69" s="43"/>
      <c r="TO69" s="43"/>
      <c r="TP69" s="43"/>
      <c r="TQ69" s="43"/>
      <c r="TR69" s="43"/>
      <c r="TS69" s="43"/>
      <c r="TT69" s="43"/>
      <c r="TU69" s="43"/>
      <c r="TV69" s="43"/>
      <c r="TW69" s="43"/>
      <c r="TX69" s="43"/>
      <c r="TY69" s="43"/>
      <c r="TZ69" s="43"/>
      <c r="UA69" s="43"/>
      <c r="UB69" s="43"/>
      <c r="UC69" s="43"/>
      <c r="UD69" s="43"/>
      <c r="UE69" s="43"/>
      <c r="UF69" s="43"/>
      <c r="UG69" s="43"/>
      <c r="UH69" s="43"/>
      <c r="UI69" s="43"/>
      <c r="UJ69" s="43"/>
      <c r="UK69" s="43"/>
      <c r="UL69" s="43"/>
      <c r="UM69" s="43"/>
      <c r="UN69" s="43"/>
      <c r="UO69" s="43"/>
      <c r="UP69" s="43"/>
      <c r="UQ69" s="43"/>
      <c r="UR69" s="43"/>
      <c r="US69" s="43"/>
      <c r="UT69" s="43"/>
      <c r="UU69" s="43"/>
      <c r="UV69" s="43"/>
      <c r="UW69" s="43"/>
      <c r="UX69" s="43"/>
      <c r="UY69" s="43"/>
      <c r="UZ69" s="43"/>
      <c r="VA69" s="43"/>
      <c r="VB69" s="43"/>
      <c r="VC69" s="43"/>
      <c r="VD69" s="43"/>
      <c r="VE69" s="43"/>
      <c r="VF69" s="43"/>
      <c r="VG69" s="43"/>
      <c r="VH69" s="43"/>
      <c r="VI69" s="43"/>
      <c r="VJ69" s="43"/>
      <c r="VK69" s="43"/>
      <c r="VL69" s="43"/>
      <c r="VM69" s="43"/>
      <c r="VN69" s="43"/>
      <c r="VO69" s="43"/>
      <c r="VP69" s="43"/>
      <c r="VQ69" s="43"/>
      <c r="VR69" s="43"/>
      <c r="VS69" s="43"/>
      <c r="VT69" s="43"/>
      <c r="VU69" s="43"/>
      <c r="VV69" s="43"/>
      <c r="VW69" s="43"/>
      <c r="VX69" s="43"/>
      <c r="VY69" s="43"/>
      <c r="VZ69" s="43"/>
      <c r="WA69" s="43"/>
      <c r="WB69" s="43"/>
      <c r="WC69" s="43"/>
      <c r="WD69" s="43"/>
      <c r="WE69" s="43"/>
      <c r="WF69" s="43"/>
      <c r="WG69" s="43"/>
      <c r="WH69" s="43"/>
      <c r="WI69" s="43"/>
      <c r="WJ69" s="43"/>
      <c r="WK69" s="43"/>
      <c r="WL69" s="43"/>
      <c r="WM69" s="43"/>
      <c r="WN69" s="43"/>
      <c r="WO69" s="43"/>
      <c r="WP69" s="43"/>
      <c r="WQ69" s="43"/>
      <c r="WR69" s="43"/>
      <c r="WS69" s="43"/>
      <c r="WT69" s="43"/>
      <c r="WU69" s="43"/>
      <c r="WV69" s="43"/>
      <c r="WW69" s="43"/>
      <c r="WX69" s="43"/>
      <c r="WY69" s="43"/>
      <c r="WZ69" s="43"/>
      <c r="XA69" s="43"/>
      <c r="XB69" s="43"/>
      <c r="XC69" s="43"/>
      <c r="XD69" s="43"/>
      <c r="XE69" s="43"/>
      <c r="XF69" s="43"/>
      <c r="XG69" s="43"/>
      <c r="XH69" s="43"/>
      <c r="XI69" s="43"/>
      <c r="XJ69" s="43"/>
      <c r="XK69" s="43"/>
      <c r="XL69" s="43"/>
      <c r="XM69" s="43"/>
      <c r="XN69" s="43"/>
      <c r="XO69" s="43"/>
      <c r="XP69" s="43"/>
      <c r="XQ69" s="43"/>
      <c r="XR69" s="43"/>
      <c r="XS69" s="43"/>
      <c r="XT69" s="43"/>
      <c r="XU69" s="43"/>
      <c r="XV69" s="43"/>
      <c r="XW69" s="43"/>
      <c r="XX69" s="43"/>
      <c r="XY69" s="43"/>
      <c r="XZ69" s="43"/>
      <c r="YA69" s="43"/>
      <c r="YB69" s="43"/>
      <c r="YC69" s="43"/>
      <c r="YD69" s="43"/>
      <c r="YE69" s="43"/>
      <c r="YF69" s="43"/>
      <c r="YG69" s="43"/>
      <c r="YH69" s="43"/>
      <c r="YI69" s="43"/>
      <c r="YJ69" s="43"/>
      <c r="YK69" s="43"/>
      <c r="YL69" s="43"/>
      <c r="YM69" s="43"/>
      <c r="YN69" s="43"/>
      <c r="YO69" s="43"/>
      <c r="YP69" s="43"/>
      <c r="YQ69" s="43"/>
      <c r="YR69" s="43"/>
      <c r="YS69" s="43"/>
      <c r="YT69" s="43"/>
      <c r="YU69" s="43"/>
      <c r="YV69" s="43"/>
      <c r="YW69" s="43"/>
      <c r="YX69" s="43"/>
      <c r="YY69" s="43"/>
      <c r="YZ69" s="43"/>
      <c r="ZA69" s="43"/>
      <c r="ZB69" s="43"/>
      <c r="ZC69" s="43"/>
      <c r="ZD69" s="43"/>
      <c r="ZE69" s="43"/>
      <c r="ZF69" s="43"/>
      <c r="ZG69" s="43"/>
      <c r="ZH69" s="43"/>
      <c r="ZI69" s="43"/>
      <c r="ZJ69" s="43"/>
      <c r="ZK69" s="43"/>
      <c r="ZL69" s="43"/>
      <c r="ZM69" s="43"/>
      <c r="ZN69" s="43"/>
      <c r="ZO69" s="43"/>
      <c r="ZP69" s="43"/>
      <c r="ZQ69" s="43"/>
      <c r="ZR69" s="43"/>
      <c r="ZS69" s="43"/>
      <c r="ZT69" s="43"/>
      <c r="ZU69" s="43"/>
      <c r="ZV69" s="43"/>
      <c r="ZW69" s="43"/>
      <c r="ZX69" s="43"/>
      <c r="ZY69" s="43"/>
      <c r="ZZ69" s="43"/>
      <c r="AAA69" s="43"/>
      <c r="AAB69" s="43"/>
      <c r="AAC69" s="43"/>
      <c r="AAD69" s="43"/>
      <c r="AAE69" s="43"/>
      <c r="AAF69" s="43"/>
      <c r="AAG69" s="43"/>
      <c r="AAH69" s="43"/>
      <c r="AAI69" s="43"/>
      <c r="AAJ69" s="43"/>
      <c r="AAK69" s="43"/>
      <c r="AAL69" s="43"/>
      <c r="AAM69" s="43"/>
      <c r="AAN69" s="43"/>
      <c r="AAO69" s="43"/>
      <c r="AAP69" s="43"/>
      <c r="AAQ69" s="43"/>
      <c r="AAR69" s="43"/>
      <c r="AAS69" s="43"/>
      <c r="AAT69" s="43"/>
      <c r="AAU69" s="43"/>
      <c r="AAV69" s="43"/>
      <c r="AAW69" s="43"/>
      <c r="AAX69" s="43"/>
      <c r="AAY69" s="43"/>
      <c r="AAZ69" s="43"/>
      <c r="ABA69" s="43"/>
      <c r="ABB69" s="43"/>
      <c r="ABC69" s="43"/>
      <c r="ABD69" s="43"/>
      <c r="ABE69" s="43"/>
      <c r="ABF69" s="43"/>
      <c r="ABG69" s="43"/>
      <c r="ABH69" s="43"/>
      <c r="ABI69" s="43"/>
      <c r="ABJ69" s="43"/>
      <c r="ABK69" s="43"/>
      <c r="ABL69" s="43"/>
      <c r="ABM69" s="43"/>
      <c r="ABN69" s="43"/>
      <c r="ABO69" s="43"/>
      <c r="ABP69" s="43"/>
      <c r="ABQ69" s="43"/>
      <c r="ABR69" s="43"/>
      <c r="ABS69" s="43"/>
      <c r="ABT69" s="43"/>
      <c r="ABU69" s="43"/>
      <c r="ABV69" s="43"/>
      <c r="ABW69" s="43"/>
      <c r="ABX69" s="43"/>
      <c r="ABY69" s="43"/>
      <c r="ABZ69" s="43"/>
      <c r="ACA69" s="43"/>
      <c r="ACB69" s="43"/>
      <c r="ACC69" s="43"/>
      <c r="ACD69" s="44"/>
      <c r="ACE69" s="43"/>
      <c r="ACF69" s="43"/>
      <c r="ACG69" s="43">
        <f>BO69+DW69+GI69+IS69+LE69+NO69+QA69+SM69+UW69+XI69+ZS69+ACE69</f>
        <v>1425.27</v>
      </c>
      <c r="ACH69" s="54"/>
      <c r="ACI69" s="71" t="s">
        <v>224</v>
      </c>
      <c r="ACJ69" s="71" t="s">
        <v>99</v>
      </c>
    </row>
    <row r="70" spans="1:764" x14ac:dyDescent="0.25">
      <c r="A70" s="162"/>
      <c r="B70" s="152"/>
      <c r="C70" s="155"/>
      <c r="D70" s="50" t="s">
        <v>7</v>
      </c>
      <c r="E70" s="74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24" cm="1">
        <f t="array" ref="BO70">SUMPRODUCT(E70:BM70,--(E$2:BM$2=BO$2))</f>
        <v>0</v>
      </c>
      <c r="BP70" s="24" cm="1">
        <f t="array" ref="BP70">SUMPRODUCT(F70:BN70,--(F$2:BN$2=BP$2))</f>
        <v>0</v>
      </c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4"/>
      <c r="DC70" s="24"/>
      <c r="DD70" s="24"/>
      <c r="DE70" s="24"/>
      <c r="DF70" s="24"/>
      <c r="DG70" s="24"/>
      <c r="DH70" s="24"/>
      <c r="DI70" s="24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 cm="1">
        <f t="array" ref="DW70">SUMPRODUCT(BQ70:DU70,--(BQ$2:DU$2=DW$2))</f>
        <v>0</v>
      </c>
      <c r="DX70" s="24" cm="1">
        <f t="array" ref="DX70">SUMPRODUCT(BR70:DV70,--(BR$2:DV$2=DX$2))</f>
        <v>0</v>
      </c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  <c r="ES70" s="24"/>
      <c r="ET70" s="24"/>
      <c r="EU70" s="24"/>
      <c r="EV70" s="24"/>
      <c r="EW70" s="24"/>
      <c r="EX70" s="24"/>
      <c r="EY70" s="24"/>
      <c r="EZ70" s="24"/>
      <c r="FA70" s="24"/>
      <c r="FB70" s="24"/>
      <c r="FC70" s="24"/>
      <c r="FD70" s="24"/>
      <c r="FE70" s="24"/>
      <c r="FF70" s="24"/>
      <c r="FG70" s="24"/>
      <c r="FH70" s="24"/>
      <c r="FI70" s="24"/>
      <c r="FJ70" s="24"/>
      <c r="FK70" s="24"/>
      <c r="FL70" s="24"/>
      <c r="FM70" s="24"/>
      <c r="FN70" s="24"/>
      <c r="FO70" s="24"/>
      <c r="FP70" s="24"/>
      <c r="FQ70" s="24"/>
      <c r="FR70" s="24"/>
      <c r="FS70" s="24"/>
      <c r="FT70" s="24"/>
      <c r="FU70" s="24"/>
      <c r="FV70" s="24"/>
      <c r="FW70" s="24"/>
      <c r="FX70" s="24"/>
      <c r="FY70" s="24"/>
      <c r="FZ70" s="24"/>
      <c r="GA70" s="24"/>
      <c r="GB70" s="24"/>
      <c r="GC70" s="24"/>
      <c r="GD70" s="24"/>
      <c r="GE70" s="24"/>
      <c r="GF70" s="24"/>
      <c r="GG70" s="24"/>
      <c r="GH70" s="24"/>
      <c r="GI70" s="24" cm="1">
        <f t="array" ref="GI70">SUMPRODUCT(DY70:GG70,--(DY$2:GG$2=GI$2))</f>
        <v>0</v>
      </c>
      <c r="GJ70" s="24" cm="1">
        <f t="array" ref="GJ70">SUMPRODUCT(DZ70:GH70,--(DZ$2:GH$2=GJ$2))</f>
        <v>0</v>
      </c>
      <c r="GK70" s="24"/>
      <c r="GL70" s="24"/>
      <c r="GM70" s="24"/>
      <c r="GN70" s="24"/>
      <c r="GO70" s="24"/>
      <c r="GP70" s="24"/>
      <c r="GQ70" s="24"/>
      <c r="GR70" s="24"/>
      <c r="GS70" s="24"/>
      <c r="GT70" s="24"/>
      <c r="GU70" s="24"/>
      <c r="GV70" s="24"/>
      <c r="GW70" s="24"/>
      <c r="GX70" s="24"/>
      <c r="GY70" s="24"/>
      <c r="GZ70" s="24"/>
      <c r="HA70" s="24"/>
      <c r="HB70" s="24"/>
      <c r="HC70" s="24"/>
      <c r="HD70" s="24"/>
      <c r="HE70" s="24"/>
      <c r="HF70" s="24"/>
      <c r="HG70" s="24"/>
      <c r="HH70" s="24"/>
      <c r="HI70" s="24"/>
      <c r="HJ70" s="24"/>
      <c r="HK70" s="24"/>
      <c r="HL70" s="24"/>
      <c r="HM70" s="24"/>
      <c r="HN70" s="24"/>
      <c r="HO70" s="24"/>
      <c r="HP70" s="24"/>
      <c r="HQ70" s="24"/>
      <c r="HR70" s="24"/>
      <c r="HS70" s="24"/>
      <c r="HT70" s="24"/>
      <c r="HU70" s="24"/>
      <c r="HV70" s="24"/>
      <c r="HW70" s="24"/>
      <c r="HX70" s="24"/>
      <c r="HY70" s="24"/>
      <c r="HZ70" s="24"/>
      <c r="IA70" s="24"/>
      <c r="IB70" s="24"/>
      <c r="IC70" s="24"/>
      <c r="ID70" s="24"/>
      <c r="IE70" s="24"/>
      <c r="IF70" s="24"/>
      <c r="IG70" s="24"/>
      <c r="IH70" s="24"/>
      <c r="II70" s="24"/>
      <c r="IJ70" s="24"/>
      <c r="IK70" s="24"/>
      <c r="IL70" s="24"/>
      <c r="IM70" s="24"/>
      <c r="IN70" s="24"/>
      <c r="IO70" s="24"/>
      <c r="IP70" s="24"/>
      <c r="IQ70" s="24"/>
      <c r="IR70" s="24"/>
      <c r="IS70" s="24">
        <f t="shared" si="179"/>
        <v>0</v>
      </c>
      <c r="IT70" s="24">
        <f t="shared" si="180"/>
        <v>0</v>
      </c>
      <c r="IU70" s="24"/>
      <c r="IV70" s="24"/>
      <c r="IW70" s="24"/>
      <c r="IX70" s="24"/>
      <c r="IY70" s="24"/>
      <c r="IZ70" s="24"/>
      <c r="JA70" s="24"/>
      <c r="JB70" s="24"/>
      <c r="JC70" s="24"/>
      <c r="JD70" s="24"/>
      <c r="JE70" s="24"/>
      <c r="JF70" s="24"/>
      <c r="JG70" s="24"/>
      <c r="JH70" s="24"/>
      <c r="JI70" s="24"/>
      <c r="JJ70" s="24"/>
      <c r="JK70" s="24"/>
      <c r="JL70" s="24"/>
      <c r="JM70" s="24"/>
      <c r="JN70" s="24"/>
      <c r="JO70" s="24"/>
      <c r="JP70" s="24"/>
      <c r="JQ70" s="24"/>
      <c r="JR70" s="24"/>
      <c r="JS70" s="24"/>
      <c r="JT70" s="24"/>
      <c r="JU70" s="24"/>
      <c r="JV70" s="24"/>
      <c r="JW70" s="24"/>
      <c r="JX70" s="24"/>
      <c r="JY70" s="24"/>
      <c r="JZ70" s="24"/>
      <c r="KA70" s="24"/>
      <c r="KB70" s="24"/>
      <c r="KC70" s="24"/>
      <c r="KD70" s="24"/>
      <c r="KE70" s="24"/>
      <c r="KF70" s="24"/>
      <c r="KG70" s="24"/>
      <c r="KH70" s="24"/>
      <c r="KI70" s="24"/>
      <c r="KJ70" s="24"/>
      <c r="KK70" s="24"/>
      <c r="KL70" s="24"/>
      <c r="KM70" s="24"/>
      <c r="KN70" s="24"/>
      <c r="KO70" s="24"/>
      <c r="KP70" s="24"/>
      <c r="KQ70" s="24"/>
      <c r="KR70" s="24"/>
      <c r="KS70" s="24"/>
      <c r="KT70" s="24"/>
      <c r="KU70" s="24"/>
      <c r="KV70" s="24"/>
      <c r="KW70" s="24"/>
      <c r="KX70" s="24"/>
      <c r="KY70" s="24"/>
      <c r="KZ70" s="24"/>
      <c r="LA70" s="24"/>
      <c r="LB70" s="24"/>
      <c r="LC70" s="24"/>
      <c r="LD70" s="24"/>
      <c r="LE70" s="24"/>
      <c r="LF70" s="24"/>
      <c r="LG70" s="24"/>
      <c r="LH70" s="24"/>
      <c r="LI70" s="24"/>
      <c r="LJ70" s="24"/>
      <c r="LK70" s="24"/>
      <c r="LL70" s="24"/>
      <c r="LM70" s="24"/>
      <c r="LN70" s="24"/>
      <c r="LO70" s="24"/>
      <c r="LP70" s="24"/>
      <c r="LQ70" s="24"/>
      <c r="LR70" s="24"/>
      <c r="LS70" s="24"/>
      <c r="LT70" s="24"/>
      <c r="LU70" s="24"/>
      <c r="LV70" s="24"/>
      <c r="LW70" s="24"/>
      <c r="LX70" s="24"/>
      <c r="LY70" s="24"/>
      <c r="LZ70" s="24"/>
      <c r="MA70" s="24"/>
      <c r="MB70" s="24"/>
      <c r="MC70" s="24"/>
      <c r="MD70" s="24"/>
      <c r="ME70" s="24"/>
      <c r="MF70" s="24"/>
      <c r="MG70" s="24"/>
      <c r="MH70" s="24"/>
      <c r="MI70" s="24"/>
      <c r="MJ70" s="24"/>
      <c r="MK70" s="24"/>
      <c r="ML70" s="24"/>
      <c r="MM70" s="24"/>
      <c r="MN70" s="24"/>
      <c r="MO70" s="24"/>
      <c r="MP70" s="24"/>
      <c r="MQ70" s="24"/>
      <c r="MR70" s="24"/>
      <c r="MS70" s="24"/>
      <c r="MT70" s="24"/>
      <c r="MU70" s="24"/>
      <c r="MV70" s="24"/>
      <c r="MW70" s="24"/>
      <c r="MX70" s="24"/>
      <c r="MY70" s="24"/>
      <c r="MZ70" s="24"/>
      <c r="NA70" s="24"/>
      <c r="NB70" s="24"/>
      <c r="NC70" s="24"/>
      <c r="ND70" s="24"/>
      <c r="NE70" s="24"/>
      <c r="NF70" s="24"/>
      <c r="NG70" s="24"/>
      <c r="NH70" s="24"/>
      <c r="NI70" s="24"/>
      <c r="NJ70" s="24"/>
      <c r="NK70" s="24"/>
      <c r="NL70" s="24"/>
      <c r="NM70" s="24"/>
      <c r="NN70" s="24"/>
      <c r="NO70" s="24"/>
      <c r="NP70" s="24"/>
      <c r="NQ70" s="24"/>
      <c r="NR70" s="24"/>
      <c r="NS70" s="24"/>
      <c r="NT70" s="24"/>
      <c r="NU70" s="24"/>
      <c r="NV70" s="24"/>
      <c r="NW70" s="24"/>
      <c r="NX70" s="24"/>
      <c r="NY70" s="24"/>
      <c r="NZ70" s="24"/>
      <c r="OA70" s="24"/>
      <c r="OB70" s="24"/>
      <c r="OC70" s="24"/>
      <c r="OD70" s="24"/>
      <c r="OE70" s="24"/>
      <c r="OF70" s="24"/>
      <c r="OG70" s="24"/>
      <c r="OH70" s="24"/>
      <c r="OI70" s="24"/>
      <c r="OJ70" s="24"/>
      <c r="OK70" s="24"/>
      <c r="OL70" s="24"/>
      <c r="OM70" s="24"/>
      <c r="ON70" s="24"/>
      <c r="OO70" s="24"/>
      <c r="OP70" s="24"/>
      <c r="OQ70" s="24"/>
      <c r="OR70" s="24"/>
      <c r="OS70" s="24"/>
      <c r="OT70" s="24"/>
      <c r="OU70" s="24"/>
      <c r="OV70" s="24"/>
      <c r="OW70" s="24"/>
      <c r="OX70" s="24"/>
      <c r="OY70" s="24"/>
      <c r="OZ70" s="24"/>
      <c r="PA70" s="24"/>
      <c r="PB70" s="24"/>
      <c r="PC70" s="24"/>
      <c r="PD70" s="24"/>
      <c r="PE70" s="24"/>
      <c r="PF70" s="24"/>
      <c r="PG70" s="24"/>
      <c r="PH70" s="24"/>
      <c r="PI70" s="24"/>
      <c r="PJ70" s="24"/>
      <c r="PK70" s="24"/>
      <c r="PL70" s="24"/>
      <c r="PM70" s="24"/>
      <c r="PN70" s="24"/>
      <c r="PO70" s="24"/>
      <c r="PP70" s="24"/>
      <c r="PQ70" s="24"/>
      <c r="PR70" s="24"/>
      <c r="PS70" s="24"/>
      <c r="PT70" s="24"/>
      <c r="PU70" s="24"/>
      <c r="PV70" s="24"/>
      <c r="PW70" s="24"/>
      <c r="PX70" s="24"/>
      <c r="PY70" s="24"/>
      <c r="PZ70" s="24"/>
      <c r="QA70" s="24"/>
      <c r="QB70" s="24"/>
      <c r="QC70" s="24"/>
      <c r="QD70" s="24"/>
      <c r="QE70" s="24"/>
      <c r="QF70" s="24"/>
      <c r="QG70" s="24"/>
      <c r="QH70" s="24"/>
      <c r="QI70" s="24"/>
      <c r="QJ70" s="24"/>
      <c r="QK70" s="24"/>
      <c r="QL70" s="24"/>
      <c r="QM70" s="24"/>
      <c r="QN70" s="24"/>
      <c r="QO70" s="24"/>
      <c r="QP70" s="24"/>
      <c r="QQ70" s="24"/>
      <c r="QR70" s="24"/>
      <c r="QS70" s="24"/>
      <c r="QT70" s="24"/>
      <c r="QU70" s="24"/>
      <c r="QV70" s="24"/>
      <c r="QW70" s="24"/>
      <c r="QX70" s="24"/>
      <c r="QY70" s="24"/>
      <c r="QZ70" s="24"/>
      <c r="RA70" s="24"/>
      <c r="RB70" s="24"/>
      <c r="RC70" s="24"/>
      <c r="RD70" s="24"/>
      <c r="RE70" s="24"/>
      <c r="RF70" s="24"/>
      <c r="RG70" s="24"/>
      <c r="RH70" s="24"/>
      <c r="RI70" s="24"/>
      <c r="RJ70" s="24"/>
      <c r="RK70" s="24"/>
      <c r="RL70" s="24"/>
      <c r="RM70" s="24"/>
      <c r="RN70" s="24"/>
      <c r="RO70" s="24"/>
      <c r="RP70" s="24"/>
      <c r="RQ70" s="24"/>
      <c r="RR70" s="24"/>
      <c r="RS70" s="24"/>
      <c r="RT70" s="24"/>
      <c r="RU70" s="24"/>
      <c r="RV70" s="24"/>
      <c r="RW70" s="24"/>
      <c r="RX70" s="24"/>
      <c r="RY70" s="24"/>
      <c r="RZ70" s="24"/>
      <c r="SA70" s="24"/>
      <c r="SB70" s="24"/>
      <c r="SC70" s="24"/>
      <c r="SD70" s="24"/>
      <c r="SE70" s="24"/>
      <c r="SF70" s="24"/>
      <c r="SG70" s="24"/>
      <c r="SH70" s="24"/>
      <c r="SI70" s="24"/>
      <c r="SJ70" s="24"/>
      <c r="SK70" s="24"/>
      <c r="SL70" s="24"/>
      <c r="SM70" s="24"/>
      <c r="SN70" s="24"/>
      <c r="SO70" s="24"/>
      <c r="SP70" s="24"/>
      <c r="SQ70" s="24"/>
      <c r="SR70" s="24"/>
      <c r="SS70" s="24"/>
      <c r="ST70" s="24"/>
      <c r="SU70" s="24"/>
      <c r="SV70" s="24"/>
      <c r="SW70" s="24"/>
      <c r="SX70" s="24"/>
      <c r="SY70" s="24"/>
      <c r="SZ70" s="24"/>
      <c r="TA70" s="24"/>
      <c r="TB70" s="24"/>
      <c r="TC70" s="24"/>
      <c r="TD70" s="24"/>
      <c r="TE70" s="24"/>
      <c r="TF70" s="24"/>
      <c r="TG70" s="24"/>
      <c r="TH70" s="24"/>
      <c r="TI70" s="24"/>
      <c r="TJ70" s="24"/>
      <c r="TK70" s="24"/>
      <c r="TL70" s="24"/>
      <c r="TM70" s="24"/>
      <c r="TN70" s="24"/>
      <c r="TO70" s="24"/>
      <c r="TP70" s="24"/>
      <c r="TQ70" s="24"/>
      <c r="TR70" s="24"/>
      <c r="TS70" s="24"/>
      <c r="TT70" s="24"/>
      <c r="TU70" s="24"/>
      <c r="TV70" s="24"/>
      <c r="TW70" s="24"/>
      <c r="TX70" s="24"/>
      <c r="TY70" s="24"/>
      <c r="TZ70" s="24"/>
      <c r="UA70" s="24"/>
      <c r="UB70" s="24"/>
      <c r="UC70" s="24"/>
      <c r="UD70" s="24"/>
      <c r="UE70" s="24"/>
      <c r="UF70" s="24"/>
      <c r="UG70" s="24"/>
      <c r="UH70" s="24"/>
      <c r="UI70" s="24"/>
      <c r="UJ70" s="24"/>
      <c r="UK70" s="24"/>
      <c r="UL70" s="24"/>
      <c r="UM70" s="24"/>
      <c r="UN70" s="24"/>
      <c r="UO70" s="24"/>
      <c r="UP70" s="24"/>
      <c r="UQ70" s="24"/>
      <c r="UR70" s="24"/>
      <c r="US70" s="24"/>
      <c r="UT70" s="24"/>
      <c r="UU70" s="24"/>
      <c r="UV70" s="24"/>
      <c r="UW70" s="24"/>
      <c r="UX70" s="24"/>
      <c r="UY70" s="24"/>
      <c r="UZ70" s="24"/>
      <c r="VA70" s="24"/>
      <c r="VB70" s="24"/>
      <c r="VC70" s="24"/>
      <c r="VD70" s="24"/>
      <c r="VE70" s="24"/>
      <c r="VF70" s="24"/>
      <c r="VG70" s="24"/>
      <c r="VH70" s="24"/>
      <c r="VI70" s="24"/>
      <c r="VJ70" s="24"/>
      <c r="VK70" s="24"/>
      <c r="VL70" s="24"/>
      <c r="VM70" s="24"/>
      <c r="VN70" s="24"/>
      <c r="VO70" s="24"/>
      <c r="VP70" s="24"/>
      <c r="VQ70" s="24"/>
      <c r="VR70" s="24"/>
      <c r="VS70" s="24"/>
      <c r="VT70" s="24"/>
      <c r="VU70" s="24"/>
      <c r="VV70" s="24"/>
      <c r="VW70" s="24"/>
      <c r="VX70" s="24"/>
      <c r="VY70" s="24"/>
      <c r="VZ70" s="24"/>
      <c r="WA70" s="24"/>
      <c r="WB70" s="24"/>
      <c r="WC70" s="24"/>
      <c r="WD70" s="24"/>
      <c r="WE70" s="24"/>
      <c r="WF70" s="24"/>
      <c r="WG70" s="24"/>
      <c r="WH70" s="24"/>
      <c r="WI70" s="24"/>
      <c r="WJ70" s="24"/>
      <c r="WK70" s="24"/>
      <c r="WL70" s="24"/>
      <c r="WM70" s="24"/>
      <c r="WN70" s="24"/>
      <c r="WO70" s="24"/>
      <c r="WP70" s="24"/>
      <c r="WQ70" s="24"/>
      <c r="WR70" s="24"/>
      <c r="WS70" s="24"/>
      <c r="WT70" s="24"/>
      <c r="WU70" s="24"/>
      <c r="WV70" s="24"/>
      <c r="WW70" s="24"/>
      <c r="WX70" s="24"/>
      <c r="WY70" s="24"/>
      <c r="WZ70" s="24"/>
      <c r="XA70" s="24"/>
      <c r="XB70" s="24"/>
      <c r="XC70" s="24"/>
      <c r="XD70" s="24"/>
      <c r="XE70" s="24"/>
      <c r="XF70" s="24"/>
      <c r="XG70" s="24"/>
      <c r="XH70" s="24"/>
      <c r="XI70" s="24"/>
      <c r="XJ70" s="24"/>
      <c r="XK70" s="24"/>
      <c r="XL70" s="24"/>
      <c r="XM70" s="24"/>
      <c r="XN70" s="24"/>
      <c r="XO70" s="24"/>
      <c r="XP70" s="24"/>
      <c r="XQ70" s="24"/>
      <c r="XR70" s="24"/>
      <c r="XS70" s="24"/>
      <c r="XT70" s="24"/>
      <c r="XU70" s="24"/>
      <c r="XV70" s="24"/>
      <c r="XW70" s="24"/>
      <c r="XX70" s="24"/>
      <c r="XY70" s="24"/>
      <c r="XZ70" s="24"/>
      <c r="YA70" s="24"/>
      <c r="YB70" s="24"/>
      <c r="YC70" s="24"/>
      <c r="YD70" s="24"/>
      <c r="YE70" s="24"/>
      <c r="YF70" s="24"/>
      <c r="YG70" s="24"/>
      <c r="YH70" s="24"/>
      <c r="YI70" s="24"/>
      <c r="YJ70" s="24"/>
      <c r="YK70" s="24"/>
      <c r="YL70" s="24"/>
      <c r="YM70" s="24"/>
      <c r="YN70" s="24"/>
      <c r="YO70" s="24"/>
      <c r="YP70" s="24"/>
      <c r="YQ70" s="24"/>
      <c r="YR70" s="24"/>
      <c r="YS70" s="24"/>
      <c r="YT70" s="24"/>
      <c r="YU70" s="24"/>
      <c r="YV70" s="24"/>
      <c r="YW70" s="24"/>
      <c r="YX70" s="24"/>
      <c r="YY70" s="24"/>
      <c r="YZ70" s="24"/>
      <c r="ZA70" s="24"/>
      <c r="ZB70" s="24"/>
      <c r="ZC70" s="24"/>
      <c r="ZD70" s="24"/>
      <c r="ZE70" s="24"/>
      <c r="ZF70" s="24"/>
      <c r="ZG70" s="24"/>
      <c r="ZH70" s="24"/>
      <c r="ZI70" s="24"/>
      <c r="ZJ70" s="24"/>
      <c r="ZK70" s="24"/>
      <c r="ZL70" s="24"/>
      <c r="ZM70" s="24"/>
      <c r="ZN70" s="24"/>
      <c r="ZO70" s="24"/>
      <c r="ZP70" s="24"/>
      <c r="ZQ70" s="24"/>
      <c r="ZR70" s="24"/>
      <c r="ZS70" s="24"/>
      <c r="ZT70" s="24"/>
      <c r="ZU70" s="24"/>
      <c r="ZV70" s="24"/>
      <c r="ZW70" s="24"/>
      <c r="ZX70" s="24"/>
      <c r="ZY70" s="24"/>
      <c r="ZZ70" s="24"/>
      <c r="AAA70" s="24"/>
      <c r="AAB70" s="24"/>
      <c r="AAC70" s="24"/>
      <c r="AAD70" s="24"/>
      <c r="AAE70" s="24"/>
      <c r="AAF70" s="24"/>
      <c r="AAG70" s="24"/>
      <c r="AAH70" s="24"/>
      <c r="AAI70" s="24"/>
      <c r="AAJ70" s="24"/>
      <c r="AAK70" s="24"/>
      <c r="AAL70" s="24"/>
      <c r="AAM70" s="24"/>
      <c r="AAN70" s="24"/>
      <c r="AAO70" s="24"/>
      <c r="AAP70" s="24"/>
      <c r="AAQ70" s="24"/>
      <c r="AAR70" s="24"/>
      <c r="AAS70" s="24"/>
      <c r="AAT70" s="24"/>
      <c r="AAU70" s="24"/>
      <c r="AAV70" s="24"/>
      <c r="AAW70" s="24"/>
      <c r="AAX70" s="24"/>
      <c r="AAY70" s="24"/>
      <c r="AAZ70" s="24"/>
      <c r="ABA70" s="24"/>
      <c r="ABB70" s="24"/>
      <c r="ABC70" s="24"/>
      <c r="ABD70" s="24"/>
      <c r="ABE70" s="24"/>
      <c r="ABF70" s="24"/>
      <c r="ABG70" s="24"/>
      <c r="ABH70" s="24"/>
      <c r="ABI70" s="24"/>
      <c r="ABJ70" s="24"/>
      <c r="ABK70" s="24"/>
      <c r="ABL70" s="24"/>
      <c r="ABM70" s="24"/>
      <c r="ABN70" s="24"/>
      <c r="ABO70" s="24"/>
      <c r="ABP70" s="24"/>
      <c r="ABQ70" s="24"/>
      <c r="ABR70" s="24"/>
      <c r="ABS70" s="24"/>
      <c r="ABT70" s="24"/>
      <c r="ABU70" s="24"/>
      <c r="ABV70" s="24"/>
      <c r="ABW70" s="24"/>
      <c r="ABX70" s="24"/>
      <c r="ABY70" s="24"/>
      <c r="ABZ70" s="24"/>
      <c r="ACA70" s="24"/>
      <c r="ACB70" s="24"/>
      <c r="ACC70" s="24"/>
      <c r="ACD70" s="24"/>
      <c r="ACE70" s="24"/>
      <c r="ACF70" s="24"/>
      <c r="ACG70" s="24">
        <f t="shared" ref="ACG70:ACG78" si="181">BO70+DW70+GI70+IS70+LE70+NO70+QA70+SM70+UW70+XI70+ZS70+ACE70</f>
        <v>0</v>
      </c>
      <c r="ACH70" s="25"/>
      <c r="ACI70" s="71" t="s">
        <v>225</v>
      </c>
      <c r="ACJ70" s="71" t="s">
        <v>99</v>
      </c>
    </row>
    <row r="71" spans="1:764" x14ac:dyDescent="0.25">
      <c r="A71" s="162"/>
      <c r="B71" s="152"/>
      <c r="C71" s="155"/>
      <c r="D71" s="50" t="s">
        <v>4</v>
      </c>
      <c r="E71" s="74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24" cm="1">
        <f t="array" ref="BO71">SUMPRODUCT(E71:BM71,--(E$2:BM$2=BO$2))</f>
        <v>0</v>
      </c>
      <c r="BP71" s="24" cm="1">
        <f t="array" ref="BP71">SUMPRODUCT(F71:BN71,--(F$2:BN$2=BP$2))</f>
        <v>0</v>
      </c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4"/>
      <c r="DA71" s="24"/>
      <c r="DB71" s="24"/>
      <c r="DC71" s="24"/>
      <c r="DD71" s="24"/>
      <c r="DE71" s="24"/>
      <c r="DF71" s="24"/>
      <c r="DG71" s="24"/>
      <c r="DH71" s="24"/>
      <c r="DI71" s="24"/>
      <c r="DJ71" s="24"/>
      <c r="DK71" s="24"/>
      <c r="DL71" s="24"/>
      <c r="DM71" s="24"/>
      <c r="DN71" s="24"/>
      <c r="DO71" s="24"/>
      <c r="DP71" s="24"/>
      <c r="DQ71" s="24"/>
      <c r="DR71" s="24"/>
      <c r="DS71" s="24"/>
      <c r="DT71" s="24"/>
      <c r="DU71" s="24"/>
      <c r="DV71" s="24"/>
      <c r="DW71" s="24" cm="1">
        <f t="array" ref="DW71">SUMPRODUCT(BQ71:DU71,--(BQ$2:DU$2=DW$2))</f>
        <v>0</v>
      </c>
      <c r="DX71" s="24" cm="1">
        <f t="array" ref="DX71">SUMPRODUCT(BR71:DV71,--(BR$2:DV$2=DX$2))</f>
        <v>0</v>
      </c>
      <c r="DY71" s="24"/>
      <c r="DZ71" s="24"/>
      <c r="EA71" s="24"/>
      <c r="EB71" s="24"/>
      <c r="EC71" s="24"/>
      <c r="ED71" s="24"/>
      <c r="EE71" s="24"/>
      <c r="EF71" s="24"/>
      <c r="EG71" s="24"/>
      <c r="EH71" s="24"/>
      <c r="EI71" s="24"/>
      <c r="EJ71" s="24"/>
      <c r="EK71" s="24"/>
      <c r="EL71" s="24"/>
      <c r="EM71" s="24"/>
      <c r="EN71" s="24"/>
      <c r="EO71" s="24"/>
      <c r="EP71" s="24"/>
      <c r="EQ71" s="24"/>
      <c r="ER71" s="24"/>
      <c r="ES71" s="24"/>
      <c r="ET71" s="24"/>
      <c r="EU71" s="24"/>
      <c r="EV71" s="24"/>
      <c r="EW71" s="24"/>
      <c r="EX71" s="24"/>
      <c r="EY71" s="24"/>
      <c r="EZ71" s="24"/>
      <c r="FA71" s="24"/>
      <c r="FB71" s="24"/>
      <c r="FC71" s="24"/>
      <c r="FD71" s="24"/>
      <c r="FE71" s="24"/>
      <c r="FF71" s="24"/>
      <c r="FG71" s="24"/>
      <c r="FH71" s="24"/>
      <c r="FI71" s="24"/>
      <c r="FJ71" s="24"/>
      <c r="FK71" s="24"/>
      <c r="FL71" s="24"/>
      <c r="FM71" s="24"/>
      <c r="FN71" s="24"/>
      <c r="FO71" s="24"/>
      <c r="FP71" s="24"/>
      <c r="FQ71" s="24"/>
      <c r="FR71" s="24"/>
      <c r="FS71" s="24"/>
      <c r="FT71" s="24"/>
      <c r="FU71" s="24"/>
      <c r="FV71" s="24"/>
      <c r="FW71" s="24"/>
      <c r="FX71" s="24"/>
      <c r="FY71" s="24"/>
      <c r="FZ71" s="24"/>
      <c r="GA71" s="24"/>
      <c r="GB71" s="24"/>
      <c r="GC71" s="24"/>
      <c r="GD71" s="24"/>
      <c r="GE71" s="24"/>
      <c r="GF71" s="24"/>
      <c r="GG71" s="24"/>
      <c r="GH71" s="24"/>
      <c r="GI71" s="24" cm="1">
        <f t="array" ref="GI71">SUMPRODUCT(DY71:GG71,--(DY$2:GG$2=GI$2))</f>
        <v>0</v>
      </c>
      <c r="GJ71" s="24" cm="1">
        <f t="array" ref="GJ71">SUMPRODUCT(DZ71:GH71,--(DZ$2:GH$2=GJ$2))</f>
        <v>0</v>
      </c>
      <c r="GK71" s="24"/>
      <c r="GL71" s="24"/>
      <c r="GM71" s="24"/>
      <c r="GN71" s="24"/>
      <c r="GO71" s="24"/>
      <c r="GP71" s="24"/>
      <c r="GQ71" s="24"/>
      <c r="GR71" s="24"/>
      <c r="GS71" s="24"/>
      <c r="GT71" s="24"/>
      <c r="GU71" s="24"/>
      <c r="GV71" s="24"/>
      <c r="GW71" s="24"/>
      <c r="GX71" s="24"/>
      <c r="GY71" s="24"/>
      <c r="GZ71" s="24"/>
      <c r="HA71" s="24"/>
      <c r="HB71" s="24"/>
      <c r="HC71" s="24"/>
      <c r="HD71" s="24"/>
      <c r="HE71" s="24"/>
      <c r="HF71" s="24"/>
      <c r="HG71" s="24"/>
      <c r="HH71" s="24"/>
      <c r="HI71" s="24"/>
      <c r="HJ71" s="24"/>
      <c r="HK71" s="24"/>
      <c r="HL71" s="24"/>
      <c r="HM71" s="24"/>
      <c r="HN71" s="24"/>
      <c r="HO71" s="24"/>
      <c r="HP71" s="24"/>
      <c r="HQ71" s="24"/>
      <c r="HR71" s="24"/>
      <c r="HS71" s="24"/>
      <c r="HT71" s="24"/>
      <c r="HU71" s="24"/>
      <c r="HV71" s="24"/>
      <c r="HW71" s="24"/>
      <c r="HX71" s="24"/>
      <c r="HY71" s="24"/>
      <c r="HZ71" s="24"/>
      <c r="IA71" s="24"/>
      <c r="IB71" s="24"/>
      <c r="IC71" s="24"/>
      <c r="ID71" s="24"/>
      <c r="IE71" s="24"/>
      <c r="IF71" s="24"/>
      <c r="IG71" s="24"/>
      <c r="IH71" s="24"/>
      <c r="II71" s="24"/>
      <c r="IJ71" s="24"/>
      <c r="IK71" s="24"/>
      <c r="IL71" s="24"/>
      <c r="IM71" s="24"/>
      <c r="IN71" s="24"/>
      <c r="IO71" s="24"/>
      <c r="IP71" s="24"/>
      <c r="IQ71" s="24"/>
      <c r="IR71" s="24"/>
      <c r="IS71" s="24">
        <f t="shared" si="179"/>
        <v>0</v>
      </c>
      <c r="IT71" s="24">
        <f t="shared" si="180"/>
        <v>0</v>
      </c>
      <c r="IU71" s="24"/>
      <c r="IV71" s="24"/>
      <c r="IW71" s="24"/>
      <c r="IX71" s="24"/>
      <c r="IY71" s="24"/>
      <c r="IZ71" s="24"/>
      <c r="JA71" s="24"/>
      <c r="JB71" s="24"/>
      <c r="JC71" s="24"/>
      <c r="JD71" s="24"/>
      <c r="JE71" s="24"/>
      <c r="JF71" s="24"/>
      <c r="JG71" s="24"/>
      <c r="JH71" s="24"/>
      <c r="JI71" s="24"/>
      <c r="JJ71" s="24"/>
      <c r="JK71" s="24"/>
      <c r="JL71" s="24"/>
      <c r="JM71" s="24"/>
      <c r="JN71" s="24"/>
      <c r="JO71" s="24"/>
      <c r="JP71" s="24"/>
      <c r="JQ71" s="24"/>
      <c r="JR71" s="24"/>
      <c r="JS71" s="24"/>
      <c r="JT71" s="24"/>
      <c r="JU71" s="24"/>
      <c r="JV71" s="24"/>
      <c r="JW71" s="24"/>
      <c r="JX71" s="24"/>
      <c r="JY71" s="24"/>
      <c r="JZ71" s="24"/>
      <c r="KA71" s="24"/>
      <c r="KB71" s="24"/>
      <c r="KC71" s="24"/>
      <c r="KD71" s="24"/>
      <c r="KE71" s="24"/>
      <c r="KF71" s="24"/>
      <c r="KG71" s="24"/>
      <c r="KH71" s="24"/>
      <c r="KI71" s="24"/>
      <c r="KJ71" s="24"/>
      <c r="KK71" s="24"/>
      <c r="KL71" s="24"/>
      <c r="KM71" s="24"/>
      <c r="KN71" s="24"/>
      <c r="KO71" s="24"/>
      <c r="KP71" s="24"/>
      <c r="KQ71" s="24"/>
      <c r="KR71" s="24"/>
      <c r="KS71" s="24"/>
      <c r="KT71" s="24"/>
      <c r="KU71" s="24"/>
      <c r="KV71" s="24"/>
      <c r="KW71" s="24"/>
      <c r="KX71" s="24"/>
      <c r="KY71" s="24"/>
      <c r="KZ71" s="24"/>
      <c r="LA71" s="24"/>
      <c r="LB71" s="24"/>
      <c r="LC71" s="24"/>
      <c r="LD71" s="24"/>
      <c r="LE71" s="24"/>
      <c r="LF71" s="24"/>
      <c r="LG71" s="24"/>
      <c r="LH71" s="24"/>
      <c r="LI71" s="24"/>
      <c r="LJ71" s="24"/>
      <c r="LK71" s="24"/>
      <c r="LL71" s="24"/>
      <c r="LM71" s="24"/>
      <c r="LN71" s="24"/>
      <c r="LO71" s="24"/>
      <c r="LP71" s="24"/>
      <c r="LQ71" s="24"/>
      <c r="LR71" s="24"/>
      <c r="LS71" s="24"/>
      <c r="LT71" s="24"/>
      <c r="LU71" s="24"/>
      <c r="LV71" s="24"/>
      <c r="LW71" s="24"/>
      <c r="LX71" s="24"/>
      <c r="LY71" s="24"/>
      <c r="LZ71" s="24"/>
      <c r="MA71" s="24"/>
      <c r="MB71" s="24"/>
      <c r="MC71" s="24"/>
      <c r="MD71" s="24"/>
      <c r="ME71" s="24"/>
      <c r="MF71" s="24"/>
      <c r="MG71" s="24"/>
      <c r="MH71" s="24"/>
      <c r="MI71" s="24"/>
      <c r="MJ71" s="24"/>
      <c r="MK71" s="24"/>
      <c r="ML71" s="24"/>
      <c r="MM71" s="24"/>
      <c r="MN71" s="24"/>
      <c r="MO71" s="24"/>
      <c r="MP71" s="24"/>
      <c r="MQ71" s="24"/>
      <c r="MR71" s="24"/>
      <c r="MS71" s="24"/>
      <c r="MT71" s="24"/>
      <c r="MU71" s="24"/>
      <c r="MV71" s="24"/>
      <c r="MW71" s="24"/>
      <c r="MX71" s="24"/>
      <c r="MY71" s="24"/>
      <c r="MZ71" s="24"/>
      <c r="NA71" s="24"/>
      <c r="NB71" s="24"/>
      <c r="NC71" s="24"/>
      <c r="ND71" s="24"/>
      <c r="NE71" s="24"/>
      <c r="NF71" s="24"/>
      <c r="NG71" s="24"/>
      <c r="NH71" s="24"/>
      <c r="NI71" s="24"/>
      <c r="NJ71" s="24"/>
      <c r="NK71" s="24"/>
      <c r="NL71" s="24"/>
      <c r="NM71" s="24"/>
      <c r="NN71" s="24"/>
      <c r="NO71" s="24"/>
      <c r="NP71" s="24"/>
      <c r="NQ71" s="24"/>
      <c r="NR71" s="24"/>
      <c r="NS71" s="24"/>
      <c r="NT71" s="24"/>
      <c r="NU71" s="24"/>
      <c r="NV71" s="24"/>
      <c r="NW71" s="24"/>
      <c r="NX71" s="24"/>
      <c r="NY71" s="24"/>
      <c r="NZ71" s="24"/>
      <c r="OA71" s="24"/>
      <c r="OB71" s="24"/>
      <c r="OC71" s="24"/>
      <c r="OD71" s="24"/>
      <c r="OE71" s="24"/>
      <c r="OF71" s="24"/>
      <c r="OG71" s="24"/>
      <c r="OH71" s="24"/>
      <c r="OI71" s="24"/>
      <c r="OJ71" s="24"/>
      <c r="OK71" s="24"/>
      <c r="OL71" s="24"/>
      <c r="OM71" s="24"/>
      <c r="ON71" s="24"/>
      <c r="OO71" s="24"/>
      <c r="OP71" s="24"/>
      <c r="OQ71" s="24"/>
      <c r="OR71" s="24"/>
      <c r="OS71" s="24"/>
      <c r="OT71" s="24"/>
      <c r="OU71" s="24"/>
      <c r="OV71" s="24"/>
      <c r="OW71" s="24"/>
      <c r="OX71" s="24"/>
      <c r="OY71" s="24"/>
      <c r="OZ71" s="24"/>
      <c r="PA71" s="24"/>
      <c r="PB71" s="24"/>
      <c r="PC71" s="24"/>
      <c r="PD71" s="24"/>
      <c r="PE71" s="24"/>
      <c r="PF71" s="24"/>
      <c r="PG71" s="24"/>
      <c r="PH71" s="24"/>
      <c r="PI71" s="24"/>
      <c r="PJ71" s="24"/>
      <c r="PK71" s="24"/>
      <c r="PL71" s="24"/>
      <c r="PM71" s="24"/>
      <c r="PN71" s="24"/>
      <c r="PO71" s="24"/>
      <c r="PP71" s="24"/>
      <c r="PQ71" s="24"/>
      <c r="PR71" s="24"/>
      <c r="PS71" s="24"/>
      <c r="PT71" s="24"/>
      <c r="PU71" s="24"/>
      <c r="PV71" s="24"/>
      <c r="PW71" s="24"/>
      <c r="PX71" s="24"/>
      <c r="PY71" s="24"/>
      <c r="PZ71" s="24"/>
      <c r="QA71" s="24"/>
      <c r="QB71" s="24"/>
      <c r="QC71" s="24"/>
      <c r="QD71" s="24"/>
      <c r="QE71" s="24"/>
      <c r="QF71" s="24"/>
      <c r="QG71" s="24"/>
      <c r="QH71" s="24"/>
      <c r="QI71" s="24"/>
      <c r="QJ71" s="24"/>
      <c r="QK71" s="24"/>
      <c r="QL71" s="24"/>
      <c r="QM71" s="24"/>
      <c r="QN71" s="24"/>
      <c r="QO71" s="24"/>
      <c r="QP71" s="24"/>
      <c r="QQ71" s="24"/>
      <c r="QR71" s="24"/>
      <c r="QS71" s="24"/>
      <c r="QT71" s="24"/>
      <c r="QU71" s="24"/>
      <c r="QV71" s="24"/>
      <c r="QW71" s="24"/>
      <c r="QX71" s="24"/>
      <c r="QY71" s="24"/>
      <c r="QZ71" s="24"/>
      <c r="RA71" s="24"/>
      <c r="RB71" s="24"/>
      <c r="RC71" s="24"/>
      <c r="RD71" s="24"/>
      <c r="RE71" s="24"/>
      <c r="RF71" s="24"/>
      <c r="RG71" s="24"/>
      <c r="RH71" s="24"/>
      <c r="RI71" s="24"/>
      <c r="RJ71" s="24"/>
      <c r="RK71" s="24"/>
      <c r="RL71" s="24"/>
      <c r="RM71" s="24"/>
      <c r="RN71" s="24"/>
      <c r="RO71" s="24"/>
      <c r="RP71" s="24"/>
      <c r="RQ71" s="24"/>
      <c r="RR71" s="24"/>
      <c r="RS71" s="24"/>
      <c r="RT71" s="24"/>
      <c r="RU71" s="24"/>
      <c r="RV71" s="24"/>
      <c r="RW71" s="24"/>
      <c r="RX71" s="24"/>
      <c r="RY71" s="24"/>
      <c r="RZ71" s="24"/>
      <c r="SA71" s="24"/>
      <c r="SB71" s="24"/>
      <c r="SC71" s="24"/>
      <c r="SD71" s="24"/>
      <c r="SE71" s="24"/>
      <c r="SF71" s="24"/>
      <c r="SG71" s="24"/>
      <c r="SH71" s="24"/>
      <c r="SI71" s="24"/>
      <c r="SJ71" s="24"/>
      <c r="SK71" s="24"/>
      <c r="SL71" s="24"/>
      <c r="SM71" s="24"/>
      <c r="SN71" s="24"/>
      <c r="SO71" s="24"/>
      <c r="SP71" s="24"/>
      <c r="SQ71" s="24"/>
      <c r="SR71" s="24"/>
      <c r="SS71" s="24"/>
      <c r="ST71" s="24"/>
      <c r="SU71" s="24"/>
      <c r="SV71" s="24"/>
      <c r="SW71" s="24"/>
      <c r="SX71" s="24"/>
      <c r="SY71" s="24"/>
      <c r="SZ71" s="24"/>
      <c r="TA71" s="24"/>
      <c r="TB71" s="24"/>
      <c r="TC71" s="24"/>
      <c r="TD71" s="24"/>
      <c r="TE71" s="24"/>
      <c r="TF71" s="24"/>
      <c r="TG71" s="24"/>
      <c r="TH71" s="24"/>
      <c r="TI71" s="24"/>
      <c r="TJ71" s="24"/>
      <c r="TK71" s="24"/>
      <c r="TL71" s="24"/>
      <c r="TM71" s="24"/>
      <c r="TN71" s="24"/>
      <c r="TO71" s="24"/>
      <c r="TP71" s="24"/>
      <c r="TQ71" s="24"/>
      <c r="TR71" s="24"/>
      <c r="TS71" s="24"/>
      <c r="TT71" s="24"/>
      <c r="TU71" s="24"/>
      <c r="TV71" s="24"/>
      <c r="TW71" s="24"/>
      <c r="TX71" s="24"/>
      <c r="TY71" s="24"/>
      <c r="TZ71" s="24"/>
      <c r="UA71" s="24"/>
      <c r="UB71" s="24"/>
      <c r="UC71" s="24"/>
      <c r="UD71" s="24"/>
      <c r="UE71" s="24"/>
      <c r="UF71" s="24"/>
      <c r="UG71" s="24"/>
      <c r="UH71" s="24"/>
      <c r="UI71" s="24"/>
      <c r="UJ71" s="24"/>
      <c r="UK71" s="24"/>
      <c r="UL71" s="24"/>
      <c r="UM71" s="24"/>
      <c r="UN71" s="24"/>
      <c r="UO71" s="24"/>
      <c r="UP71" s="24"/>
      <c r="UQ71" s="24"/>
      <c r="UR71" s="24"/>
      <c r="US71" s="24"/>
      <c r="UT71" s="24"/>
      <c r="UU71" s="24"/>
      <c r="UV71" s="24"/>
      <c r="UW71" s="24"/>
      <c r="UX71" s="24"/>
      <c r="UY71" s="24"/>
      <c r="UZ71" s="24"/>
      <c r="VA71" s="24"/>
      <c r="VB71" s="24"/>
      <c r="VC71" s="24"/>
      <c r="VD71" s="24"/>
      <c r="VE71" s="24"/>
      <c r="VF71" s="24"/>
      <c r="VG71" s="24"/>
      <c r="VH71" s="24"/>
      <c r="VI71" s="24"/>
      <c r="VJ71" s="24"/>
      <c r="VK71" s="24"/>
      <c r="VL71" s="24"/>
      <c r="VM71" s="24"/>
      <c r="VN71" s="24"/>
      <c r="VO71" s="24"/>
      <c r="VP71" s="24"/>
      <c r="VQ71" s="24"/>
      <c r="VR71" s="24"/>
      <c r="VS71" s="24"/>
      <c r="VT71" s="24"/>
      <c r="VU71" s="24"/>
      <c r="VV71" s="24"/>
      <c r="VW71" s="24"/>
      <c r="VX71" s="24"/>
      <c r="VY71" s="24"/>
      <c r="VZ71" s="24"/>
      <c r="WA71" s="24"/>
      <c r="WB71" s="24"/>
      <c r="WC71" s="24"/>
      <c r="WD71" s="24"/>
      <c r="WE71" s="24"/>
      <c r="WF71" s="24"/>
      <c r="WG71" s="24"/>
      <c r="WH71" s="24"/>
      <c r="WI71" s="24"/>
      <c r="WJ71" s="24"/>
      <c r="WK71" s="24"/>
      <c r="WL71" s="24"/>
      <c r="WM71" s="24"/>
      <c r="WN71" s="24"/>
      <c r="WO71" s="24"/>
      <c r="WP71" s="24"/>
      <c r="WQ71" s="24"/>
      <c r="WR71" s="24"/>
      <c r="WS71" s="24"/>
      <c r="WT71" s="24"/>
      <c r="WU71" s="24"/>
      <c r="WV71" s="24"/>
      <c r="WW71" s="24"/>
      <c r="WX71" s="24"/>
      <c r="WY71" s="24"/>
      <c r="WZ71" s="24"/>
      <c r="XA71" s="24"/>
      <c r="XB71" s="24"/>
      <c r="XC71" s="24"/>
      <c r="XD71" s="24"/>
      <c r="XE71" s="24"/>
      <c r="XF71" s="24"/>
      <c r="XG71" s="24"/>
      <c r="XH71" s="24"/>
      <c r="XI71" s="24"/>
      <c r="XJ71" s="24"/>
      <c r="XK71" s="24"/>
      <c r="XL71" s="24"/>
      <c r="XM71" s="24"/>
      <c r="XN71" s="24"/>
      <c r="XO71" s="24"/>
      <c r="XP71" s="24"/>
      <c r="XQ71" s="24"/>
      <c r="XR71" s="24"/>
      <c r="XS71" s="24"/>
      <c r="XT71" s="24"/>
      <c r="XU71" s="24"/>
      <c r="XV71" s="24"/>
      <c r="XW71" s="24"/>
      <c r="XX71" s="24"/>
      <c r="XY71" s="24"/>
      <c r="XZ71" s="24"/>
      <c r="YA71" s="24"/>
      <c r="YB71" s="24"/>
      <c r="YC71" s="24"/>
      <c r="YD71" s="24"/>
      <c r="YE71" s="24"/>
      <c r="YF71" s="24"/>
      <c r="YG71" s="24"/>
      <c r="YH71" s="24"/>
      <c r="YI71" s="24"/>
      <c r="YJ71" s="24"/>
      <c r="YK71" s="24"/>
      <c r="YL71" s="24"/>
      <c r="YM71" s="24"/>
      <c r="YN71" s="24"/>
      <c r="YO71" s="24"/>
      <c r="YP71" s="24"/>
      <c r="YQ71" s="24"/>
      <c r="YR71" s="24"/>
      <c r="YS71" s="24"/>
      <c r="YT71" s="24"/>
      <c r="YU71" s="24"/>
      <c r="YV71" s="24"/>
      <c r="YW71" s="24"/>
      <c r="YX71" s="24"/>
      <c r="YY71" s="24"/>
      <c r="YZ71" s="24"/>
      <c r="ZA71" s="24"/>
      <c r="ZB71" s="24"/>
      <c r="ZC71" s="24"/>
      <c r="ZD71" s="24"/>
      <c r="ZE71" s="24"/>
      <c r="ZF71" s="24"/>
      <c r="ZG71" s="24"/>
      <c r="ZH71" s="24"/>
      <c r="ZI71" s="24"/>
      <c r="ZJ71" s="24"/>
      <c r="ZK71" s="24"/>
      <c r="ZL71" s="24"/>
      <c r="ZM71" s="24"/>
      <c r="ZN71" s="24"/>
      <c r="ZO71" s="24"/>
      <c r="ZP71" s="24"/>
      <c r="ZQ71" s="24"/>
      <c r="ZR71" s="24"/>
      <c r="ZS71" s="24"/>
      <c r="ZT71" s="24"/>
      <c r="ZU71" s="24"/>
      <c r="ZV71" s="24"/>
      <c r="ZW71" s="24"/>
      <c r="ZX71" s="24"/>
      <c r="ZY71" s="24"/>
      <c r="ZZ71" s="24"/>
      <c r="AAA71" s="24"/>
      <c r="AAB71" s="24"/>
      <c r="AAC71" s="24"/>
      <c r="AAD71" s="24"/>
      <c r="AAE71" s="24"/>
      <c r="AAF71" s="24"/>
      <c r="AAG71" s="24"/>
      <c r="AAH71" s="24"/>
      <c r="AAI71" s="24"/>
      <c r="AAJ71" s="24"/>
      <c r="AAK71" s="24"/>
      <c r="AAL71" s="24"/>
      <c r="AAM71" s="24"/>
      <c r="AAN71" s="24"/>
      <c r="AAO71" s="24"/>
      <c r="AAP71" s="24"/>
      <c r="AAQ71" s="24"/>
      <c r="AAR71" s="24"/>
      <c r="AAS71" s="24"/>
      <c r="AAT71" s="24"/>
      <c r="AAU71" s="24"/>
      <c r="AAV71" s="24"/>
      <c r="AAW71" s="24"/>
      <c r="AAX71" s="24"/>
      <c r="AAY71" s="24"/>
      <c r="AAZ71" s="24"/>
      <c r="ABA71" s="24"/>
      <c r="ABB71" s="24"/>
      <c r="ABC71" s="24"/>
      <c r="ABD71" s="24"/>
      <c r="ABE71" s="24"/>
      <c r="ABF71" s="24"/>
      <c r="ABG71" s="24"/>
      <c r="ABH71" s="24"/>
      <c r="ABI71" s="24"/>
      <c r="ABJ71" s="24"/>
      <c r="ABK71" s="24"/>
      <c r="ABL71" s="24"/>
      <c r="ABM71" s="24"/>
      <c r="ABN71" s="24"/>
      <c r="ABO71" s="24"/>
      <c r="ABP71" s="24"/>
      <c r="ABQ71" s="24"/>
      <c r="ABR71" s="24"/>
      <c r="ABS71" s="24"/>
      <c r="ABT71" s="24"/>
      <c r="ABU71" s="24"/>
      <c r="ABV71" s="24"/>
      <c r="ABW71" s="24"/>
      <c r="ABX71" s="24"/>
      <c r="ABY71" s="24"/>
      <c r="ABZ71" s="24"/>
      <c r="ACA71" s="24"/>
      <c r="ACB71" s="24"/>
      <c r="ACC71" s="24"/>
      <c r="ACD71" s="24"/>
      <c r="ACE71" s="24"/>
      <c r="ACF71" s="24"/>
      <c r="ACG71" s="24">
        <f t="shared" si="181"/>
        <v>0</v>
      </c>
      <c r="ACH71" s="25"/>
      <c r="ACI71" s="71" t="s">
        <v>226</v>
      </c>
      <c r="ACJ71" s="71" t="s">
        <v>99</v>
      </c>
    </row>
    <row r="72" spans="1:764" x14ac:dyDescent="0.25">
      <c r="A72" s="162"/>
      <c r="B72" s="152"/>
      <c r="C72" s="155"/>
      <c r="D72" s="50" t="s">
        <v>8</v>
      </c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24" cm="1">
        <f t="array" ref="BO72">SUMPRODUCT(E72:BM72,--(E$2:BM$2=BO$2))</f>
        <v>0</v>
      </c>
      <c r="BP72" s="24" cm="1">
        <f t="array" ref="BP72">SUMPRODUCT(F72:BN72,--(F$2:BN$2=BP$2))</f>
        <v>0</v>
      </c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4"/>
      <c r="DC72" s="24"/>
      <c r="DD72" s="24"/>
      <c r="DE72" s="24"/>
      <c r="DF72" s="24"/>
      <c r="DG72" s="24"/>
      <c r="DH72" s="24"/>
      <c r="DI72" s="24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/>
      <c r="DW72" s="24" cm="1">
        <f t="array" ref="DW72">SUMPRODUCT(BQ72:DU72,--(BQ$2:DU$2=DW$2))</f>
        <v>0</v>
      </c>
      <c r="DX72" s="24" cm="1">
        <f t="array" ref="DX72">SUMPRODUCT(BR72:DV72,--(BR$2:DV$2=DX$2))</f>
        <v>0</v>
      </c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>
        <v>27.6</v>
      </c>
      <c r="EP72" s="24">
        <v>27.16</v>
      </c>
      <c r="EQ72" s="24">
        <v>23.28</v>
      </c>
      <c r="ER72" s="24">
        <v>23.76</v>
      </c>
      <c r="ES72" s="24"/>
      <c r="ET72" s="24"/>
      <c r="EU72" s="24">
        <v>28.33</v>
      </c>
      <c r="EV72" s="24">
        <v>28.04</v>
      </c>
      <c r="EW72" s="24">
        <v>28.36</v>
      </c>
      <c r="EX72" s="24">
        <v>27.94</v>
      </c>
      <c r="EY72" s="24">
        <v>26.44</v>
      </c>
      <c r="EZ72" s="24">
        <v>26.12</v>
      </c>
      <c r="FA72" s="24"/>
      <c r="FB72" s="24"/>
      <c r="FC72" s="24"/>
      <c r="FD72" s="24"/>
      <c r="FE72" s="24"/>
      <c r="FF72" s="24"/>
      <c r="FG72" s="24">
        <v>26.06</v>
      </c>
      <c r="FH72" s="24">
        <v>26.06</v>
      </c>
      <c r="FI72" s="24"/>
      <c r="FJ72" s="24"/>
      <c r="FK72" s="24">
        <v>28.76</v>
      </c>
      <c r="FL72" s="24">
        <v>28.98</v>
      </c>
      <c r="FM72" s="24"/>
      <c r="FN72" s="24"/>
      <c r="FO72" s="24"/>
      <c r="FP72" s="24"/>
      <c r="FQ72" s="24"/>
      <c r="FR72" s="24"/>
      <c r="FS72" s="24">
        <v>30.15</v>
      </c>
      <c r="FT72" s="24">
        <v>30</v>
      </c>
      <c r="FU72" s="24"/>
      <c r="FV72" s="24"/>
      <c r="FW72" s="24"/>
      <c r="FX72" s="24"/>
      <c r="FY72" s="24">
        <v>29.36</v>
      </c>
      <c r="FZ72" s="24">
        <v>29.26</v>
      </c>
      <c r="GA72" s="24">
        <v>80.05</v>
      </c>
      <c r="GB72" s="24">
        <v>80.239999999999995</v>
      </c>
      <c r="GC72" s="24">
        <v>87.490000000000009</v>
      </c>
      <c r="GD72" s="24">
        <v>87.54</v>
      </c>
      <c r="GE72" s="24">
        <v>58.239999999999995</v>
      </c>
      <c r="GF72" s="24">
        <v>57.94</v>
      </c>
      <c r="GG72" s="24">
        <v>56.81</v>
      </c>
      <c r="GH72" s="24">
        <v>56.980000000000004</v>
      </c>
      <c r="GI72" s="24" cm="1">
        <f t="array" ref="GI72">SUMPRODUCT(DY72:GG72,--(DY$2:GG$2=GI$2))</f>
        <v>530.93000000000006</v>
      </c>
      <c r="GJ72" s="24" cm="1">
        <f t="array" ref="GJ72">SUMPRODUCT(DZ72:GH72,--(DZ$2:GH$2=GJ$2))</f>
        <v>530.02</v>
      </c>
      <c r="GK72" s="24"/>
      <c r="GL72" s="24"/>
      <c r="GM72" s="24"/>
      <c r="GN72" s="24"/>
      <c r="GO72" s="24">
        <v>26.77</v>
      </c>
      <c r="GP72" s="24">
        <v>26.56</v>
      </c>
      <c r="GQ72" s="24">
        <v>31.04</v>
      </c>
      <c r="GR72" s="24">
        <v>30.74</v>
      </c>
      <c r="GS72" s="24"/>
      <c r="GT72" s="24"/>
      <c r="GU72" s="24"/>
      <c r="GV72" s="24"/>
      <c r="GW72" s="24"/>
      <c r="GX72" s="24"/>
      <c r="GY72" s="24"/>
      <c r="GZ72" s="24"/>
      <c r="HA72" s="24">
        <v>28.18</v>
      </c>
      <c r="HB72" s="24">
        <v>28.34</v>
      </c>
      <c r="HC72" s="24"/>
      <c r="HD72" s="24"/>
      <c r="HE72" s="24">
        <v>30.05</v>
      </c>
      <c r="HF72" s="24">
        <v>30.02</v>
      </c>
      <c r="HG72" s="24"/>
      <c r="HH72" s="24"/>
      <c r="HI72" s="24">
        <v>29.88</v>
      </c>
      <c r="HJ72" s="24">
        <v>29.6</v>
      </c>
      <c r="HK72" s="24"/>
      <c r="HL72" s="24"/>
      <c r="HM72" s="24"/>
      <c r="HN72" s="24"/>
      <c r="HO72" s="24"/>
      <c r="HP72" s="24"/>
      <c r="HQ72" s="24"/>
      <c r="HR72" s="24"/>
      <c r="HS72" s="24">
        <v>27.3</v>
      </c>
      <c r="HT72" s="24">
        <v>27.48</v>
      </c>
      <c r="HU72" s="24"/>
      <c r="HV72" s="24"/>
      <c r="HW72" s="24"/>
      <c r="HX72" s="24"/>
      <c r="HY72" s="24">
        <v>27.58</v>
      </c>
      <c r="HZ72" s="24">
        <v>27.36</v>
      </c>
      <c r="IA72" s="24">
        <v>26.91</v>
      </c>
      <c r="IB72" s="24">
        <v>26.82</v>
      </c>
      <c r="IC72" s="24"/>
      <c r="ID72" s="24"/>
      <c r="IE72" s="24"/>
      <c r="IF72" s="24"/>
      <c r="IG72" s="24"/>
      <c r="IH72" s="24"/>
      <c r="II72" s="24"/>
      <c r="IJ72" s="24"/>
      <c r="IK72" s="24"/>
      <c r="IL72" s="24"/>
      <c r="IM72" s="24"/>
      <c r="IN72" s="24"/>
      <c r="IO72" s="24"/>
      <c r="IP72" s="24"/>
      <c r="IQ72" s="24"/>
      <c r="IR72" s="24"/>
      <c r="IS72" s="24">
        <f t="shared" si="179"/>
        <v>227.71</v>
      </c>
      <c r="IT72" s="24">
        <f t="shared" si="180"/>
        <v>226.91999999999996</v>
      </c>
      <c r="IU72" s="24">
        <v>25.4</v>
      </c>
      <c r="IV72" s="24">
        <v>25.08</v>
      </c>
      <c r="IW72" s="24"/>
      <c r="IX72" s="24"/>
      <c r="IY72" s="24"/>
      <c r="IZ72" s="24"/>
      <c r="JA72" s="24"/>
      <c r="JB72" s="24"/>
      <c r="JC72" s="24">
        <v>27.64</v>
      </c>
      <c r="JD72" s="24">
        <v>27.6</v>
      </c>
      <c r="JE72" s="24"/>
      <c r="JF72" s="24"/>
      <c r="JG72" s="24"/>
      <c r="JH72" s="24"/>
      <c r="JI72" s="24"/>
      <c r="JJ72" s="24"/>
      <c r="JK72" s="24">
        <v>29.3</v>
      </c>
      <c r="JL72" s="24">
        <v>29.52</v>
      </c>
      <c r="JM72" s="24">
        <v>25.62</v>
      </c>
      <c r="JN72" s="24">
        <v>25.64</v>
      </c>
      <c r="JO72" s="24">
        <v>27.05</v>
      </c>
      <c r="JP72" s="24">
        <v>26.94</v>
      </c>
      <c r="JQ72" s="24"/>
      <c r="JR72" s="24"/>
      <c r="JS72" s="24"/>
      <c r="JT72" s="24"/>
      <c r="JU72" s="24"/>
      <c r="JV72" s="24"/>
      <c r="JW72" s="24"/>
      <c r="JX72" s="24"/>
      <c r="JY72" s="24"/>
      <c r="JZ72" s="24"/>
      <c r="KA72" s="24"/>
      <c r="KB72" s="24"/>
      <c r="KC72" s="24"/>
      <c r="KD72" s="24"/>
      <c r="KE72" s="24"/>
      <c r="KF72" s="24"/>
      <c r="KG72" s="24"/>
      <c r="KH72" s="24"/>
      <c r="KI72" s="24"/>
      <c r="KJ72" s="24"/>
      <c r="KK72" s="24"/>
      <c r="KL72" s="24"/>
      <c r="KM72" s="24"/>
      <c r="KN72" s="24"/>
      <c r="KO72" s="24"/>
      <c r="KP72" s="24"/>
      <c r="KQ72" s="24"/>
      <c r="KR72" s="24"/>
      <c r="KS72" s="24"/>
      <c r="KT72" s="24"/>
      <c r="KU72" s="24"/>
      <c r="KV72" s="24"/>
      <c r="KW72" s="24"/>
      <c r="KX72" s="24"/>
      <c r="KY72" s="24"/>
      <c r="KZ72" s="24"/>
      <c r="LA72" s="24"/>
      <c r="LB72" s="24"/>
      <c r="LC72" s="24"/>
      <c r="LD72" s="24"/>
      <c r="LE72" s="24"/>
      <c r="LF72" s="24"/>
      <c r="LG72" s="24"/>
      <c r="LH72" s="24"/>
      <c r="LI72" s="24"/>
      <c r="LJ72" s="24"/>
      <c r="LK72" s="24"/>
      <c r="LL72" s="24"/>
      <c r="LM72" s="24"/>
      <c r="LN72" s="24"/>
      <c r="LO72" s="24"/>
      <c r="LP72" s="24"/>
      <c r="LQ72" s="24"/>
      <c r="LR72" s="24"/>
      <c r="LS72" s="24"/>
      <c r="LT72" s="24"/>
      <c r="LU72" s="24"/>
      <c r="LV72" s="24"/>
      <c r="LW72" s="24"/>
      <c r="LX72" s="24"/>
      <c r="LY72" s="24"/>
      <c r="LZ72" s="24"/>
      <c r="MA72" s="24"/>
      <c r="MB72" s="24"/>
      <c r="MC72" s="24"/>
      <c r="MD72" s="24"/>
      <c r="ME72" s="24"/>
      <c r="MF72" s="24"/>
      <c r="MG72" s="24"/>
      <c r="MH72" s="24"/>
      <c r="MI72" s="24"/>
      <c r="MJ72" s="24"/>
      <c r="MK72" s="24"/>
      <c r="ML72" s="24"/>
      <c r="MM72" s="24"/>
      <c r="MN72" s="24"/>
      <c r="MO72" s="24"/>
      <c r="MP72" s="24"/>
      <c r="MQ72" s="24"/>
      <c r="MR72" s="24"/>
      <c r="MS72" s="24"/>
      <c r="MT72" s="24"/>
      <c r="MU72" s="24"/>
      <c r="MV72" s="24"/>
      <c r="MW72" s="24"/>
      <c r="MX72" s="24"/>
      <c r="MY72" s="24"/>
      <c r="MZ72" s="24"/>
      <c r="NA72" s="24"/>
      <c r="NB72" s="24"/>
      <c r="NC72" s="24"/>
      <c r="ND72" s="24"/>
      <c r="NE72" s="24"/>
      <c r="NF72" s="24"/>
      <c r="NG72" s="24"/>
      <c r="NH72" s="24"/>
      <c r="NI72" s="24"/>
      <c r="NJ72" s="24"/>
      <c r="NK72" s="24"/>
      <c r="NL72" s="24"/>
      <c r="NM72" s="24"/>
      <c r="NN72" s="24"/>
      <c r="NO72" s="24"/>
      <c r="NP72" s="24"/>
      <c r="NQ72" s="24"/>
      <c r="NR72" s="24"/>
      <c r="NS72" s="24"/>
      <c r="NT72" s="24"/>
      <c r="NU72" s="24"/>
      <c r="NV72" s="24"/>
      <c r="NW72" s="24"/>
      <c r="NX72" s="24"/>
      <c r="NY72" s="24"/>
      <c r="NZ72" s="24"/>
      <c r="OA72" s="24"/>
      <c r="OB72" s="24"/>
      <c r="OC72" s="24"/>
      <c r="OD72" s="24"/>
      <c r="OE72" s="24"/>
      <c r="OF72" s="24"/>
      <c r="OG72" s="24"/>
      <c r="OH72" s="24"/>
      <c r="OI72" s="24"/>
      <c r="OJ72" s="24"/>
      <c r="OK72" s="24"/>
      <c r="OL72" s="24"/>
      <c r="OM72" s="24"/>
      <c r="ON72" s="24"/>
      <c r="OO72" s="24"/>
      <c r="OP72" s="24"/>
      <c r="OQ72" s="24"/>
      <c r="OR72" s="24"/>
      <c r="OS72" s="24"/>
      <c r="OT72" s="24"/>
      <c r="OU72" s="24"/>
      <c r="OV72" s="24"/>
      <c r="OW72" s="24"/>
      <c r="OX72" s="24"/>
      <c r="OY72" s="24"/>
      <c r="OZ72" s="24"/>
      <c r="PA72" s="24"/>
      <c r="PB72" s="24"/>
      <c r="PC72" s="24"/>
      <c r="PD72" s="24"/>
      <c r="PE72" s="24"/>
      <c r="PF72" s="24"/>
      <c r="PG72" s="24"/>
      <c r="PH72" s="24"/>
      <c r="PI72" s="24"/>
      <c r="PJ72" s="24"/>
      <c r="PK72" s="24"/>
      <c r="PL72" s="24"/>
      <c r="PM72" s="24"/>
      <c r="PN72" s="24"/>
      <c r="PO72" s="24"/>
      <c r="PP72" s="24"/>
      <c r="PQ72" s="24"/>
      <c r="PR72" s="24"/>
      <c r="PS72" s="24"/>
      <c r="PT72" s="24"/>
      <c r="PU72" s="24"/>
      <c r="PV72" s="24"/>
      <c r="PW72" s="24"/>
      <c r="PX72" s="24"/>
      <c r="PY72" s="24"/>
      <c r="PZ72" s="24"/>
      <c r="QA72" s="24"/>
      <c r="QB72" s="24"/>
      <c r="QC72" s="24"/>
      <c r="QD72" s="24"/>
      <c r="QE72" s="24"/>
      <c r="QF72" s="24"/>
      <c r="QG72" s="24"/>
      <c r="QH72" s="24"/>
      <c r="QI72" s="24"/>
      <c r="QJ72" s="24"/>
      <c r="QK72" s="24"/>
      <c r="QL72" s="24"/>
      <c r="QM72" s="24"/>
      <c r="QN72" s="24"/>
      <c r="QO72" s="24"/>
      <c r="QP72" s="24"/>
      <c r="QQ72" s="24"/>
      <c r="QR72" s="24"/>
      <c r="QS72" s="24"/>
      <c r="QT72" s="24"/>
      <c r="QU72" s="24"/>
      <c r="QV72" s="24"/>
      <c r="QW72" s="24"/>
      <c r="QX72" s="24"/>
      <c r="QY72" s="24"/>
      <c r="QZ72" s="24"/>
      <c r="RA72" s="24"/>
      <c r="RB72" s="24"/>
      <c r="RC72" s="24"/>
      <c r="RD72" s="24"/>
      <c r="RE72" s="24"/>
      <c r="RF72" s="24"/>
      <c r="RG72" s="24"/>
      <c r="RH72" s="24"/>
      <c r="RI72" s="24"/>
      <c r="RJ72" s="24"/>
      <c r="RK72" s="24"/>
      <c r="RL72" s="24"/>
      <c r="RM72" s="24"/>
      <c r="RN72" s="24"/>
      <c r="RO72" s="24"/>
      <c r="RP72" s="24"/>
      <c r="RQ72" s="24"/>
      <c r="RR72" s="24"/>
      <c r="RS72" s="24"/>
      <c r="RT72" s="24"/>
      <c r="RU72" s="24"/>
      <c r="RV72" s="24"/>
      <c r="RW72" s="24"/>
      <c r="RX72" s="24"/>
      <c r="RY72" s="24"/>
      <c r="RZ72" s="24"/>
      <c r="SA72" s="24"/>
      <c r="SB72" s="24"/>
      <c r="SC72" s="24"/>
      <c r="SD72" s="24"/>
      <c r="SE72" s="24"/>
      <c r="SF72" s="24"/>
      <c r="SG72" s="24"/>
      <c r="SH72" s="24"/>
      <c r="SI72" s="24"/>
      <c r="SJ72" s="24"/>
      <c r="SK72" s="24"/>
      <c r="SL72" s="24"/>
      <c r="SM72" s="24"/>
      <c r="SN72" s="24"/>
      <c r="SO72" s="24"/>
      <c r="SP72" s="24"/>
      <c r="SQ72" s="24"/>
      <c r="SR72" s="24"/>
      <c r="SS72" s="24"/>
      <c r="ST72" s="24"/>
      <c r="SU72" s="24"/>
      <c r="SV72" s="24"/>
      <c r="SW72" s="24"/>
      <c r="SX72" s="24"/>
      <c r="SY72" s="24"/>
      <c r="SZ72" s="24"/>
      <c r="TA72" s="24"/>
      <c r="TB72" s="24"/>
      <c r="TC72" s="24"/>
      <c r="TD72" s="24"/>
      <c r="TE72" s="24"/>
      <c r="TF72" s="24"/>
      <c r="TG72" s="24"/>
      <c r="TH72" s="24"/>
      <c r="TI72" s="24"/>
      <c r="TJ72" s="24"/>
      <c r="TK72" s="24"/>
      <c r="TL72" s="24"/>
      <c r="TM72" s="24"/>
      <c r="TN72" s="24"/>
      <c r="TO72" s="24"/>
      <c r="TP72" s="24"/>
      <c r="TQ72" s="24"/>
      <c r="TR72" s="24"/>
      <c r="TS72" s="24"/>
      <c r="TT72" s="24"/>
      <c r="TU72" s="24"/>
      <c r="TV72" s="24"/>
      <c r="TW72" s="24"/>
      <c r="TX72" s="24"/>
      <c r="TY72" s="24"/>
      <c r="TZ72" s="24"/>
      <c r="UA72" s="24"/>
      <c r="UB72" s="24"/>
      <c r="UC72" s="24"/>
      <c r="UD72" s="24"/>
      <c r="UE72" s="24"/>
      <c r="UF72" s="24"/>
      <c r="UG72" s="24"/>
      <c r="UH72" s="24"/>
      <c r="UI72" s="24"/>
      <c r="UJ72" s="24"/>
      <c r="UK72" s="24"/>
      <c r="UL72" s="24"/>
      <c r="UM72" s="24"/>
      <c r="UN72" s="24"/>
      <c r="UO72" s="24"/>
      <c r="UP72" s="24"/>
      <c r="UQ72" s="24"/>
      <c r="UR72" s="24"/>
      <c r="US72" s="24"/>
      <c r="UT72" s="24"/>
      <c r="UU72" s="24"/>
      <c r="UV72" s="24"/>
      <c r="UW72" s="24"/>
      <c r="UX72" s="24"/>
      <c r="UY72" s="24"/>
      <c r="UZ72" s="24"/>
      <c r="VA72" s="24"/>
      <c r="VB72" s="24"/>
      <c r="VC72" s="24"/>
      <c r="VD72" s="24"/>
      <c r="VE72" s="24"/>
      <c r="VF72" s="24"/>
      <c r="VG72" s="24"/>
      <c r="VH72" s="24"/>
      <c r="VI72" s="24"/>
      <c r="VJ72" s="24"/>
      <c r="VK72" s="24"/>
      <c r="VL72" s="24"/>
      <c r="VM72" s="24"/>
      <c r="VN72" s="24"/>
      <c r="VO72" s="24"/>
      <c r="VP72" s="24"/>
      <c r="VQ72" s="24"/>
      <c r="VR72" s="24"/>
      <c r="VS72" s="24"/>
      <c r="VT72" s="24"/>
      <c r="VU72" s="24"/>
      <c r="VV72" s="24"/>
      <c r="VW72" s="24"/>
      <c r="VX72" s="24"/>
      <c r="VY72" s="24"/>
      <c r="VZ72" s="24"/>
      <c r="WA72" s="24"/>
      <c r="WB72" s="24"/>
      <c r="WC72" s="24"/>
      <c r="WD72" s="24"/>
      <c r="WE72" s="24"/>
      <c r="WF72" s="24"/>
      <c r="WG72" s="24"/>
      <c r="WH72" s="24"/>
      <c r="WI72" s="24"/>
      <c r="WJ72" s="24"/>
      <c r="WK72" s="24"/>
      <c r="WL72" s="24"/>
      <c r="WM72" s="24"/>
      <c r="WN72" s="24"/>
      <c r="WO72" s="24"/>
      <c r="WP72" s="24"/>
      <c r="WQ72" s="24"/>
      <c r="WR72" s="24"/>
      <c r="WS72" s="24"/>
      <c r="WT72" s="24"/>
      <c r="WU72" s="24"/>
      <c r="WV72" s="24"/>
      <c r="WW72" s="24"/>
      <c r="WX72" s="24"/>
      <c r="WY72" s="24"/>
      <c r="WZ72" s="24"/>
      <c r="XA72" s="24"/>
      <c r="XB72" s="24"/>
      <c r="XC72" s="24"/>
      <c r="XD72" s="24"/>
      <c r="XE72" s="24"/>
      <c r="XF72" s="24"/>
      <c r="XG72" s="24"/>
      <c r="XH72" s="24"/>
      <c r="XI72" s="24"/>
      <c r="XJ72" s="24"/>
      <c r="XK72" s="24"/>
      <c r="XL72" s="24"/>
      <c r="XM72" s="24"/>
      <c r="XN72" s="24"/>
      <c r="XO72" s="24"/>
      <c r="XP72" s="24"/>
      <c r="XQ72" s="24"/>
      <c r="XR72" s="24"/>
      <c r="XS72" s="24"/>
      <c r="XT72" s="24"/>
      <c r="XU72" s="24"/>
      <c r="XV72" s="24"/>
      <c r="XW72" s="24"/>
      <c r="XX72" s="24"/>
      <c r="XY72" s="24"/>
      <c r="XZ72" s="24"/>
      <c r="YA72" s="24"/>
      <c r="YB72" s="24"/>
      <c r="YC72" s="24"/>
      <c r="YD72" s="24"/>
      <c r="YE72" s="24"/>
      <c r="YF72" s="24"/>
      <c r="YG72" s="24"/>
      <c r="YH72" s="24"/>
      <c r="YI72" s="24"/>
      <c r="YJ72" s="24"/>
      <c r="YK72" s="24"/>
      <c r="YL72" s="24"/>
      <c r="YM72" s="24"/>
      <c r="YN72" s="24"/>
      <c r="YO72" s="24"/>
      <c r="YP72" s="24"/>
      <c r="YQ72" s="24"/>
      <c r="YR72" s="24"/>
      <c r="YS72" s="24"/>
      <c r="YT72" s="24"/>
      <c r="YU72" s="24"/>
      <c r="YV72" s="24"/>
      <c r="YW72" s="24"/>
      <c r="YX72" s="24"/>
      <c r="YY72" s="24"/>
      <c r="YZ72" s="24"/>
      <c r="ZA72" s="24"/>
      <c r="ZB72" s="24"/>
      <c r="ZC72" s="24"/>
      <c r="ZD72" s="24"/>
      <c r="ZE72" s="24"/>
      <c r="ZF72" s="24"/>
      <c r="ZG72" s="24"/>
      <c r="ZH72" s="24"/>
      <c r="ZI72" s="24"/>
      <c r="ZJ72" s="24"/>
      <c r="ZK72" s="24"/>
      <c r="ZL72" s="24"/>
      <c r="ZM72" s="24"/>
      <c r="ZN72" s="24"/>
      <c r="ZO72" s="24"/>
      <c r="ZP72" s="24"/>
      <c r="ZQ72" s="24"/>
      <c r="ZR72" s="24"/>
      <c r="ZS72" s="24"/>
      <c r="ZT72" s="24"/>
      <c r="ZU72" s="24"/>
      <c r="ZV72" s="24"/>
      <c r="ZW72" s="24"/>
      <c r="ZX72" s="24"/>
      <c r="ZY72" s="24"/>
      <c r="ZZ72" s="24"/>
      <c r="AAA72" s="24"/>
      <c r="AAB72" s="24"/>
      <c r="AAC72" s="24"/>
      <c r="AAD72" s="24"/>
      <c r="AAE72" s="24"/>
      <c r="AAF72" s="24"/>
      <c r="AAG72" s="24"/>
      <c r="AAH72" s="24"/>
      <c r="AAI72" s="24"/>
      <c r="AAJ72" s="24"/>
      <c r="AAK72" s="24"/>
      <c r="AAL72" s="24"/>
      <c r="AAM72" s="24"/>
      <c r="AAN72" s="24"/>
      <c r="AAO72" s="24"/>
      <c r="AAP72" s="24"/>
      <c r="AAQ72" s="24"/>
      <c r="AAR72" s="24"/>
      <c r="AAS72" s="24"/>
      <c r="AAT72" s="24"/>
      <c r="AAU72" s="24"/>
      <c r="AAV72" s="24"/>
      <c r="AAW72" s="24"/>
      <c r="AAX72" s="24"/>
      <c r="AAY72" s="24"/>
      <c r="AAZ72" s="24"/>
      <c r="ABA72" s="24"/>
      <c r="ABB72" s="24"/>
      <c r="ABC72" s="24"/>
      <c r="ABD72" s="24"/>
      <c r="ABE72" s="24"/>
      <c r="ABF72" s="24"/>
      <c r="ABG72" s="24"/>
      <c r="ABH72" s="24"/>
      <c r="ABI72" s="24"/>
      <c r="ABJ72" s="24"/>
      <c r="ABK72" s="24"/>
      <c r="ABL72" s="24"/>
      <c r="ABM72" s="24"/>
      <c r="ABN72" s="24"/>
      <c r="ABO72" s="24"/>
      <c r="ABP72" s="24"/>
      <c r="ABQ72" s="24"/>
      <c r="ABR72" s="24"/>
      <c r="ABS72" s="24"/>
      <c r="ABT72" s="24"/>
      <c r="ABU72" s="24"/>
      <c r="ABV72" s="24"/>
      <c r="ABW72" s="24"/>
      <c r="ABX72" s="24"/>
      <c r="ABY72" s="24"/>
      <c r="ABZ72" s="24"/>
      <c r="ACA72" s="24"/>
      <c r="ACB72" s="24"/>
      <c r="ACC72" s="24"/>
      <c r="ACD72" s="24"/>
      <c r="ACE72" s="24"/>
      <c r="ACF72" s="24"/>
      <c r="ACG72" s="24">
        <f t="shared" si="181"/>
        <v>758.6400000000001</v>
      </c>
      <c r="ACH72" s="25"/>
      <c r="ACI72" s="71" t="s">
        <v>227</v>
      </c>
      <c r="ACJ72" s="71" t="s">
        <v>99</v>
      </c>
    </row>
    <row r="73" spans="1:764" x14ac:dyDescent="0.25">
      <c r="A73" s="162"/>
      <c r="B73" s="152"/>
      <c r="C73" s="156"/>
      <c r="D73" s="51" t="s">
        <v>9</v>
      </c>
      <c r="E73" s="74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24" cm="1">
        <f t="array" ref="BO73">SUMPRODUCT(E73:BM73,--(E$2:BM$2=BO$2))</f>
        <v>0</v>
      </c>
      <c r="BP73" s="24" cm="1">
        <f t="array" ref="BP73">SUMPRODUCT(F73:BN73,--(F$2:BN$2=BP$2))</f>
        <v>0</v>
      </c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4"/>
      <c r="DA73" s="24"/>
      <c r="DB73" s="24"/>
      <c r="DC73" s="24"/>
      <c r="DD73" s="24"/>
      <c r="DE73" s="24"/>
      <c r="DF73" s="24"/>
      <c r="DG73" s="24"/>
      <c r="DH73" s="24"/>
      <c r="DI73" s="24"/>
      <c r="DJ73" s="24"/>
      <c r="DK73" s="24"/>
      <c r="DL73" s="24"/>
      <c r="DM73" s="24"/>
      <c r="DN73" s="24"/>
      <c r="DO73" s="24"/>
      <c r="DP73" s="24"/>
      <c r="DQ73" s="24"/>
      <c r="DR73" s="24"/>
      <c r="DS73" s="24"/>
      <c r="DT73" s="24"/>
      <c r="DU73" s="24"/>
      <c r="DV73" s="24"/>
      <c r="DW73" s="24" cm="1">
        <f t="array" ref="DW73">SUMPRODUCT(BQ73:DU73,--(BQ$2:DU$2=DW$2))</f>
        <v>0</v>
      </c>
      <c r="DX73" s="24" cm="1">
        <f t="array" ref="DX73">SUMPRODUCT(BR73:DV73,--(BR$2:DV$2=DX$2))</f>
        <v>0</v>
      </c>
      <c r="DY73" s="24"/>
      <c r="DZ73" s="24"/>
      <c r="EA73" s="24"/>
      <c r="EB73" s="24"/>
      <c r="EC73" s="24"/>
      <c r="ED73" s="24"/>
      <c r="EE73" s="24"/>
      <c r="EF73" s="24"/>
      <c r="EG73" s="24"/>
      <c r="EH73" s="24"/>
      <c r="EI73" s="24"/>
      <c r="EJ73" s="24"/>
      <c r="EK73" s="24"/>
      <c r="EL73" s="24"/>
      <c r="EM73" s="24"/>
      <c r="EN73" s="24"/>
      <c r="EO73" s="24"/>
      <c r="EP73" s="24"/>
      <c r="EQ73" s="24"/>
      <c r="ER73" s="24"/>
      <c r="ES73" s="24"/>
      <c r="ET73" s="24"/>
      <c r="EU73" s="24"/>
      <c r="EV73" s="24"/>
      <c r="EW73" s="24"/>
      <c r="EX73" s="24"/>
      <c r="EY73" s="24"/>
      <c r="EZ73" s="24"/>
      <c r="FA73" s="24"/>
      <c r="FB73" s="24"/>
      <c r="FC73" s="24"/>
      <c r="FD73" s="24"/>
      <c r="FE73" s="24"/>
      <c r="FF73" s="24"/>
      <c r="FG73" s="24"/>
      <c r="FH73" s="24"/>
      <c r="FI73" s="24"/>
      <c r="FJ73" s="24"/>
      <c r="FK73" s="24"/>
      <c r="FL73" s="24"/>
      <c r="FM73" s="24"/>
      <c r="FN73" s="24"/>
      <c r="FO73" s="24"/>
      <c r="FP73" s="24"/>
      <c r="FQ73" s="24"/>
      <c r="FR73" s="24"/>
      <c r="FS73" s="24"/>
      <c r="FT73" s="24"/>
      <c r="FU73" s="24"/>
      <c r="FV73" s="24"/>
      <c r="FW73" s="24"/>
      <c r="FX73" s="24"/>
      <c r="FY73" s="24"/>
      <c r="FZ73" s="24"/>
      <c r="GA73" s="24"/>
      <c r="GB73" s="24"/>
      <c r="GC73" s="24"/>
      <c r="GD73" s="24"/>
      <c r="GE73" s="24"/>
      <c r="GF73" s="24"/>
      <c r="GG73" s="24"/>
      <c r="GH73" s="24"/>
      <c r="GI73" s="24" cm="1">
        <f t="array" ref="GI73">SUMPRODUCT(DY73:GG73,--(DY$2:GG$2=GI$2))</f>
        <v>0</v>
      </c>
      <c r="GJ73" s="24" cm="1">
        <f t="array" ref="GJ73">SUMPRODUCT(DZ73:GH73,--(DZ$2:GH$2=GJ$2))</f>
        <v>0</v>
      </c>
      <c r="GK73" s="24"/>
      <c r="GL73" s="24"/>
      <c r="GM73" s="24"/>
      <c r="GN73" s="24"/>
      <c r="GO73" s="24"/>
      <c r="GP73" s="24"/>
      <c r="GQ73" s="24"/>
      <c r="GR73" s="24"/>
      <c r="GS73" s="24"/>
      <c r="GT73" s="24"/>
      <c r="GU73" s="24"/>
      <c r="GV73" s="24"/>
      <c r="GW73" s="24"/>
      <c r="GX73" s="24"/>
      <c r="GY73" s="24"/>
      <c r="GZ73" s="24"/>
      <c r="HA73" s="24"/>
      <c r="HB73" s="24"/>
      <c r="HC73" s="24"/>
      <c r="HD73" s="24"/>
      <c r="HE73" s="24"/>
      <c r="HF73" s="24"/>
      <c r="HG73" s="24"/>
      <c r="HH73" s="24"/>
      <c r="HI73" s="24"/>
      <c r="HJ73" s="24"/>
      <c r="HK73" s="24"/>
      <c r="HL73" s="24"/>
      <c r="HM73" s="24"/>
      <c r="HN73" s="24"/>
      <c r="HO73" s="24"/>
      <c r="HP73" s="24"/>
      <c r="HQ73" s="24"/>
      <c r="HR73" s="24"/>
      <c r="HS73" s="24"/>
      <c r="HT73" s="24"/>
      <c r="HU73" s="24"/>
      <c r="HV73" s="24"/>
      <c r="HW73" s="24"/>
      <c r="HX73" s="24"/>
      <c r="HY73" s="24"/>
      <c r="HZ73" s="24"/>
      <c r="IA73" s="24"/>
      <c r="IB73" s="24"/>
      <c r="IC73" s="24"/>
      <c r="ID73" s="24"/>
      <c r="IE73" s="24"/>
      <c r="IF73" s="24"/>
      <c r="IG73" s="24"/>
      <c r="IH73" s="24"/>
      <c r="II73" s="24"/>
      <c r="IJ73" s="24"/>
      <c r="IK73" s="24"/>
      <c r="IL73" s="24"/>
      <c r="IM73" s="24"/>
      <c r="IN73" s="24"/>
      <c r="IO73" s="24"/>
      <c r="IP73" s="24"/>
      <c r="IQ73" s="24"/>
      <c r="IR73" s="24"/>
      <c r="IS73" s="24">
        <f t="shared" si="179"/>
        <v>0</v>
      </c>
      <c r="IT73" s="24">
        <f t="shared" si="180"/>
        <v>0</v>
      </c>
      <c r="IU73" s="24"/>
      <c r="IV73" s="24"/>
      <c r="IW73" s="24"/>
      <c r="IX73" s="24"/>
      <c r="IY73" s="24"/>
      <c r="IZ73" s="24"/>
      <c r="JA73" s="24"/>
      <c r="JB73" s="24"/>
      <c r="JC73" s="24"/>
      <c r="JD73" s="24"/>
      <c r="JE73" s="24"/>
      <c r="JF73" s="24"/>
      <c r="JG73" s="24"/>
      <c r="JH73" s="24"/>
      <c r="JI73" s="24"/>
      <c r="JJ73" s="24"/>
      <c r="JK73" s="24"/>
      <c r="JL73" s="24"/>
      <c r="JM73" s="24"/>
      <c r="JN73" s="24"/>
      <c r="JO73" s="24"/>
      <c r="JP73" s="24"/>
      <c r="JQ73" s="24"/>
      <c r="JR73" s="24"/>
      <c r="JS73" s="24"/>
      <c r="JT73" s="24"/>
      <c r="JU73" s="24"/>
      <c r="JV73" s="24"/>
      <c r="JW73" s="24"/>
      <c r="JX73" s="24"/>
      <c r="JY73" s="24"/>
      <c r="JZ73" s="24"/>
      <c r="KA73" s="24"/>
      <c r="KB73" s="24"/>
      <c r="KC73" s="24"/>
      <c r="KD73" s="24"/>
      <c r="KE73" s="24"/>
      <c r="KF73" s="24"/>
      <c r="KG73" s="24"/>
      <c r="KH73" s="24"/>
      <c r="KI73" s="24"/>
      <c r="KJ73" s="24"/>
      <c r="KK73" s="24"/>
      <c r="KL73" s="24"/>
      <c r="KM73" s="24"/>
      <c r="KN73" s="24"/>
      <c r="KO73" s="24"/>
      <c r="KP73" s="24"/>
      <c r="KQ73" s="24"/>
      <c r="KR73" s="24"/>
      <c r="KS73" s="24"/>
      <c r="KT73" s="24"/>
      <c r="KU73" s="24"/>
      <c r="KV73" s="24"/>
      <c r="KW73" s="24"/>
      <c r="KX73" s="24"/>
      <c r="KY73" s="24"/>
      <c r="KZ73" s="24"/>
      <c r="LA73" s="24"/>
      <c r="LB73" s="24"/>
      <c r="LC73" s="24"/>
      <c r="LD73" s="24"/>
      <c r="LE73" s="24"/>
      <c r="LF73" s="24"/>
      <c r="LG73" s="24"/>
      <c r="LH73" s="24"/>
      <c r="LI73" s="24"/>
      <c r="LJ73" s="24"/>
      <c r="LK73" s="24"/>
      <c r="LL73" s="24"/>
      <c r="LM73" s="24"/>
      <c r="LN73" s="24"/>
      <c r="LO73" s="24"/>
      <c r="LP73" s="24"/>
      <c r="LQ73" s="24"/>
      <c r="LR73" s="24"/>
      <c r="LS73" s="24"/>
      <c r="LT73" s="24"/>
      <c r="LU73" s="24"/>
      <c r="LV73" s="24"/>
      <c r="LW73" s="24"/>
      <c r="LX73" s="24"/>
      <c r="LY73" s="24"/>
      <c r="LZ73" s="24"/>
      <c r="MA73" s="24"/>
      <c r="MB73" s="24"/>
      <c r="MC73" s="24"/>
      <c r="MD73" s="24"/>
      <c r="ME73" s="24"/>
      <c r="MF73" s="24"/>
      <c r="MG73" s="24"/>
      <c r="MH73" s="24"/>
      <c r="MI73" s="24"/>
      <c r="MJ73" s="24"/>
      <c r="MK73" s="24"/>
      <c r="ML73" s="24"/>
      <c r="MM73" s="24"/>
      <c r="MN73" s="24"/>
      <c r="MO73" s="24"/>
      <c r="MP73" s="24"/>
      <c r="MQ73" s="24"/>
      <c r="MR73" s="24"/>
      <c r="MS73" s="24"/>
      <c r="MT73" s="24"/>
      <c r="MU73" s="24"/>
      <c r="MV73" s="24"/>
      <c r="MW73" s="24"/>
      <c r="MX73" s="24"/>
      <c r="MY73" s="24"/>
      <c r="MZ73" s="24"/>
      <c r="NA73" s="24"/>
      <c r="NB73" s="24"/>
      <c r="NC73" s="24"/>
      <c r="ND73" s="24"/>
      <c r="NE73" s="24"/>
      <c r="NF73" s="24"/>
      <c r="NG73" s="24"/>
      <c r="NH73" s="24"/>
      <c r="NI73" s="24"/>
      <c r="NJ73" s="24"/>
      <c r="NK73" s="24"/>
      <c r="NL73" s="24"/>
      <c r="NM73" s="24"/>
      <c r="NN73" s="24"/>
      <c r="NO73" s="24"/>
      <c r="NP73" s="24"/>
      <c r="NQ73" s="24"/>
      <c r="NR73" s="24"/>
      <c r="NS73" s="24"/>
      <c r="NT73" s="24"/>
      <c r="NU73" s="24"/>
      <c r="NV73" s="24"/>
      <c r="NW73" s="24"/>
      <c r="NX73" s="24"/>
      <c r="NY73" s="24"/>
      <c r="NZ73" s="24"/>
      <c r="OA73" s="24"/>
      <c r="OB73" s="24"/>
      <c r="OC73" s="24"/>
      <c r="OD73" s="24"/>
      <c r="OE73" s="24"/>
      <c r="OF73" s="24"/>
      <c r="OG73" s="24"/>
      <c r="OH73" s="24"/>
      <c r="OI73" s="24"/>
      <c r="OJ73" s="24"/>
      <c r="OK73" s="24"/>
      <c r="OL73" s="24"/>
      <c r="OM73" s="24"/>
      <c r="ON73" s="24"/>
      <c r="OO73" s="24"/>
      <c r="OP73" s="24"/>
      <c r="OQ73" s="24"/>
      <c r="OR73" s="24"/>
      <c r="OS73" s="24"/>
      <c r="OT73" s="24"/>
      <c r="OU73" s="24"/>
      <c r="OV73" s="24"/>
      <c r="OW73" s="24"/>
      <c r="OX73" s="24"/>
      <c r="OY73" s="24"/>
      <c r="OZ73" s="24"/>
      <c r="PA73" s="24"/>
      <c r="PB73" s="24"/>
      <c r="PC73" s="24"/>
      <c r="PD73" s="24"/>
      <c r="PE73" s="24"/>
      <c r="PF73" s="24"/>
      <c r="PG73" s="24"/>
      <c r="PH73" s="24"/>
      <c r="PI73" s="24"/>
      <c r="PJ73" s="24"/>
      <c r="PK73" s="24"/>
      <c r="PL73" s="24"/>
      <c r="PM73" s="24"/>
      <c r="PN73" s="24"/>
      <c r="PO73" s="24"/>
      <c r="PP73" s="24"/>
      <c r="PQ73" s="24"/>
      <c r="PR73" s="24"/>
      <c r="PS73" s="24"/>
      <c r="PT73" s="24"/>
      <c r="PU73" s="24"/>
      <c r="PV73" s="24"/>
      <c r="PW73" s="24"/>
      <c r="PX73" s="24"/>
      <c r="PY73" s="24"/>
      <c r="PZ73" s="24"/>
      <c r="QA73" s="24"/>
      <c r="QB73" s="24"/>
      <c r="QC73" s="24"/>
      <c r="QD73" s="24"/>
      <c r="QE73" s="24"/>
      <c r="QF73" s="24"/>
      <c r="QG73" s="24"/>
      <c r="QH73" s="24"/>
      <c r="QI73" s="24"/>
      <c r="QJ73" s="24"/>
      <c r="QK73" s="24"/>
      <c r="QL73" s="24"/>
      <c r="QM73" s="24"/>
      <c r="QN73" s="24"/>
      <c r="QO73" s="24"/>
      <c r="QP73" s="24"/>
      <c r="QQ73" s="24"/>
      <c r="QR73" s="24"/>
      <c r="QS73" s="24"/>
      <c r="QT73" s="24"/>
      <c r="QU73" s="24"/>
      <c r="QV73" s="24"/>
      <c r="QW73" s="24"/>
      <c r="QX73" s="24"/>
      <c r="QY73" s="24"/>
      <c r="QZ73" s="24"/>
      <c r="RA73" s="24"/>
      <c r="RB73" s="24"/>
      <c r="RC73" s="24"/>
      <c r="RD73" s="24"/>
      <c r="RE73" s="24"/>
      <c r="RF73" s="24"/>
      <c r="RG73" s="24"/>
      <c r="RH73" s="24"/>
      <c r="RI73" s="24"/>
      <c r="RJ73" s="24"/>
      <c r="RK73" s="24"/>
      <c r="RL73" s="24"/>
      <c r="RM73" s="24"/>
      <c r="RN73" s="24"/>
      <c r="RO73" s="24"/>
      <c r="RP73" s="24"/>
      <c r="RQ73" s="24"/>
      <c r="RR73" s="24"/>
      <c r="RS73" s="24"/>
      <c r="RT73" s="24"/>
      <c r="RU73" s="24"/>
      <c r="RV73" s="24"/>
      <c r="RW73" s="24"/>
      <c r="RX73" s="24"/>
      <c r="RY73" s="24"/>
      <c r="RZ73" s="24"/>
      <c r="SA73" s="24"/>
      <c r="SB73" s="24"/>
      <c r="SC73" s="24"/>
      <c r="SD73" s="24"/>
      <c r="SE73" s="24"/>
      <c r="SF73" s="24"/>
      <c r="SG73" s="24"/>
      <c r="SH73" s="24"/>
      <c r="SI73" s="24"/>
      <c r="SJ73" s="24"/>
      <c r="SK73" s="24"/>
      <c r="SL73" s="24"/>
      <c r="SM73" s="24"/>
      <c r="SN73" s="24"/>
      <c r="SO73" s="24"/>
      <c r="SP73" s="24"/>
      <c r="SQ73" s="24"/>
      <c r="SR73" s="24"/>
      <c r="SS73" s="24"/>
      <c r="ST73" s="24"/>
      <c r="SU73" s="24"/>
      <c r="SV73" s="24"/>
      <c r="SW73" s="24"/>
      <c r="SX73" s="24"/>
      <c r="SY73" s="24"/>
      <c r="SZ73" s="24"/>
      <c r="TA73" s="24"/>
      <c r="TB73" s="24"/>
      <c r="TC73" s="24"/>
      <c r="TD73" s="24"/>
      <c r="TE73" s="24"/>
      <c r="TF73" s="24"/>
      <c r="TG73" s="24"/>
      <c r="TH73" s="24"/>
      <c r="TI73" s="24"/>
      <c r="TJ73" s="24"/>
      <c r="TK73" s="24"/>
      <c r="TL73" s="24"/>
      <c r="TM73" s="24"/>
      <c r="TN73" s="24"/>
      <c r="TO73" s="24"/>
      <c r="TP73" s="24"/>
      <c r="TQ73" s="24"/>
      <c r="TR73" s="24"/>
      <c r="TS73" s="24"/>
      <c r="TT73" s="24"/>
      <c r="TU73" s="24"/>
      <c r="TV73" s="24"/>
      <c r="TW73" s="24"/>
      <c r="TX73" s="24"/>
      <c r="TY73" s="24"/>
      <c r="TZ73" s="24"/>
      <c r="UA73" s="24"/>
      <c r="UB73" s="24"/>
      <c r="UC73" s="24"/>
      <c r="UD73" s="24"/>
      <c r="UE73" s="24"/>
      <c r="UF73" s="24"/>
      <c r="UG73" s="24"/>
      <c r="UH73" s="24"/>
      <c r="UI73" s="24"/>
      <c r="UJ73" s="24"/>
      <c r="UK73" s="24"/>
      <c r="UL73" s="24"/>
      <c r="UM73" s="24"/>
      <c r="UN73" s="24"/>
      <c r="UO73" s="24"/>
      <c r="UP73" s="24"/>
      <c r="UQ73" s="24"/>
      <c r="UR73" s="24"/>
      <c r="US73" s="24"/>
      <c r="UT73" s="24"/>
      <c r="UU73" s="24"/>
      <c r="UV73" s="24"/>
      <c r="UW73" s="24"/>
      <c r="UX73" s="24"/>
      <c r="UY73" s="24"/>
      <c r="UZ73" s="24"/>
      <c r="VA73" s="24"/>
      <c r="VB73" s="24"/>
      <c r="VC73" s="24"/>
      <c r="VD73" s="24"/>
      <c r="VE73" s="24"/>
      <c r="VF73" s="24"/>
      <c r="VG73" s="24"/>
      <c r="VH73" s="24"/>
      <c r="VI73" s="24"/>
      <c r="VJ73" s="24"/>
      <c r="VK73" s="24"/>
      <c r="VL73" s="24"/>
      <c r="VM73" s="24"/>
      <c r="VN73" s="24"/>
      <c r="VO73" s="24"/>
      <c r="VP73" s="24"/>
      <c r="VQ73" s="24"/>
      <c r="VR73" s="24"/>
      <c r="VS73" s="24"/>
      <c r="VT73" s="24"/>
      <c r="VU73" s="24"/>
      <c r="VV73" s="24"/>
      <c r="VW73" s="24"/>
      <c r="VX73" s="24"/>
      <c r="VY73" s="24"/>
      <c r="VZ73" s="24"/>
      <c r="WA73" s="24"/>
      <c r="WB73" s="24"/>
      <c r="WC73" s="24"/>
      <c r="WD73" s="24"/>
      <c r="WE73" s="24"/>
      <c r="WF73" s="24"/>
      <c r="WG73" s="24"/>
      <c r="WH73" s="24"/>
      <c r="WI73" s="24"/>
      <c r="WJ73" s="24"/>
      <c r="WK73" s="24"/>
      <c r="WL73" s="24"/>
      <c r="WM73" s="24"/>
      <c r="WN73" s="24"/>
      <c r="WO73" s="24"/>
      <c r="WP73" s="24"/>
      <c r="WQ73" s="24"/>
      <c r="WR73" s="24"/>
      <c r="WS73" s="24"/>
      <c r="WT73" s="24"/>
      <c r="WU73" s="24"/>
      <c r="WV73" s="24"/>
      <c r="WW73" s="24"/>
      <c r="WX73" s="24"/>
      <c r="WY73" s="24"/>
      <c r="WZ73" s="24"/>
      <c r="XA73" s="24"/>
      <c r="XB73" s="24"/>
      <c r="XC73" s="24"/>
      <c r="XD73" s="24"/>
      <c r="XE73" s="24"/>
      <c r="XF73" s="24"/>
      <c r="XG73" s="24"/>
      <c r="XH73" s="24"/>
      <c r="XI73" s="24"/>
      <c r="XJ73" s="24"/>
      <c r="XK73" s="24"/>
      <c r="XL73" s="24"/>
      <c r="XM73" s="24"/>
      <c r="XN73" s="24"/>
      <c r="XO73" s="24"/>
      <c r="XP73" s="24"/>
      <c r="XQ73" s="24"/>
      <c r="XR73" s="24"/>
      <c r="XS73" s="24"/>
      <c r="XT73" s="24"/>
      <c r="XU73" s="24"/>
      <c r="XV73" s="24"/>
      <c r="XW73" s="24"/>
      <c r="XX73" s="24"/>
      <c r="XY73" s="24"/>
      <c r="XZ73" s="24"/>
      <c r="YA73" s="24"/>
      <c r="YB73" s="24"/>
      <c r="YC73" s="24"/>
      <c r="YD73" s="24"/>
      <c r="YE73" s="24"/>
      <c r="YF73" s="24"/>
      <c r="YG73" s="24"/>
      <c r="YH73" s="24"/>
      <c r="YI73" s="24"/>
      <c r="YJ73" s="24"/>
      <c r="YK73" s="24"/>
      <c r="YL73" s="24"/>
      <c r="YM73" s="24"/>
      <c r="YN73" s="24"/>
      <c r="YO73" s="24"/>
      <c r="YP73" s="24"/>
      <c r="YQ73" s="24"/>
      <c r="YR73" s="24"/>
      <c r="YS73" s="24"/>
      <c r="YT73" s="24"/>
      <c r="YU73" s="24"/>
      <c r="YV73" s="24"/>
      <c r="YW73" s="24"/>
      <c r="YX73" s="24"/>
      <c r="YY73" s="24"/>
      <c r="YZ73" s="24"/>
      <c r="ZA73" s="24"/>
      <c r="ZB73" s="24"/>
      <c r="ZC73" s="24"/>
      <c r="ZD73" s="24"/>
      <c r="ZE73" s="24"/>
      <c r="ZF73" s="24"/>
      <c r="ZG73" s="24"/>
      <c r="ZH73" s="24"/>
      <c r="ZI73" s="24"/>
      <c r="ZJ73" s="24"/>
      <c r="ZK73" s="24"/>
      <c r="ZL73" s="24"/>
      <c r="ZM73" s="24"/>
      <c r="ZN73" s="24"/>
      <c r="ZO73" s="24"/>
      <c r="ZP73" s="24"/>
      <c r="ZQ73" s="24"/>
      <c r="ZR73" s="24"/>
      <c r="ZS73" s="24"/>
      <c r="ZT73" s="24"/>
      <c r="ZU73" s="24"/>
      <c r="ZV73" s="24"/>
      <c r="ZW73" s="24"/>
      <c r="ZX73" s="24"/>
      <c r="ZY73" s="24"/>
      <c r="ZZ73" s="24"/>
      <c r="AAA73" s="24"/>
      <c r="AAB73" s="24"/>
      <c r="AAC73" s="24"/>
      <c r="AAD73" s="24"/>
      <c r="AAE73" s="24"/>
      <c r="AAF73" s="24"/>
      <c r="AAG73" s="24"/>
      <c r="AAH73" s="24"/>
      <c r="AAI73" s="24"/>
      <c r="AAJ73" s="24"/>
      <c r="AAK73" s="24"/>
      <c r="AAL73" s="24"/>
      <c r="AAM73" s="24"/>
      <c r="AAN73" s="24"/>
      <c r="AAO73" s="24"/>
      <c r="AAP73" s="24"/>
      <c r="AAQ73" s="24"/>
      <c r="AAR73" s="24"/>
      <c r="AAS73" s="24"/>
      <c r="AAT73" s="24"/>
      <c r="AAU73" s="24"/>
      <c r="AAV73" s="24"/>
      <c r="AAW73" s="24"/>
      <c r="AAX73" s="24"/>
      <c r="AAY73" s="24"/>
      <c r="AAZ73" s="24"/>
      <c r="ABA73" s="24"/>
      <c r="ABB73" s="24"/>
      <c r="ABC73" s="24"/>
      <c r="ABD73" s="24"/>
      <c r="ABE73" s="24"/>
      <c r="ABF73" s="24"/>
      <c r="ABG73" s="24"/>
      <c r="ABH73" s="24"/>
      <c r="ABI73" s="24"/>
      <c r="ABJ73" s="24"/>
      <c r="ABK73" s="24"/>
      <c r="ABL73" s="24"/>
      <c r="ABM73" s="24"/>
      <c r="ABN73" s="24"/>
      <c r="ABO73" s="24"/>
      <c r="ABP73" s="24"/>
      <c r="ABQ73" s="24"/>
      <c r="ABR73" s="24"/>
      <c r="ABS73" s="24"/>
      <c r="ABT73" s="24"/>
      <c r="ABU73" s="24"/>
      <c r="ABV73" s="24"/>
      <c r="ABW73" s="24"/>
      <c r="ABX73" s="24"/>
      <c r="ABY73" s="24"/>
      <c r="ABZ73" s="24"/>
      <c r="ACA73" s="24"/>
      <c r="ACB73" s="24"/>
      <c r="ACC73" s="24"/>
      <c r="ACD73" s="24"/>
      <c r="ACE73" s="24"/>
      <c r="ACF73" s="24"/>
      <c r="ACG73" s="24">
        <f t="shared" si="181"/>
        <v>0</v>
      </c>
      <c r="ACH73" s="25"/>
      <c r="ACI73" s="71" t="s">
        <v>228</v>
      </c>
      <c r="ACJ73" s="71" t="s">
        <v>99</v>
      </c>
    </row>
    <row r="74" spans="1:764" x14ac:dyDescent="0.25">
      <c r="A74" s="162"/>
      <c r="B74" s="152"/>
      <c r="C74" s="157" t="s">
        <v>2</v>
      </c>
      <c r="D74" s="50" t="s">
        <v>6</v>
      </c>
      <c r="E74" s="74">
        <v>47.58</v>
      </c>
      <c r="F74" s="75">
        <v>47.14</v>
      </c>
      <c r="G74" s="75">
        <v>140.11000000000001</v>
      </c>
      <c r="H74" s="75">
        <v>139.70000000000002</v>
      </c>
      <c r="I74" s="75">
        <v>48.26</v>
      </c>
      <c r="J74" s="75">
        <v>48.260000000000005</v>
      </c>
      <c r="K74" s="75">
        <v>136.18</v>
      </c>
      <c r="L74" s="75">
        <v>135.78</v>
      </c>
      <c r="M74" s="75">
        <v>86.779999999999987</v>
      </c>
      <c r="N74" s="75">
        <v>86.64</v>
      </c>
      <c r="O74" s="75">
        <v>85.86</v>
      </c>
      <c r="P74" s="75">
        <v>85.899999999999991</v>
      </c>
      <c r="Q74" s="75">
        <v>124.47</v>
      </c>
      <c r="R74" s="75">
        <v>124.34</v>
      </c>
      <c r="S74" s="75">
        <v>132.07</v>
      </c>
      <c r="T74" s="75">
        <v>131.70000000000002</v>
      </c>
      <c r="U74" s="75">
        <v>73.81</v>
      </c>
      <c r="V74" s="75">
        <v>73.58</v>
      </c>
      <c r="W74" s="75">
        <v>99.51</v>
      </c>
      <c r="X74" s="75">
        <v>99.94</v>
      </c>
      <c r="Y74" s="75">
        <v>180.48000000000002</v>
      </c>
      <c r="Z74" s="75">
        <v>180.64000000000001</v>
      </c>
      <c r="AA74" s="75">
        <v>122.49999999999999</v>
      </c>
      <c r="AB74" s="75">
        <v>122.06</v>
      </c>
      <c r="AC74" s="75">
        <v>89.62</v>
      </c>
      <c r="AD74" s="75">
        <v>89.02</v>
      </c>
      <c r="AE74" s="75">
        <v>91.5</v>
      </c>
      <c r="AF74" s="75">
        <v>90.8</v>
      </c>
      <c r="AG74" s="75">
        <v>88.079999999999984</v>
      </c>
      <c r="AH74" s="75">
        <v>87.76</v>
      </c>
      <c r="AI74" s="75">
        <v>72.790000000000006</v>
      </c>
      <c r="AJ74" s="75">
        <v>72.52000000000001</v>
      </c>
      <c r="AK74" s="75">
        <v>43.97</v>
      </c>
      <c r="AL74" s="75">
        <v>43.86</v>
      </c>
      <c r="AM74" s="75">
        <v>20.399999999999999</v>
      </c>
      <c r="AN74" s="75">
        <v>20.260000000000002</v>
      </c>
      <c r="AO74" s="75">
        <v>74.429999999999993</v>
      </c>
      <c r="AP74" s="75">
        <v>74.22</v>
      </c>
      <c r="AQ74" s="75">
        <v>69.61</v>
      </c>
      <c r="AR74" s="75">
        <v>69.34</v>
      </c>
      <c r="AS74" s="75"/>
      <c r="AT74" s="75"/>
      <c r="AU74" s="75">
        <v>93.710000000000008</v>
      </c>
      <c r="AV74" s="75">
        <v>93.88</v>
      </c>
      <c r="AW74" s="75"/>
      <c r="AX74" s="75"/>
      <c r="AY74" s="75">
        <v>53.29</v>
      </c>
      <c r="AZ74" s="75">
        <v>53.58</v>
      </c>
      <c r="BA74" s="75">
        <v>82.9</v>
      </c>
      <c r="BB74" s="75">
        <v>82.960000000000008</v>
      </c>
      <c r="BC74" s="75">
        <v>52.82</v>
      </c>
      <c r="BD74" s="75">
        <v>52.040000000000006</v>
      </c>
      <c r="BE74" s="75">
        <v>76.36</v>
      </c>
      <c r="BF74" s="75">
        <v>76.3</v>
      </c>
      <c r="BG74" s="75">
        <v>127.1</v>
      </c>
      <c r="BH74" s="75">
        <v>127.39999999999999</v>
      </c>
      <c r="BI74" s="75"/>
      <c r="BJ74" s="75"/>
      <c r="BK74" s="75">
        <v>96.889999999999986</v>
      </c>
      <c r="BL74" s="75">
        <v>97.160000000000011</v>
      </c>
      <c r="BM74" s="75">
        <v>28.54</v>
      </c>
      <c r="BN74" s="75">
        <v>28.48</v>
      </c>
      <c r="BO74" s="24" cm="1">
        <f t="array" ref="BO74">SUMPRODUCT(E74:BM74,--(E$2:BM$2=BO$2))</f>
        <v>2439.62</v>
      </c>
      <c r="BP74" s="24" cm="1">
        <f t="array" ref="BP74">SUMPRODUCT(F74:BN74,--(F$2:BN$2=BP$2))</f>
        <v>2435.2599999999998</v>
      </c>
      <c r="BQ74" s="24">
        <v>81.849999999999994</v>
      </c>
      <c r="BR74" s="24">
        <v>81.5</v>
      </c>
      <c r="BS74" s="24">
        <v>109.15</v>
      </c>
      <c r="BT74" s="24">
        <v>108.75999999999999</v>
      </c>
      <c r="BU74" s="24">
        <v>80.22</v>
      </c>
      <c r="BV74" s="24">
        <v>79.88</v>
      </c>
      <c r="BW74" s="24">
        <v>106.25</v>
      </c>
      <c r="BX74" s="24">
        <v>105.88</v>
      </c>
      <c r="BY74" s="24">
        <v>81.13000000000001</v>
      </c>
      <c r="BZ74" s="24">
        <v>80.900000000000006</v>
      </c>
      <c r="CA74" s="24">
        <v>53.51</v>
      </c>
      <c r="CB74" s="24">
        <v>53.42</v>
      </c>
      <c r="CC74" s="24">
        <v>24.02</v>
      </c>
      <c r="CD74" s="24">
        <v>24.26</v>
      </c>
      <c r="CE74" s="24">
        <v>71.11</v>
      </c>
      <c r="CF74" s="24">
        <v>71.320000000000007</v>
      </c>
      <c r="CG74" s="24">
        <v>84.22</v>
      </c>
      <c r="CH74" s="24">
        <v>85.759999999999991</v>
      </c>
      <c r="CI74" s="24">
        <v>91.299999999999983</v>
      </c>
      <c r="CJ74" s="24">
        <v>90.5</v>
      </c>
      <c r="CK74" s="24">
        <v>67.08</v>
      </c>
      <c r="CL74" s="24">
        <v>65.58</v>
      </c>
      <c r="CM74" s="24">
        <v>66.53</v>
      </c>
      <c r="CN74" s="24">
        <v>66.699999999999989</v>
      </c>
      <c r="CO74" s="24">
        <v>64.34</v>
      </c>
      <c r="CP74" s="24">
        <v>64.16</v>
      </c>
      <c r="CQ74" s="24">
        <v>68.86</v>
      </c>
      <c r="CR74" s="24">
        <v>68.72</v>
      </c>
      <c r="CS74" s="24">
        <v>137.86000000000001</v>
      </c>
      <c r="CT74" s="24">
        <v>136.82</v>
      </c>
      <c r="CU74" s="24">
        <v>43.86</v>
      </c>
      <c r="CV74" s="24">
        <v>43.18</v>
      </c>
      <c r="CW74" s="24">
        <v>72.510000000000005</v>
      </c>
      <c r="CX74" s="24">
        <v>72.66</v>
      </c>
      <c r="CY74" s="24">
        <v>81.52</v>
      </c>
      <c r="CZ74" s="24">
        <v>82.56</v>
      </c>
      <c r="DA74" s="24">
        <v>96.01</v>
      </c>
      <c r="DB74" s="24">
        <v>95.56</v>
      </c>
      <c r="DC74" s="24">
        <v>49.59</v>
      </c>
      <c r="DD74" s="24">
        <v>49.260000000000005</v>
      </c>
      <c r="DE74" s="24">
        <v>102</v>
      </c>
      <c r="DF74" s="24">
        <v>103.2</v>
      </c>
      <c r="DG74" s="24">
        <v>70.430000000000007</v>
      </c>
      <c r="DH74" s="24">
        <v>73.960000000000008</v>
      </c>
      <c r="DI74" s="24">
        <v>79.42</v>
      </c>
      <c r="DJ74" s="24">
        <v>79.72</v>
      </c>
      <c r="DK74" s="24">
        <v>107.14</v>
      </c>
      <c r="DL74" s="24">
        <v>105.64</v>
      </c>
      <c r="DM74" s="24">
        <v>28.18</v>
      </c>
      <c r="DN74" s="24">
        <v>28.14</v>
      </c>
      <c r="DO74" s="24">
        <v>88.66</v>
      </c>
      <c r="DP74" s="24">
        <v>88</v>
      </c>
      <c r="DQ74" s="24">
        <v>111.99000000000001</v>
      </c>
      <c r="DR74" s="24">
        <v>111.74</v>
      </c>
      <c r="DS74" s="24">
        <v>30.8</v>
      </c>
      <c r="DT74" s="24">
        <v>30.6</v>
      </c>
      <c r="DU74" s="24"/>
      <c r="DV74" s="24"/>
      <c r="DW74" s="24" cm="1">
        <f t="array" ref="DW74">SUMPRODUCT(BQ74:DU74,--(BQ$2:DU$2=DW$2))</f>
        <v>2149.54</v>
      </c>
      <c r="DX74" s="24" cm="1">
        <f t="array" ref="DX74">SUMPRODUCT(BR74:DV74,--(BR$2:DV$2=DX$2))</f>
        <v>2148.38</v>
      </c>
      <c r="DY74" s="24">
        <v>84.33</v>
      </c>
      <c r="DZ74" s="24">
        <v>84.22</v>
      </c>
      <c r="EA74" s="24">
        <v>57.67</v>
      </c>
      <c r="EB74" s="24">
        <v>57.14</v>
      </c>
      <c r="EC74" s="24">
        <v>59.980000000000004</v>
      </c>
      <c r="ED74" s="24">
        <v>59.82</v>
      </c>
      <c r="EE74" s="24">
        <v>29.01</v>
      </c>
      <c r="EF74" s="24">
        <v>29.06</v>
      </c>
      <c r="EG74" s="24">
        <v>29.39</v>
      </c>
      <c r="EH74" s="24">
        <v>29.52</v>
      </c>
      <c r="EI74" s="24">
        <v>24.74</v>
      </c>
      <c r="EJ74" s="24">
        <v>24.72</v>
      </c>
      <c r="EK74" s="24">
        <v>112.72</v>
      </c>
      <c r="EL74" s="24">
        <v>113.34</v>
      </c>
      <c r="EM74" s="24">
        <v>137.67000000000002</v>
      </c>
      <c r="EN74" s="24">
        <v>137.97999999999999</v>
      </c>
      <c r="EO74" s="24">
        <v>26.9</v>
      </c>
      <c r="EP74" s="24">
        <v>27.04</v>
      </c>
      <c r="EQ74" s="24">
        <v>52.400000000000006</v>
      </c>
      <c r="ER74" s="24">
        <v>52.42</v>
      </c>
      <c r="ES74" s="24">
        <v>53.9</v>
      </c>
      <c r="ET74" s="24">
        <v>53.46</v>
      </c>
      <c r="EU74" s="24">
        <v>56.25</v>
      </c>
      <c r="EV74" s="24">
        <v>55.74</v>
      </c>
      <c r="EW74" s="24">
        <v>26.52</v>
      </c>
      <c r="EX74" s="24">
        <v>26.44</v>
      </c>
      <c r="EY74" s="24">
        <v>82.94</v>
      </c>
      <c r="EZ74" s="24">
        <v>82.8</v>
      </c>
      <c r="FA74" s="24">
        <v>28.6</v>
      </c>
      <c r="FB74" s="24">
        <v>28.4</v>
      </c>
      <c r="FC74" s="24"/>
      <c r="FD74" s="24"/>
      <c r="FE74" s="24"/>
      <c r="FF74" s="24"/>
      <c r="FG74" s="24">
        <v>28.84</v>
      </c>
      <c r="FH74" s="24">
        <v>29.02</v>
      </c>
      <c r="FI74" s="24">
        <v>82.69</v>
      </c>
      <c r="FJ74" s="24">
        <v>82.399999999999991</v>
      </c>
      <c r="FK74" s="24">
        <v>59.96</v>
      </c>
      <c r="FL74" s="24">
        <v>60.22</v>
      </c>
      <c r="FM74" s="24">
        <v>140.94</v>
      </c>
      <c r="FN74" s="24">
        <v>140.84</v>
      </c>
      <c r="FO74" s="24">
        <v>30.16</v>
      </c>
      <c r="FP74" s="24">
        <v>30.04</v>
      </c>
      <c r="FQ74" s="24">
        <v>85.3</v>
      </c>
      <c r="FR74" s="24">
        <v>84.64</v>
      </c>
      <c r="FS74" s="24">
        <v>83.98</v>
      </c>
      <c r="FT74" s="24">
        <v>83.58</v>
      </c>
      <c r="FU74" s="24">
        <v>54.42</v>
      </c>
      <c r="FV74" s="24">
        <v>56.6</v>
      </c>
      <c r="FW74" s="24">
        <v>27.58</v>
      </c>
      <c r="FX74" s="24">
        <v>27.34</v>
      </c>
      <c r="FY74" s="24">
        <v>59.8</v>
      </c>
      <c r="FZ74" s="24">
        <v>59.94</v>
      </c>
      <c r="GA74" s="24"/>
      <c r="GB74" s="24"/>
      <c r="GC74" s="24"/>
      <c r="GD74" s="24"/>
      <c r="GE74" s="24"/>
      <c r="GF74" s="24"/>
      <c r="GG74" s="24"/>
      <c r="GH74" s="24"/>
      <c r="GI74" s="24" cm="1">
        <f t="array" ref="GI74">SUMPRODUCT(DY74:GG74,--(DY$2:GG$2=GI$2))</f>
        <v>1516.69</v>
      </c>
      <c r="GJ74" s="24" cm="1">
        <f t="array" ref="GJ74">SUMPRODUCT(DZ74:GH74,--(DZ$2:GH$2=GJ$2))</f>
        <v>1516.7199999999998</v>
      </c>
      <c r="GK74" s="24">
        <v>28.4</v>
      </c>
      <c r="GL74" s="24">
        <v>28.32</v>
      </c>
      <c r="GM74" s="24">
        <v>59.650000000000006</v>
      </c>
      <c r="GN74" s="24">
        <v>59.620000000000005</v>
      </c>
      <c r="GO74" s="24">
        <v>58.989999999999995</v>
      </c>
      <c r="GP74" s="24">
        <v>59.260000000000005</v>
      </c>
      <c r="GQ74" s="24">
        <v>62.510000000000005</v>
      </c>
      <c r="GR74" s="24">
        <v>62.14</v>
      </c>
      <c r="GS74" s="24">
        <v>57.14</v>
      </c>
      <c r="GT74" s="24">
        <v>56.82</v>
      </c>
      <c r="GU74" s="24">
        <v>88.66</v>
      </c>
      <c r="GV74" s="24">
        <v>88.36</v>
      </c>
      <c r="GW74" s="24">
        <v>57.97</v>
      </c>
      <c r="GX74" s="24">
        <v>57.68</v>
      </c>
      <c r="GY74" s="24">
        <v>57.38</v>
      </c>
      <c r="GZ74" s="24">
        <v>57.44</v>
      </c>
      <c r="HA74" s="24">
        <v>54.769999999999996</v>
      </c>
      <c r="HB74" s="24">
        <v>54.519999999999996</v>
      </c>
      <c r="HC74" s="24">
        <v>89.06</v>
      </c>
      <c r="HD74" s="24">
        <v>88.7</v>
      </c>
      <c r="HE74" s="24">
        <v>88.24</v>
      </c>
      <c r="HF74" s="24">
        <v>87.94</v>
      </c>
      <c r="HG74" s="24">
        <v>52.72</v>
      </c>
      <c r="HH74" s="24">
        <v>52.64</v>
      </c>
      <c r="HI74" s="24">
        <v>87.52</v>
      </c>
      <c r="HJ74" s="24">
        <v>87.1</v>
      </c>
      <c r="HK74" s="24">
        <v>27.7</v>
      </c>
      <c r="HL74" s="24">
        <v>27.52</v>
      </c>
      <c r="HM74" s="24">
        <v>56.14</v>
      </c>
      <c r="HN74" s="24">
        <v>56.12</v>
      </c>
      <c r="HO74" s="24">
        <v>28.9</v>
      </c>
      <c r="HP74" s="24">
        <v>28.86</v>
      </c>
      <c r="HQ74" s="24">
        <v>84.960000000000008</v>
      </c>
      <c r="HR74" s="24">
        <v>84.82</v>
      </c>
      <c r="HS74" s="24">
        <v>86.1</v>
      </c>
      <c r="HT74" s="24">
        <v>86.3</v>
      </c>
      <c r="HU74" s="24">
        <v>108.67999999999999</v>
      </c>
      <c r="HV74" s="24">
        <v>108.96000000000001</v>
      </c>
      <c r="HW74" s="24">
        <v>52.42</v>
      </c>
      <c r="HX74" s="24">
        <v>52.16</v>
      </c>
      <c r="HY74" s="24">
        <v>27.99</v>
      </c>
      <c r="HZ74" s="24">
        <v>27.7</v>
      </c>
      <c r="IA74" s="24">
        <v>29.99</v>
      </c>
      <c r="IB74" s="24">
        <v>29.96</v>
      </c>
      <c r="IC74" s="24">
        <v>27.78</v>
      </c>
      <c r="ID74" s="24">
        <v>28.2</v>
      </c>
      <c r="IE74" s="24">
        <v>112.61</v>
      </c>
      <c r="IF74" s="24">
        <v>112.64000000000001</v>
      </c>
      <c r="IG74" s="24">
        <v>94.34</v>
      </c>
      <c r="IH74" s="24">
        <v>94.300000000000011</v>
      </c>
      <c r="II74" s="24">
        <v>62.760000000000005</v>
      </c>
      <c r="IJ74" s="24">
        <v>62.69</v>
      </c>
      <c r="IK74" s="24"/>
      <c r="IL74" s="24"/>
      <c r="IM74" s="24"/>
      <c r="IN74" s="24"/>
      <c r="IO74" s="24"/>
      <c r="IP74" s="24"/>
      <c r="IQ74" s="24"/>
      <c r="IR74" s="24"/>
      <c r="IS74" s="24">
        <f t="shared" ref="IS74:IS78" si="182">GK74+GM74+GO74+GQ74+GS74+GU74+GW74+GY74+HA74+HC74+HE74+HG74+HI74+HK74+HM74+HO74+HQ74+HS74+HU74+HW74+HY74+IA74+IC74+IE74+IG74+II74+IK74+IM74+IO74+IQ74</f>
        <v>1643.3799999999999</v>
      </c>
      <c r="IT74" s="24">
        <f t="shared" ref="IT74:IT78" si="183">GL74+GN74+GP74+GR74+GT74+GV74+GX74+GZ74+HB74+HD74+HF74+HH74+HJ74+HL74+HN74+HP74+HR74+HT74+HV74+HX74+HZ74+IB74+ID74+IF74+IH74+IJ74+IL74+IN74+IP74+IR74</f>
        <v>1640.7700000000002</v>
      </c>
      <c r="IU74" s="24">
        <v>79.010000000000005</v>
      </c>
      <c r="IV74" s="24">
        <v>79.28</v>
      </c>
      <c r="IW74" s="24">
        <v>29.62</v>
      </c>
      <c r="IX74" s="24">
        <v>29.54</v>
      </c>
      <c r="IY74" s="24">
        <v>81.319999999999993</v>
      </c>
      <c r="IZ74" s="24">
        <v>81.62</v>
      </c>
      <c r="JA74" s="24">
        <v>54.04</v>
      </c>
      <c r="JB74" s="24">
        <v>53.78</v>
      </c>
      <c r="JC74" s="24">
        <v>54.25</v>
      </c>
      <c r="JD74" s="24">
        <v>53.84</v>
      </c>
      <c r="JE74" s="24">
        <v>55.5</v>
      </c>
      <c r="JF74" s="24">
        <v>55.46</v>
      </c>
      <c r="JG74" s="24">
        <v>26.08</v>
      </c>
      <c r="JH74" s="24">
        <v>26.04</v>
      </c>
      <c r="JI74" s="24">
        <v>58.33</v>
      </c>
      <c r="JJ74" s="24">
        <v>58.379999999999995</v>
      </c>
      <c r="JK74" s="24">
        <v>51.56</v>
      </c>
      <c r="JL74" s="24">
        <v>51.739999999999995</v>
      </c>
      <c r="JM74" s="24">
        <v>56.59</v>
      </c>
      <c r="JN74" s="24">
        <v>56.42</v>
      </c>
      <c r="JO74" s="24">
        <v>58.379999999999995</v>
      </c>
      <c r="JP74" s="24">
        <v>58.099999999999994</v>
      </c>
      <c r="JQ74" s="24">
        <v>55.01</v>
      </c>
      <c r="JR74" s="24">
        <v>54.760000000000005</v>
      </c>
      <c r="JS74" s="24">
        <v>108.99</v>
      </c>
      <c r="JT74" s="24">
        <v>108.74000000000001</v>
      </c>
      <c r="JU74" s="24"/>
      <c r="JV74" s="24"/>
      <c r="JW74" s="24"/>
      <c r="JX74" s="24"/>
      <c r="JY74" s="24"/>
      <c r="JZ74" s="24"/>
      <c r="KA74" s="24"/>
      <c r="KB74" s="24"/>
      <c r="KC74" s="24"/>
      <c r="KD74" s="24"/>
      <c r="KE74" s="24"/>
      <c r="KF74" s="24"/>
      <c r="KG74" s="24"/>
      <c r="KH74" s="24"/>
      <c r="KI74" s="24"/>
      <c r="KJ74" s="24"/>
      <c r="KK74" s="24"/>
      <c r="KL74" s="24"/>
      <c r="KM74" s="24"/>
      <c r="KN74" s="24"/>
      <c r="KO74" s="24"/>
      <c r="KP74" s="24"/>
      <c r="KQ74" s="24"/>
      <c r="KR74" s="24"/>
      <c r="KS74" s="24"/>
      <c r="KT74" s="24"/>
      <c r="KU74" s="24"/>
      <c r="KV74" s="24"/>
      <c r="KW74" s="24"/>
      <c r="KX74" s="24"/>
      <c r="KY74" s="24"/>
      <c r="KZ74" s="24"/>
      <c r="LA74" s="24"/>
      <c r="LB74" s="24"/>
      <c r="LC74" s="24"/>
      <c r="LD74" s="24"/>
      <c r="LE74" s="24">
        <f t="shared" ref="LE74:LE78" si="184">IU74+IW74+IY74+JA74+JC74+JE74+JG74+JI74+JK74+JM74+JO74+JQ74+JS74+JU74+JW74+JY74+KA74+KC74+KE74+KG74+KI74+KK74+KM74+KO74+KQ74+KS74+KU74+KW74+KY74+LA74+LC74</f>
        <v>768.68</v>
      </c>
      <c r="LF74" s="24">
        <f t="shared" ref="LF74:LF78" si="185">IV74+IX74+IZ74+JB74+JD74+JF74+JH74+JJ74+JL74+JN74+JP74+JR74+JT74+JV74+JX74+JZ74+KB74+KD74+KF74+KH74+KJ74+KL74+KN74+KP74+KR74+KT74+KV74+KX74+KZ74+LB74+LD74</f>
        <v>767.7</v>
      </c>
      <c r="LG74" s="24"/>
      <c r="LH74" s="24"/>
      <c r="LI74" s="24"/>
      <c r="LJ74" s="24"/>
      <c r="LK74" s="24"/>
      <c r="LL74" s="24"/>
      <c r="LM74" s="24"/>
      <c r="LN74" s="24"/>
      <c r="LO74" s="24"/>
      <c r="LP74" s="24"/>
      <c r="LQ74" s="24"/>
      <c r="LR74" s="24"/>
      <c r="LS74" s="24"/>
      <c r="LT74" s="24"/>
      <c r="LU74" s="24"/>
      <c r="LV74" s="24"/>
      <c r="LW74" s="24"/>
      <c r="LX74" s="24"/>
      <c r="LY74" s="24"/>
      <c r="LZ74" s="24"/>
      <c r="MA74" s="24"/>
      <c r="MB74" s="24"/>
      <c r="MC74" s="24"/>
      <c r="MD74" s="24"/>
      <c r="ME74" s="24"/>
      <c r="MF74" s="24"/>
      <c r="MG74" s="24"/>
      <c r="MH74" s="24"/>
      <c r="MI74" s="24"/>
      <c r="MJ74" s="24"/>
      <c r="MK74" s="24"/>
      <c r="ML74" s="24"/>
      <c r="MM74" s="24"/>
      <c r="MN74" s="24"/>
      <c r="MO74" s="24"/>
      <c r="MP74" s="24"/>
      <c r="MQ74" s="24"/>
      <c r="MR74" s="24"/>
      <c r="MS74" s="24"/>
      <c r="MT74" s="24"/>
      <c r="MU74" s="24"/>
      <c r="MV74" s="24"/>
      <c r="MW74" s="24"/>
      <c r="MX74" s="24"/>
      <c r="MY74" s="24"/>
      <c r="MZ74" s="24"/>
      <c r="NA74" s="24"/>
      <c r="NB74" s="24"/>
      <c r="NC74" s="24"/>
      <c r="ND74" s="24"/>
      <c r="NE74" s="24"/>
      <c r="NF74" s="24"/>
      <c r="NG74" s="24"/>
      <c r="NH74" s="24"/>
      <c r="NI74" s="24"/>
      <c r="NJ74" s="24"/>
      <c r="NK74" s="24"/>
      <c r="NL74" s="24"/>
      <c r="NM74" s="24"/>
      <c r="NN74" s="24"/>
      <c r="NO74" s="24">
        <f t="shared" ref="NO74:NO78" si="186">LG74+LI74+LK74+LM74+LO74+LQ74+LS74+LU74+LW74+LY74+MA74+MC74+ME74+MG74+MI74+MK74+MM74+MO74+MQ74+MS74+MU74+MW74+MY74+NA74+NC74+NE74+NG74+NI74+NK74+NM74</f>
        <v>0</v>
      </c>
      <c r="NP74" s="24">
        <f t="shared" ref="NP74:NP78" si="187">LH74+LJ74+LL74+LN74+LP74+LR74+LT74+LV74+LX74+LZ74+MB74+MD74+MF74+MH74+MJ74+ML74+MN74+MP74+MR74+MT74+MV74+MX74+MZ74+NB74+ND74+NF74+NH74+NJ74+NL74+NN74</f>
        <v>0</v>
      </c>
      <c r="NQ74" s="24"/>
      <c r="NR74" s="24"/>
      <c r="NS74" s="24"/>
      <c r="NT74" s="24"/>
      <c r="NU74" s="24"/>
      <c r="NV74" s="24"/>
      <c r="NW74" s="24"/>
      <c r="NX74" s="24"/>
      <c r="NY74" s="24"/>
      <c r="NZ74" s="24"/>
      <c r="OA74" s="24"/>
      <c r="OB74" s="24"/>
      <c r="OC74" s="24"/>
      <c r="OD74" s="24"/>
      <c r="OE74" s="24"/>
      <c r="OF74" s="24"/>
      <c r="OG74" s="24"/>
      <c r="OH74" s="24"/>
      <c r="OI74" s="24"/>
      <c r="OJ74" s="24"/>
      <c r="OK74" s="24"/>
      <c r="OL74" s="24"/>
      <c r="OM74" s="24"/>
      <c r="ON74" s="24"/>
      <c r="OO74" s="24"/>
      <c r="OP74" s="24"/>
      <c r="OQ74" s="24"/>
      <c r="OR74" s="24"/>
      <c r="OS74" s="24"/>
      <c r="OT74" s="24"/>
      <c r="OU74" s="24"/>
      <c r="OV74" s="24"/>
      <c r="OW74" s="24"/>
      <c r="OX74" s="24"/>
      <c r="OY74" s="24"/>
      <c r="OZ74" s="24"/>
      <c r="PA74" s="24"/>
      <c r="PB74" s="24"/>
      <c r="PC74" s="24"/>
      <c r="PD74" s="24"/>
      <c r="PE74" s="24"/>
      <c r="PF74" s="24"/>
      <c r="PG74" s="24"/>
      <c r="PH74" s="24"/>
      <c r="PI74" s="24"/>
      <c r="PJ74" s="24"/>
      <c r="PK74" s="24"/>
      <c r="PL74" s="24"/>
      <c r="PM74" s="24"/>
      <c r="PN74" s="24"/>
      <c r="PO74" s="24"/>
      <c r="PP74" s="24"/>
      <c r="PQ74" s="24"/>
      <c r="PR74" s="24"/>
      <c r="PS74" s="24"/>
      <c r="PT74" s="24"/>
      <c r="PU74" s="24"/>
      <c r="PV74" s="24"/>
      <c r="PW74" s="24"/>
      <c r="PX74" s="24"/>
      <c r="PY74" s="24"/>
      <c r="PZ74" s="24"/>
      <c r="QA74" s="24">
        <f t="shared" ref="QA74:QA78" si="188">NQ74+NS74+NU74+NW74+NY74+OA74+OC74+OE74+OG74+OI74+OK74+OM74+OO74+OQ74+OS74+OU74+OW74+OY74+PA74+PC74+PE74+PG74+PI74+PK74+PM74+PO74+PQ74+PS74+PU74+PW74+PY74</f>
        <v>0</v>
      </c>
      <c r="QB74" s="24">
        <f t="shared" ref="QB74:QB78" si="189">NR74+NT74+NV74+NX74+NZ74+OB74+OD74+OF74+OH74+OJ74+OL74+ON74+OP74+OR74+OT74+OV74+OX74+OZ74+PB74+PD74+PF74+PH74+PJ74+PL74+PN74+PP74+PR74+PT74+PV74+PX74+PZ74</f>
        <v>0</v>
      </c>
      <c r="QC74" s="24"/>
      <c r="QD74" s="24"/>
      <c r="QE74" s="24"/>
      <c r="QF74" s="24"/>
      <c r="QG74" s="24"/>
      <c r="QH74" s="24"/>
      <c r="QI74" s="24"/>
      <c r="QJ74" s="24"/>
      <c r="QK74" s="24"/>
      <c r="QL74" s="24"/>
      <c r="QM74" s="24"/>
      <c r="QN74" s="24"/>
      <c r="QO74" s="24"/>
      <c r="QP74" s="24"/>
      <c r="QQ74" s="24"/>
      <c r="QR74" s="24"/>
      <c r="QS74" s="24"/>
      <c r="QT74" s="24"/>
      <c r="QU74" s="24"/>
      <c r="QV74" s="24"/>
      <c r="QW74" s="24"/>
      <c r="QX74" s="24"/>
      <c r="QY74" s="24"/>
      <c r="QZ74" s="24"/>
      <c r="RA74" s="24"/>
      <c r="RB74" s="24"/>
      <c r="RC74" s="24"/>
      <c r="RD74" s="24"/>
      <c r="RE74" s="24"/>
      <c r="RF74" s="24"/>
      <c r="RG74" s="24"/>
      <c r="RH74" s="24"/>
      <c r="RI74" s="24"/>
      <c r="RJ74" s="24"/>
      <c r="RK74" s="24"/>
      <c r="RL74" s="24"/>
      <c r="RM74" s="24"/>
      <c r="RN74" s="24"/>
      <c r="RO74" s="24"/>
      <c r="RP74" s="24"/>
      <c r="RQ74" s="24"/>
      <c r="RR74" s="24"/>
      <c r="RS74" s="24"/>
      <c r="RT74" s="24"/>
      <c r="RU74" s="24"/>
      <c r="RV74" s="24"/>
      <c r="RW74" s="24"/>
      <c r="RX74" s="24"/>
      <c r="RY74" s="24"/>
      <c r="RZ74" s="24"/>
      <c r="SA74" s="24"/>
      <c r="SB74" s="24"/>
      <c r="SC74" s="24"/>
      <c r="SD74" s="24"/>
      <c r="SE74" s="24"/>
      <c r="SF74" s="24"/>
      <c r="SG74" s="24"/>
      <c r="SH74" s="24"/>
      <c r="SI74" s="24"/>
      <c r="SJ74" s="24"/>
      <c r="SK74" s="24"/>
      <c r="SL74" s="24"/>
      <c r="SM74" s="24">
        <f t="shared" ref="SM74:SM78" si="190">QC74+QE74+QG74+QI74+QK74+QM74+QO74+QQ74+QS74+QU74+QW74+QY74+RA74+RC74+RE74+RG74+RI74+RK74+RM74+RO74+RQ74+RS74+RU74+RW74+RY74+SA74+SC74+SE74+SG74+SI74+SK74</f>
        <v>0</v>
      </c>
      <c r="SN74" s="24">
        <f t="shared" ref="SN74:SN78" si="191">QD74+QF74+QH74+QJ74+QL74+QN74+QP74+QR74+QT74+QV74+QX74+QZ74+RB74+RD74+RF74+RH74+RJ74+RL74+RN74+RP74+RR74+RT74+RV74+RX74+RZ74+SB74+SD74+SF74+SH74+SJ74+SL74</f>
        <v>0</v>
      </c>
      <c r="SO74" s="24"/>
      <c r="SP74" s="24"/>
      <c r="SQ74" s="24"/>
      <c r="SR74" s="24"/>
      <c r="SS74" s="24"/>
      <c r="ST74" s="24"/>
      <c r="SU74" s="24"/>
      <c r="SV74" s="24"/>
      <c r="SW74" s="24"/>
      <c r="SX74" s="24"/>
      <c r="SY74" s="24"/>
      <c r="SZ74" s="24"/>
      <c r="TA74" s="24"/>
      <c r="TB74" s="24"/>
      <c r="TC74" s="24"/>
      <c r="TD74" s="24"/>
      <c r="TE74" s="24"/>
      <c r="TF74" s="24"/>
      <c r="TG74" s="24"/>
      <c r="TH74" s="24"/>
      <c r="TI74" s="24"/>
      <c r="TJ74" s="24"/>
      <c r="TK74" s="24"/>
      <c r="TL74" s="24"/>
      <c r="TM74" s="24"/>
      <c r="TN74" s="24"/>
      <c r="TO74" s="24"/>
      <c r="TP74" s="24"/>
      <c r="TQ74" s="24"/>
      <c r="TR74" s="24"/>
      <c r="TS74" s="24"/>
      <c r="TT74" s="24"/>
      <c r="TU74" s="24"/>
      <c r="TV74" s="24"/>
      <c r="TW74" s="24"/>
      <c r="TX74" s="24"/>
      <c r="TY74" s="24"/>
      <c r="TZ74" s="24"/>
      <c r="UA74" s="24"/>
      <c r="UB74" s="24"/>
      <c r="UC74" s="24"/>
      <c r="UD74" s="24"/>
      <c r="UE74" s="24"/>
      <c r="UF74" s="24"/>
      <c r="UG74" s="24"/>
      <c r="UH74" s="24"/>
      <c r="UI74" s="24"/>
      <c r="UJ74" s="24"/>
      <c r="UK74" s="24"/>
      <c r="UL74" s="24"/>
      <c r="UM74" s="24"/>
      <c r="UN74" s="24"/>
      <c r="UO74" s="24"/>
      <c r="UP74" s="24"/>
      <c r="UQ74" s="24"/>
      <c r="UR74" s="24"/>
      <c r="US74" s="24"/>
      <c r="UT74" s="24"/>
      <c r="UU74" s="24"/>
      <c r="UV74" s="24"/>
      <c r="UW74" s="24">
        <f t="shared" ref="UW74:UW78" si="192">SO74+SQ74+SS74+SU74+SW74+SY74+TA74+TC74+TE74+TG74+TI74+TK74+TM74+TO74+TQ74+TS74+TU74+TW74+TY74+UA74+UC74+UE74+UG74+UI74+UK74+UM74+UO74+UQ74+US74+UU74</f>
        <v>0</v>
      </c>
      <c r="UX74" s="24">
        <f t="shared" ref="UX74:UX78" si="193">SP74+SR74+ST74+SV74+SX74+SZ74+TB74+TD74+TF74+TH74+TJ74+TL74+TN74+TP74+TR74+TT74+TV74+TX74+TZ74+UB74+UD74+UF74+UH74+UJ74+UL74+UN74+UP74+UR74+UT74+UV74</f>
        <v>0</v>
      </c>
      <c r="UY74" s="24"/>
      <c r="UZ74" s="24"/>
      <c r="VA74" s="24"/>
      <c r="VB74" s="24"/>
      <c r="VC74" s="24"/>
      <c r="VD74" s="24"/>
      <c r="VE74" s="24"/>
      <c r="VF74" s="24"/>
      <c r="VG74" s="24"/>
      <c r="VH74" s="24"/>
      <c r="VI74" s="24"/>
      <c r="VJ74" s="24"/>
      <c r="VK74" s="24"/>
      <c r="VL74" s="24"/>
      <c r="VM74" s="24"/>
      <c r="VN74" s="24"/>
      <c r="VO74" s="24"/>
      <c r="VP74" s="24"/>
      <c r="VQ74" s="24"/>
      <c r="VR74" s="24"/>
      <c r="VS74" s="24"/>
      <c r="VT74" s="24"/>
      <c r="VU74" s="24"/>
      <c r="VV74" s="24"/>
      <c r="VW74" s="24"/>
      <c r="VX74" s="24"/>
      <c r="VY74" s="24"/>
      <c r="VZ74" s="24"/>
      <c r="WA74" s="24"/>
      <c r="WB74" s="24"/>
      <c r="WC74" s="24"/>
      <c r="WD74" s="24"/>
      <c r="WE74" s="24"/>
      <c r="WF74" s="24"/>
      <c r="WG74" s="24"/>
      <c r="WH74" s="24"/>
      <c r="WI74" s="24"/>
      <c r="WJ74" s="24"/>
      <c r="WK74" s="24"/>
      <c r="WL74" s="24"/>
      <c r="WM74" s="24"/>
      <c r="WN74" s="24"/>
      <c r="WO74" s="24"/>
      <c r="WP74" s="24"/>
      <c r="WQ74" s="24"/>
      <c r="WR74" s="24"/>
      <c r="WS74" s="24"/>
      <c r="WT74" s="24"/>
      <c r="WU74" s="24"/>
      <c r="WV74" s="24"/>
      <c r="WW74" s="24"/>
      <c r="WX74" s="24"/>
      <c r="WY74" s="24"/>
      <c r="WZ74" s="24"/>
      <c r="XA74" s="24"/>
      <c r="XB74" s="24"/>
      <c r="XC74" s="24"/>
      <c r="XD74" s="24"/>
      <c r="XE74" s="24"/>
      <c r="XF74" s="24"/>
      <c r="XG74" s="24"/>
      <c r="XH74" s="24"/>
      <c r="XI74" s="24">
        <f t="shared" ref="XI74:XI78" si="194">UY74+VA74+VC74+VE74+VG74+VI74+VK74+VM74+VO74+VQ74+VS74+VU74+VW74+VY74+WA74+WC74+WE74+WG74+WI74+WK74+WM74+WO74+WQ74+WS74+WU74+WW74+WY74+XA74+XC74+XE74+XG74</f>
        <v>0</v>
      </c>
      <c r="XJ74" s="24">
        <f t="shared" ref="XJ74:XJ78" si="195">UZ74+VB74+VD74+VF74+VH74+VJ74+VL74+VN74+VP74+VR74+VT74+VV74+VX74+VZ74+WB74+WD74+WF74+WH74+WJ74+WL74+WN74+WP74+WR74+WT74+WV74+WX74+WZ74+XB74+XD74+XF74+XH74</f>
        <v>0</v>
      </c>
      <c r="XK74" s="24"/>
      <c r="XL74" s="24"/>
      <c r="XM74" s="24"/>
      <c r="XN74" s="24"/>
      <c r="XO74" s="24"/>
      <c r="XP74" s="24"/>
      <c r="XQ74" s="24"/>
      <c r="XR74" s="24"/>
      <c r="XS74" s="24"/>
      <c r="XT74" s="24"/>
      <c r="XU74" s="24"/>
      <c r="XV74" s="24"/>
      <c r="XW74" s="24"/>
      <c r="XX74" s="24"/>
      <c r="XY74" s="24"/>
      <c r="XZ74" s="24"/>
      <c r="YA74" s="24"/>
      <c r="YB74" s="24"/>
      <c r="YC74" s="24"/>
      <c r="YD74" s="24"/>
      <c r="YE74" s="24"/>
      <c r="YF74" s="24"/>
      <c r="YG74" s="24"/>
      <c r="YH74" s="24"/>
      <c r="YI74" s="24"/>
      <c r="YJ74" s="24"/>
      <c r="YK74" s="24"/>
      <c r="YL74" s="24"/>
      <c r="YM74" s="24"/>
      <c r="YN74" s="24"/>
      <c r="YO74" s="24"/>
      <c r="YP74" s="24"/>
      <c r="YQ74" s="24"/>
      <c r="YR74" s="24"/>
      <c r="YS74" s="24"/>
      <c r="YT74" s="24"/>
      <c r="YU74" s="24"/>
      <c r="YV74" s="24"/>
      <c r="YW74" s="24"/>
      <c r="YX74" s="24"/>
      <c r="YY74" s="24"/>
      <c r="YZ74" s="24"/>
      <c r="ZA74" s="24"/>
      <c r="ZB74" s="24"/>
      <c r="ZC74" s="24"/>
      <c r="ZD74" s="24"/>
      <c r="ZE74" s="24"/>
      <c r="ZF74" s="24"/>
      <c r="ZG74" s="24"/>
      <c r="ZH74" s="24"/>
      <c r="ZI74" s="24"/>
      <c r="ZJ74" s="24"/>
      <c r="ZK74" s="24"/>
      <c r="ZL74" s="24"/>
      <c r="ZM74" s="24"/>
      <c r="ZN74" s="24"/>
      <c r="ZO74" s="24"/>
      <c r="ZP74" s="24"/>
      <c r="ZQ74" s="24"/>
      <c r="ZR74" s="24"/>
      <c r="ZS74" s="24">
        <f t="shared" ref="ZS74:ZS78" si="196">XK74+XM74+XO74+XQ74+XS74+XU74+XW74+XY74+YA74+YC74+YE74+YG74+YI74+YK74+YM74+YO74+YQ74+YS74+YU74+YW74+YY74+ZA74+ZC74+ZE74+ZG74+ZI74+ZK74+ZM74+ZO74+ZQ74</f>
        <v>0</v>
      </c>
      <c r="ZT74" s="24">
        <f t="shared" ref="ZT74:ZT78" si="197">XL74+XN74+XP74+XR74+XT74+XV74+XX74+XZ74+YB74+YD74+YF74+YH74+YJ74+YL74+YN74+YP74+YR74+YT74+YV74+YX74+YZ74+ZB74+ZD74+ZF74+ZH74+ZJ74+ZL74+ZN74+ZP74+ZR74</f>
        <v>0</v>
      </c>
      <c r="ZU74" s="24"/>
      <c r="ZV74" s="24"/>
      <c r="ZW74" s="24"/>
      <c r="ZX74" s="24"/>
      <c r="ZY74" s="24"/>
      <c r="ZZ74" s="24"/>
      <c r="AAA74" s="24"/>
      <c r="AAB74" s="24"/>
      <c r="AAC74" s="24"/>
      <c r="AAD74" s="24"/>
      <c r="AAE74" s="24"/>
      <c r="AAF74" s="24"/>
      <c r="AAG74" s="24"/>
      <c r="AAH74" s="24"/>
      <c r="AAI74" s="24"/>
      <c r="AAJ74" s="24"/>
      <c r="AAK74" s="24"/>
      <c r="AAL74" s="24"/>
      <c r="AAM74" s="24"/>
      <c r="AAN74" s="24"/>
      <c r="AAO74" s="24"/>
      <c r="AAP74" s="24"/>
      <c r="AAQ74" s="24"/>
      <c r="AAR74" s="24"/>
      <c r="AAS74" s="24"/>
      <c r="AAT74" s="24"/>
      <c r="AAU74" s="24"/>
      <c r="AAV74" s="24"/>
      <c r="AAW74" s="24"/>
      <c r="AAX74" s="24"/>
      <c r="AAY74" s="24"/>
      <c r="AAZ74" s="24"/>
      <c r="ABA74" s="24"/>
      <c r="ABB74" s="24"/>
      <c r="ABC74" s="24"/>
      <c r="ABD74" s="24"/>
      <c r="ABE74" s="24"/>
      <c r="ABF74" s="24"/>
      <c r="ABG74" s="24"/>
      <c r="ABH74" s="24"/>
      <c r="ABI74" s="24"/>
      <c r="ABJ74" s="24"/>
      <c r="ABK74" s="24"/>
      <c r="ABL74" s="24"/>
      <c r="ABM74" s="24"/>
      <c r="ABN74" s="24"/>
      <c r="ABO74" s="24"/>
      <c r="ABP74" s="24"/>
      <c r="ABQ74" s="24"/>
      <c r="ABR74" s="24"/>
      <c r="ABS74" s="24"/>
      <c r="ABT74" s="24"/>
      <c r="ABU74" s="24"/>
      <c r="ABV74" s="24"/>
      <c r="ABW74" s="24"/>
      <c r="ABX74" s="24"/>
      <c r="ABY74" s="24"/>
      <c r="ABZ74" s="24"/>
      <c r="ACA74" s="24"/>
      <c r="ACB74" s="24"/>
      <c r="ACC74" s="24"/>
      <c r="ACD74" s="24"/>
      <c r="ACE74" s="24">
        <f t="shared" ref="ACE74:ACE78" si="198">ZU74+ZW74+ZY74+AAA74+AAC74+AAE74+AAG74+AAI74+AAK74+AAM74+AAO74+AAQ74+AAS74+AAU74+AAW74+AAY74+ABA74+ABC74+ABE74+ABG74+ABI74+ABK74+ABM74+ABO74+ABQ74+ABS74+ABU74+ABW74+ABY74+ACA74+ACC74</f>
        <v>0</v>
      </c>
      <c r="ACF74" s="24"/>
      <c r="ACG74" s="24">
        <f t="shared" si="181"/>
        <v>8517.91</v>
      </c>
      <c r="ACH74" s="25"/>
      <c r="ACI74" s="71" t="s">
        <v>177</v>
      </c>
      <c r="ACJ74" s="71" t="s">
        <v>99</v>
      </c>
    </row>
    <row r="75" spans="1:764" x14ac:dyDescent="0.25">
      <c r="A75" s="162"/>
      <c r="B75" s="152"/>
      <c r="C75" s="155"/>
      <c r="D75" s="50" t="s">
        <v>7</v>
      </c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24" cm="1">
        <f t="array" ref="BO75">SUMPRODUCT(E75:BM75,--(E$2:BM$2=BO$2))</f>
        <v>0</v>
      </c>
      <c r="BP75" s="24" cm="1">
        <f t="array" ref="BP75">SUMPRODUCT(F75:BN75,--(F$2:BN$2=BP$2))</f>
        <v>0</v>
      </c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24"/>
      <c r="DD75" s="24"/>
      <c r="DE75" s="24"/>
      <c r="DF75" s="24"/>
      <c r="DG75" s="24"/>
      <c r="DH75" s="24"/>
      <c r="DI75" s="24"/>
      <c r="DJ75" s="24"/>
      <c r="DK75" s="24"/>
      <c r="DL75" s="24"/>
      <c r="DM75" s="24"/>
      <c r="DN75" s="24"/>
      <c r="DO75" s="24"/>
      <c r="DP75" s="24"/>
      <c r="DQ75" s="24"/>
      <c r="DR75" s="24"/>
      <c r="DS75" s="24"/>
      <c r="DT75" s="24"/>
      <c r="DU75" s="24"/>
      <c r="DV75" s="24"/>
      <c r="DW75" s="24" cm="1">
        <f t="array" ref="DW75">SUMPRODUCT(BQ75:DU75,--(BQ$2:DU$2=DW$2))</f>
        <v>0</v>
      </c>
      <c r="DX75" s="24" cm="1">
        <f t="array" ref="DX75">SUMPRODUCT(BR75:DV75,--(BR$2:DV$2=DX$2))</f>
        <v>0</v>
      </c>
      <c r="DY75" s="24"/>
      <c r="DZ75" s="24"/>
      <c r="EA75" s="24"/>
      <c r="EB75" s="24"/>
      <c r="EC75" s="24"/>
      <c r="ED75" s="24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24"/>
      <c r="EU75" s="24"/>
      <c r="EV75" s="24"/>
      <c r="EW75" s="24"/>
      <c r="EX75" s="24"/>
      <c r="EY75" s="24"/>
      <c r="EZ75" s="24"/>
      <c r="FA75" s="24"/>
      <c r="FB75" s="24"/>
      <c r="FC75" s="24"/>
      <c r="FD75" s="24"/>
      <c r="FE75" s="24"/>
      <c r="FF75" s="24"/>
      <c r="FG75" s="24"/>
      <c r="FH75" s="24"/>
      <c r="FI75" s="24"/>
      <c r="FJ75" s="24"/>
      <c r="FK75" s="24"/>
      <c r="FL75" s="24"/>
      <c r="FM75" s="24"/>
      <c r="FN75" s="24"/>
      <c r="FO75" s="24"/>
      <c r="FP75" s="24"/>
      <c r="FQ75" s="24"/>
      <c r="FR75" s="24"/>
      <c r="FS75" s="24"/>
      <c r="FT75" s="24"/>
      <c r="FU75" s="24"/>
      <c r="FV75" s="24"/>
      <c r="FW75" s="24"/>
      <c r="FX75" s="24"/>
      <c r="FY75" s="24"/>
      <c r="FZ75" s="24"/>
      <c r="GA75" s="24"/>
      <c r="GB75" s="24"/>
      <c r="GC75" s="24"/>
      <c r="GD75" s="24"/>
      <c r="GE75" s="24"/>
      <c r="GF75" s="24"/>
      <c r="GG75" s="24"/>
      <c r="GH75" s="24"/>
      <c r="GI75" s="24" cm="1">
        <f t="array" ref="GI75">SUMPRODUCT(DY75:GG75,--(DY$2:GG$2=GI$2))</f>
        <v>0</v>
      </c>
      <c r="GJ75" s="24" cm="1">
        <f t="array" ref="GJ75">SUMPRODUCT(DZ75:GH75,--(DZ$2:GH$2=GJ$2))</f>
        <v>0</v>
      </c>
      <c r="GK75" s="24"/>
      <c r="GL75" s="24"/>
      <c r="GM75" s="24"/>
      <c r="GN75" s="24"/>
      <c r="GO75" s="24"/>
      <c r="GP75" s="24"/>
      <c r="GQ75" s="24"/>
      <c r="GR75" s="24"/>
      <c r="GS75" s="24"/>
      <c r="GT75" s="24"/>
      <c r="GU75" s="24"/>
      <c r="GV75" s="24"/>
      <c r="GW75" s="24"/>
      <c r="GX75" s="24"/>
      <c r="GY75" s="24"/>
      <c r="GZ75" s="24"/>
      <c r="HA75" s="24"/>
      <c r="HB75" s="24"/>
      <c r="HC75" s="24"/>
      <c r="HD75" s="24"/>
      <c r="HE75" s="24"/>
      <c r="HF75" s="24"/>
      <c r="HG75" s="24"/>
      <c r="HH75" s="24"/>
      <c r="HI75" s="24"/>
      <c r="HJ75" s="24"/>
      <c r="HK75" s="24"/>
      <c r="HL75" s="24"/>
      <c r="HM75" s="24"/>
      <c r="HN75" s="24"/>
      <c r="HO75" s="24"/>
      <c r="HP75" s="24"/>
      <c r="HQ75" s="24"/>
      <c r="HR75" s="24"/>
      <c r="HS75" s="24"/>
      <c r="HT75" s="24"/>
      <c r="HU75" s="24"/>
      <c r="HV75" s="24"/>
      <c r="HW75" s="24"/>
      <c r="HX75" s="24"/>
      <c r="HY75" s="24"/>
      <c r="HZ75" s="24"/>
      <c r="IA75" s="24"/>
      <c r="IB75" s="24"/>
      <c r="IC75" s="24"/>
      <c r="ID75" s="24"/>
      <c r="IE75" s="24"/>
      <c r="IF75" s="24"/>
      <c r="IG75" s="24"/>
      <c r="IH75" s="24"/>
      <c r="II75" s="24"/>
      <c r="IJ75" s="24"/>
      <c r="IK75" s="24"/>
      <c r="IL75" s="24"/>
      <c r="IM75" s="24"/>
      <c r="IN75" s="24"/>
      <c r="IO75" s="24"/>
      <c r="IP75" s="24"/>
      <c r="IQ75" s="24"/>
      <c r="IR75" s="24"/>
      <c r="IS75" s="24">
        <f t="shared" si="182"/>
        <v>0</v>
      </c>
      <c r="IT75" s="24">
        <f t="shared" si="183"/>
        <v>0</v>
      </c>
      <c r="IU75" s="24"/>
      <c r="IV75" s="24"/>
      <c r="IW75" s="24"/>
      <c r="IX75" s="24"/>
      <c r="IY75" s="24"/>
      <c r="IZ75" s="24"/>
      <c r="JA75" s="24"/>
      <c r="JB75" s="24"/>
      <c r="JC75" s="24"/>
      <c r="JD75" s="24"/>
      <c r="JE75" s="24"/>
      <c r="JF75" s="24"/>
      <c r="JG75" s="24"/>
      <c r="JH75" s="24"/>
      <c r="JI75" s="24"/>
      <c r="JJ75" s="24"/>
      <c r="JK75" s="24"/>
      <c r="JL75" s="24"/>
      <c r="JM75" s="24"/>
      <c r="JN75" s="24"/>
      <c r="JO75" s="24"/>
      <c r="JP75" s="24"/>
      <c r="JQ75" s="24"/>
      <c r="JR75" s="24"/>
      <c r="JS75" s="24"/>
      <c r="JT75" s="24"/>
      <c r="JU75" s="24"/>
      <c r="JV75" s="24"/>
      <c r="JW75" s="24"/>
      <c r="JX75" s="24"/>
      <c r="JY75" s="24"/>
      <c r="JZ75" s="24"/>
      <c r="KA75" s="24"/>
      <c r="KB75" s="24"/>
      <c r="KC75" s="24"/>
      <c r="KD75" s="24"/>
      <c r="KE75" s="24"/>
      <c r="KF75" s="24"/>
      <c r="KG75" s="24"/>
      <c r="KH75" s="24"/>
      <c r="KI75" s="24"/>
      <c r="KJ75" s="24"/>
      <c r="KK75" s="24"/>
      <c r="KL75" s="24"/>
      <c r="KM75" s="24"/>
      <c r="KN75" s="24"/>
      <c r="KO75" s="24"/>
      <c r="KP75" s="24"/>
      <c r="KQ75" s="24"/>
      <c r="KR75" s="24"/>
      <c r="KS75" s="24"/>
      <c r="KT75" s="24"/>
      <c r="KU75" s="24"/>
      <c r="KV75" s="24"/>
      <c r="KW75" s="24"/>
      <c r="KX75" s="24"/>
      <c r="KY75" s="24"/>
      <c r="KZ75" s="24"/>
      <c r="LA75" s="24"/>
      <c r="LB75" s="24"/>
      <c r="LC75" s="24"/>
      <c r="LD75" s="24"/>
      <c r="LE75" s="24">
        <f t="shared" si="184"/>
        <v>0</v>
      </c>
      <c r="LF75" s="24">
        <f t="shared" si="185"/>
        <v>0</v>
      </c>
      <c r="LG75" s="24"/>
      <c r="LH75" s="24"/>
      <c r="LI75" s="24"/>
      <c r="LJ75" s="24"/>
      <c r="LK75" s="24"/>
      <c r="LL75" s="24"/>
      <c r="LM75" s="24"/>
      <c r="LN75" s="24"/>
      <c r="LO75" s="24"/>
      <c r="LP75" s="24"/>
      <c r="LQ75" s="24"/>
      <c r="LR75" s="24"/>
      <c r="LS75" s="24"/>
      <c r="LT75" s="24"/>
      <c r="LU75" s="24"/>
      <c r="LV75" s="24"/>
      <c r="LW75" s="24"/>
      <c r="LX75" s="24"/>
      <c r="LY75" s="24"/>
      <c r="LZ75" s="24"/>
      <c r="MA75" s="24"/>
      <c r="MB75" s="24"/>
      <c r="MC75" s="24"/>
      <c r="MD75" s="24"/>
      <c r="ME75" s="24"/>
      <c r="MF75" s="24"/>
      <c r="MG75" s="24"/>
      <c r="MH75" s="24"/>
      <c r="MI75" s="24"/>
      <c r="MJ75" s="24"/>
      <c r="MK75" s="24"/>
      <c r="ML75" s="24"/>
      <c r="MM75" s="24"/>
      <c r="MN75" s="24"/>
      <c r="MO75" s="24"/>
      <c r="MP75" s="24"/>
      <c r="MQ75" s="24"/>
      <c r="MR75" s="24"/>
      <c r="MS75" s="24"/>
      <c r="MT75" s="24"/>
      <c r="MU75" s="24"/>
      <c r="MV75" s="24"/>
      <c r="MW75" s="24"/>
      <c r="MX75" s="24"/>
      <c r="MY75" s="24"/>
      <c r="MZ75" s="24"/>
      <c r="NA75" s="24"/>
      <c r="NB75" s="24"/>
      <c r="NC75" s="24"/>
      <c r="ND75" s="24"/>
      <c r="NE75" s="24"/>
      <c r="NF75" s="24"/>
      <c r="NG75" s="24"/>
      <c r="NH75" s="24"/>
      <c r="NI75" s="24"/>
      <c r="NJ75" s="24"/>
      <c r="NK75" s="24"/>
      <c r="NL75" s="24"/>
      <c r="NM75" s="24"/>
      <c r="NN75" s="24"/>
      <c r="NO75" s="24">
        <f t="shared" si="186"/>
        <v>0</v>
      </c>
      <c r="NP75" s="24">
        <f t="shared" si="187"/>
        <v>0</v>
      </c>
      <c r="NQ75" s="24"/>
      <c r="NR75" s="24"/>
      <c r="NS75" s="24"/>
      <c r="NT75" s="24"/>
      <c r="NU75" s="24"/>
      <c r="NV75" s="24"/>
      <c r="NW75" s="24"/>
      <c r="NX75" s="24"/>
      <c r="NY75" s="24"/>
      <c r="NZ75" s="24"/>
      <c r="OA75" s="24"/>
      <c r="OB75" s="24"/>
      <c r="OC75" s="24"/>
      <c r="OD75" s="24"/>
      <c r="OE75" s="24"/>
      <c r="OF75" s="24"/>
      <c r="OG75" s="24"/>
      <c r="OH75" s="24"/>
      <c r="OI75" s="24"/>
      <c r="OJ75" s="24"/>
      <c r="OK75" s="24"/>
      <c r="OL75" s="24"/>
      <c r="OM75" s="24"/>
      <c r="ON75" s="24"/>
      <c r="OO75" s="24"/>
      <c r="OP75" s="24"/>
      <c r="OQ75" s="24"/>
      <c r="OR75" s="24"/>
      <c r="OS75" s="24"/>
      <c r="OT75" s="24"/>
      <c r="OU75" s="24"/>
      <c r="OV75" s="24"/>
      <c r="OW75" s="24"/>
      <c r="OX75" s="24"/>
      <c r="OY75" s="24"/>
      <c r="OZ75" s="24"/>
      <c r="PA75" s="24"/>
      <c r="PB75" s="24"/>
      <c r="PC75" s="24"/>
      <c r="PD75" s="24"/>
      <c r="PE75" s="24"/>
      <c r="PF75" s="24"/>
      <c r="PG75" s="24"/>
      <c r="PH75" s="24"/>
      <c r="PI75" s="24"/>
      <c r="PJ75" s="24"/>
      <c r="PK75" s="24"/>
      <c r="PL75" s="24"/>
      <c r="PM75" s="24"/>
      <c r="PN75" s="24"/>
      <c r="PO75" s="24"/>
      <c r="PP75" s="24"/>
      <c r="PQ75" s="24"/>
      <c r="PR75" s="24"/>
      <c r="PS75" s="24"/>
      <c r="PT75" s="24"/>
      <c r="PU75" s="24"/>
      <c r="PV75" s="24"/>
      <c r="PW75" s="24"/>
      <c r="PX75" s="24"/>
      <c r="PY75" s="24"/>
      <c r="PZ75" s="24"/>
      <c r="QA75" s="24">
        <f t="shared" si="188"/>
        <v>0</v>
      </c>
      <c r="QB75" s="24">
        <f t="shared" si="189"/>
        <v>0</v>
      </c>
      <c r="QC75" s="24"/>
      <c r="QD75" s="24"/>
      <c r="QE75" s="24"/>
      <c r="QF75" s="24"/>
      <c r="QG75" s="24"/>
      <c r="QH75" s="24"/>
      <c r="QI75" s="24"/>
      <c r="QJ75" s="24"/>
      <c r="QK75" s="24"/>
      <c r="QL75" s="24"/>
      <c r="QM75" s="24"/>
      <c r="QN75" s="24"/>
      <c r="QO75" s="24"/>
      <c r="QP75" s="24"/>
      <c r="QQ75" s="24"/>
      <c r="QR75" s="24"/>
      <c r="QS75" s="24"/>
      <c r="QT75" s="24"/>
      <c r="QU75" s="24"/>
      <c r="QV75" s="24"/>
      <c r="QW75" s="24"/>
      <c r="QX75" s="24"/>
      <c r="QY75" s="24"/>
      <c r="QZ75" s="24"/>
      <c r="RA75" s="24"/>
      <c r="RB75" s="24"/>
      <c r="RC75" s="24"/>
      <c r="RD75" s="24"/>
      <c r="RE75" s="24"/>
      <c r="RF75" s="24"/>
      <c r="RG75" s="24"/>
      <c r="RH75" s="24"/>
      <c r="RI75" s="24"/>
      <c r="RJ75" s="24"/>
      <c r="RK75" s="24"/>
      <c r="RL75" s="24"/>
      <c r="RM75" s="24"/>
      <c r="RN75" s="24"/>
      <c r="RO75" s="24"/>
      <c r="RP75" s="24"/>
      <c r="RQ75" s="24"/>
      <c r="RR75" s="24"/>
      <c r="RS75" s="24"/>
      <c r="RT75" s="24"/>
      <c r="RU75" s="24"/>
      <c r="RV75" s="24"/>
      <c r="RW75" s="24"/>
      <c r="RX75" s="24"/>
      <c r="RY75" s="24"/>
      <c r="RZ75" s="24"/>
      <c r="SA75" s="24"/>
      <c r="SB75" s="24"/>
      <c r="SC75" s="24"/>
      <c r="SD75" s="24"/>
      <c r="SE75" s="24"/>
      <c r="SF75" s="24"/>
      <c r="SG75" s="24"/>
      <c r="SH75" s="24"/>
      <c r="SI75" s="24"/>
      <c r="SJ75" s="24"/>
      <c r="SK75" s="24"/>
      <c r="SL75" s="24"/>
      <c r="SM75" s="24">
        <f t="shared" si="190"/>
        <v>0</v>
      </c>
      <c r="SN75" s="24">
        <f t="shared" si="191"/>
        <v>0</v>
      </c>
      <c r="SO75" s="24"/>
      <c r="SP75" s="24"/>
      <c r="SQ75" s="24"/>
      <c r="SR75" s="24"/>
      <c r="SS75" s="24"/>
      <c r="ST75" s="24"/>
      <c r="SU75" s="24"/>
      <c r="SV75" s="24"/>
      <c r="SW75" s="24"/>
      <c r="SX75" s="24"/>
      <c r="SY75" s="24"/>
      <c r="SZ75" s="24"/>
      <c r="TA75" s="24"/>
      <c r="TB75" s="24"/>
      <c r="TC75" s="24"/>
      <c r="TD75" s="24"/>
      <c r="TE75" s="24"/>
      <c r="TF75" s="24"/>
      <c r="TG75" s="24"/>
      <c r="TH75" s="24"/>
      <c r="TI75" s="24"/>
      <c r="TJ75" s="24"/>
      <c r="TK75" s="24"/>
      <c r="TL75" s="24"/>
      <c r="TM75" s="24"/>
      <c r="TN75" s="24"/>
      <c r="TO75" s="24"/>
      <c r="TP75" s="24"/>
      <c r="TQ75" s="24"/>
      <c r="TR75" s="24"/>
      <c r="TS75" s="24"/>
      <c r="TT75" s="24"/>
      <c r="TU75" s="24"/>
      <c r="TV75" s="24"/>
      <c r="TW75" s="24"/>
      <c r="TX75" s="24"/>
      <c r="TY75" s="24"/>
      <c r="TZ75" s="24"/>
      <c r="UA75" s="24"/>
      <c r="UB75" s="24"/>
      <c r="UC75" s="24"/>
      <c r="UD75" s="24"/>
      <c r="UE75" s="24"/>
      <c r="UF75" s="24"/>
      <c r="UG75" s="24"/>
      <c r="UH75" s="24"/>
      <c r="UI75" s="24"/>
      <c r="UJ75" s="24"/>
      <c r="UK75" s="24"/>
      <c r="UL75" s="24"/>
      <c r="UM75" s="24"/>
      <c r="UN75" s="24"/>
      <c r="UO75" s="24"/>
      <c r="UP75" s="24"/>
      <c r="UQ75" s="24"/>
      <c r="UR75" s="24"/>
      <c r="US75" s="24"/>
      <c r="UT75" s="24"/>
      <c r="UU75" s="24"/>
      <c r="UV75" s="24"/>
      <c r="UW75" s="24">
        <f t="shared" si="192"/>
        <v>0</v>
      </c>
      <c r="UX75" s="24">
        <f t="shared" si="193"/>
        <v>0</v>
      </c>
      <c r="UY75" s="24"/>
      <c r="UZ75" s="24"/>
      <c r="VA75" s="24"/>
      <c r="VB75" s="24"/>
      <c r="VC75" s="24"/>
      <c r="VD75" s="24"/>
      <c r="VE75" s="24"/>
      <c r="VF75" s="24"/>
      <c r="VG75" s="24"/>
      <c r="VH75" s="24"/>
      <c r="VI75" s="24"/>
      <c r="VJ75" s="24"/>
      <c r="VK75" s="24"/>
      <c r="VL75" s="24"/>
      <c r="VM75" s="24"/>
      <c r="VN75" s="24"/>
      <c r="VO75" s="24"/>
      <c r="VP75" s="24"/>
      <c r="VQ75" s="24"/>
      <c r="VR75" s="24"/>
      <c r="VS75" s="24"/>
      <c r="VT75" s="24"/>
      <c r="VU75" s="24"/>
      <c r="VV75" s="24"/>
      <c r="VW75" s="24"/>
      <c r="VX75" s="24"/>
      <c r="VY75" s="24"/>
      <c r="VZ75" s="24"/>
      <c r="WA75" s="24"/>
      <c r="WB75" s="24"/>
      <c r="WC75" s="24"/>
      <c r="WD75" s="24"/>
      <c r="WE75" s="24"/>
      <c r="WF75" s="24"/>
      <c r="WG75" s="24"/>
      <c r="WH75" s="24"/>
      <c r="WI75" s="24"/>
      <c r="WJ75" s="24"/>
      <c r="WK75" s="24"/>
      <c r="WL75" s="24"/>
      <c r="WM75" s="24"/>
      <c r="WN75" s="24"/>
      <c r="WO75" s="24"/>
      <c r="WP75" s="24"/>
      <c r="WQ75" s="24"/>
      <c r="WR75" s="24"/>
      <c r="WS75" s="24"/>
      <c r="WT75" s="24"/>
      <c r="WU75" s="24"/>
      <c r="WV75" s="24"/>
      <c r="WW75" s="24"/>
      <c r="WX75" s="24"/>
      <c r="WY75" s="24"/>
      <c r="WZ75" s="24"/>
      <c r="XA75" s="24"/>
      <c r="XB75" s="24"/>
      <c r="XC75" s="24"/>
      <c r="XD75" s="24"/>
      <c r="XE75" s="24"/>
      <c r="XF75" s="24"/>
      <c r="XG75" s="24"/>
      <c r="XH75" s="24"/>
      <c r="XI75" s="24">
        <f t="shared" si="194"/>
        <v>0</v>
      </c>
      <c r="XJ75" s="24">
        <f t="shared" si="195"/>
        <v>0</v>
      </c>
      <c r="XK75" s="24"/>
      <c r="XL75" s="24"/>
      <c r="XM75" s="24"/>
      <c r="XN75" s="24"/>
      <c r="XO75" s="24"/>
      <c r="XP75" s="24"/>
      <c r="XQ75" s="24"/>
      <c r="XR75" s="24"/>
      <c r="XS75" s="24"/>
      <c r="XT75" s="24"/>
      <c r="XU75" s="24"/>
      <c r="XV75" s="24"/>
      <c r="XW75" s="24"/>
      <c r="XX75" s="24"/>
      <c r="XY75" s="24"/>
      <c r="XZ75" s="24"/>
      <c r="YA75" s="24"/>
      <c r="YB75" s="24"/>
      <c r="YC75" s="24"/>
      <c r="YD75" s="24"/>
      <c r="YE75" s="24"/>
      <c r="YF75" s="24"/>
      <c r="YG75" s="24"/>
      <c r="YH75" s="24"/>
      <c r="YI75" s="24"/>
      <c r="YJ75" s="24"/>
      <c r="YK75" s="24"/>
      <c r="YL75" s="24"/>
      <c r="YM75" s="24"/>
      <c r="YN75" s="24"/>
      <c r="YO75" s="24"/>
      <c r="YP75" s="24"/>
      <c r="YQ75" s="24"/>
      <c r="YR75" s="24"/>
      <c r="YS75" s="24"/>
      <c r="YT75" s="24"/>
      <c r="YU75" s="24"/>
      <c r="YV75" s="24"/>
      <c r="YW75" s="24"/>
      <c r="YX75" s="24"/>
      <c r="YY75" s="24"/>
      <c r="YZ75" s="24"/>
      <c r="ZA75" s="24"/>
      <c r="ZB75" s="24"/>
      <c r="ZC75" s="24"/>
      <c r="ZD75" s="24"/>
      <c r="ZE75" s="24"/>
      <c r="ZF75" s="24"/>
      <c r="ZG75" s="24"/>
      <c r="ZH75" s="24"/>
      <c r="ZI75" s="24"/>
      <c r="ZJ75" s="24"/>
      <c r="ZK75" s="24"/>
      <c r="ZL75" s="24"/>
      <c r="ZM75" s="24"/>
      <c r="ZN75" s="24"/>
      <c r="ZO75" s="24"/>
      <c r="ZP75" s="24"/>
      <c r="ZQ75" s="24"/>
      <c r="ZR75" s="24"/>
      <c r="ZS75" s="24">
        <f t="shared" si="196"/>
        <v>0</v>
      </c>
      <c r="ZT75" s="24">
        <f t="shared" si="197"/>
        <v>0</v>
      </c>
      <c r="ZU75" s="24"/>
      <c r="ZV75" s="24"/>
      <c r="ZW75" s="24"/>
      <c r="ZX75" s="24"/>
      <c r="ZY75" s="24"/>
      <c r="ZZ75" s="24"/>
      <c r="AAA75" s="24"/>
      <c r="AAB75" s="24"/>
      <c r="AAC75" s="24"/>
      <c r="AAD75" s="24"/>
      <c r="AAE75" s="24"/>
      <c r="AAF75" s="24"/>
      <c r="AAG75" s="24"/>
      <c r="AAH75" s="24"/>
      <c r="AAI75" s="24"/>
      <c r="AAJ75" s="24"/>
      <c r="AAK75" s="24"/>
      <c r="AAL75" s="24"/>
      <c r="AAM75" s="24"/>
      <c r="AAN75" s="24"/>
      <c r="AAO75" s="24"/>
      <c r="AAP75" s="24"/>
      <c r="AAQ75" s="24"/>
      <c r="AAR75" s="24"/>
      <c r="AAS75" s="24"/>
      <c r="AAT75" s="24"/>
      <c r="AAU75" s="24"/>
      <c r="AAV75" s="24"/>
      <c r="AAW75" s="24"/>
      <c r="AAX75" s="24"/>
      <c r="AAY75" s="24"/>
      <c r="AAZ75" s="24"/>
      <c r="ABA75" s="24"/>
      <c r="ABB75" s="24"/>
      <c r="ABC75" s="24"/>
      <c r="ABD75" s="24"/>
      <c r="ABE75" s="24"/>
      <c r="ABF75" s="24"/>
      <c r="ABG75" s="24"/>
      <c r="ABH75" s="24"/>
      <c r="ABI75" s="24"/>
      <c r="ABJ75" s="24"/>
      <c r="ABK75" s="24"/>
      <c r="ABL75" s="24"/>
      <c r="ABM75" s="24"/>
      <c r="ABN75" s="24"/>
      <c r="ABO75" s="24"/>
      <c r="ABP75" s="24"/>
      <c r="ABQ75" s="24"/>
      <c r="ABR75" s="24"/>
      <c r="ABS75" s="24"/>
      <c r="ABT75" s="24"/>
      <c r="ABU75" s="24"/>
      <c r="ABV75" s="24"/>
      <c r="ABW75" s="24"/>
      <c r="ABX75" s="24"/>
      <c r="ABY75" s="24"/>
      <c r="ABZ75" s="24"/>
      <c r="ACA75" s="24"/>
      <c r="ACB75" s="24"/>
      <c r="ACC75" s="24"/>
      <c r="ACD75" s="24"/>
      <c r="ACE75" s="24">
        <f t="shared" si="198"/>
        <v>0</v>
      </c>
      <c r="ACF75" s="24"/>
      <c r="ACG75" s="24">
        <f t="shared" si="181"/>
        <v>0</v>
      </c>
      <c r="ACH75" s="25"/>
      <c r="ACI75" s="71" t="s">
        <v>178</v>
      </c>
      <c r="ACJ75" s="71" t="s">
        <v>99</v>
      </c>
    </row>
    <row r="76" spans="1:764" x14ac:dyDescent="0.25">
      <c r="A76" s="162"/>
      <c r="B76" s="152"/>
      <c r="C76" s="155"/>
      <c r="D76" s="50" t="s">
        <v>4</v>
      </c>
      <c r="E76" s="74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24" cm="1">
        <f t="array" ref="BO76">SUMPRODUCT(E76:BM76,--(E$2:BM$2=BO$2))</f>
        <v>0</v>
      </c>
      <c r="BP76" s="24" cm="1">
        <f t="array" ref="BP76">SUMPRODUCT(F76:BN76,--(F$2:BN$2=BP$2))</f>
        <v>0</v>
      </c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24"/>
      <c r="DD76" s="24"/>
      <c r="DE76" s="24"/>
      <c r="DF76" s="24"/>
      <c r="DG76" s="24"/>
      <c r="DH76" s="24"/>
      <c r="DI76" s="24"/>
      <c r="DJ76" s="24"/>
      <c r="DK76" s="24"/>
      <c r="DL76" s="24"/>
      <c r="DM76" s="24"/>
      <c r="DN76" s="24"/>
      <c r="DO76" s="24"/>
      <c r="DP76" s="24"/>
      <c r="DQ76" s="24"/>
      <c r="DR76" s="24"/>
      <c r="DS76" s="24"/>
      <c r="DT76" s="24"/>
      <c r="DU76" s="24"/>
      <c r="DV76" s="24"/>
      <c r="DW76" s="24" cm="1">
        <f t="array" ref="DW76">SUMPRODUCT(BQ76:DU76,--(BQ$2:DU$2=DW$2))</f>
        <v>0</v>
      </c>
      <c r="DX76" s="24" cm="1">
        <f t="array" ref="DX76">SUMPRODUCT(BR76:DV76,--(BR$2:DV$2=DX$2))</f>
        <v>0</v>
      </c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24"/>
      <c r="EU76" s="24"/>
      <c r="EV76" s="24"/>
      <c r="EW76" s="24"/>
      <c r="EX76" s="24"/>
      <c r="EY76" s="24"/>
      <c r="EZ76" s="24"/>
      <c r="FA76" s="24"/>
      <c r="FB76" s="24"/>
      <c r="FC76" s="24"/>
      <c r="FD76" s="24"/>
      <c r="FE76" s="24"/>
      <c r="FF76" s="24"/>
      <c r="FG76" s="24"/>
      <c r="FH76" s="24"/>
      <c r="FI76" s="24"/>
      <c r="FJ76" s="24"/>
      <c r="FK76" s="24"/>
      <c r="FL76" s="24"/>
      <c r="FM76" s="24"/>
      <c r="FN76" s="24"/>
      <c r="FO76" s="24"/>
      <c r="FP76" s="24"/>
      <c r="FQ76" s="24"/>
      <c r="FR76" s="24"/>
      <c r="FS76" s="24"/>
      <c r="FT76" s="24"/>
      <c r="FU76" s="24"/>
      <c r="FV76" s="24"/>
      <c r="FW76" s="24"/>
      <c r="FX76" s="24"/>
      <c r="FY76" s="24"/>
      <c r="FZ76" s="24"/>
      <c r="GA76" s="24"/>
      <c r="GB76" s="24"/>
      <c r="GC76" s="24"/>
      <c r="GD76" s="24"/>
      <c r="GE76" s="24"/>
      <c r="GF76" s="24"/>
      <c r="GG76" s="24"/>
      <c r="GH76" s="24"/>
      <c r="GI76" s="24" cm="1">
        <f t="array" ref="GI76">SUMPRODUCT(DY76:GG76,--(DY$2:GG$2=GI$2))</f>
        <v>0</v>
      </c>
      <c r="GJ76" s="24" cm="1">
        <f t="array" ref="GJ76">SUMPRODUCT(DZ76:GH76,--(DZ$2:GH$2=GJ$2))</f>
        <v>0</v>
      </c>
      <c r="GK76" s="24"/>
      <c r="GL76" s="24"/>
      <c r="GM76" s="24"/>
      <c r="GN76" s="24"/>
      <c r="GO76" s="24"/>
      <c r="GP76" s="24"/>
      <c r="GQ76" s="24"/>
      <c r="GR76" s="24"/>
      <c r="GS76" s="24"/>
      <c r="GT76" s="24"/>
      <c r="GU76" s="24"/>
      <c r="GV76" s="24"/>
      <c r="GW76" s="24"/>
      <c r="GX76" s="24"/>
      <c r="GY76" s="24"/>
      <c r="GZ76" s="24"/>
      <c r="HA76" s="24"/>
      <c r="HB76" s="24"/>
      <c r="HC76" s="24"/>
      <c r="HD76" s="24"/>
      <c r="HE76" s="24"/>
      <c r="HF76" s="24"/>
      <c r="HG76" s="24"/>
      <c r="HH76" s="24"/>
      <c r="HI76" s="24"/>
      <c r="HJ76" s="24"/>
      <c r="HK76" s="24"/>
      <c r="HL76" s="24"/>
      <c r="HM76" s="24"/>
      <c r="HN76" s="24"/>
      <c r="HO76" s="24"/>
      <c r="HP76" s="24"/>
      <c r="HQ76" s="24"/>
      <c r="HR76" s="24"/>
      <c r="HS76" s="24"/>
      <c r="HT76" s="24"/>
      <c r="HU76" s="24"/>
      <c r="HV76" s="24"/>
      <c r="HW76" s="24"/>
      <c r="HX76" s="24"/>
      <c r="HY76" s="24"/>
      <c r="HZ76" s="24"/>
      <c r="IA76" s="24"/>
      <c r="IB76" s="24"/>
      <c r="IC76" s="24"/>
      <c r="ID76" s="24"/>
      <c r="IE76" s="24"/>
      <c r="IF76" s="24"/>
      <c r="IG76" s="24"/>
      <c r="IH76" s="24"/>
      <c r="II76" s="24"/>
      <c r="IJ76" s="24"/>
      <c r="IK76" s="24"/>
      <c r="IL76" s="24"/>
      <c r="IM76" s="24"/>
      <c r="IN76" s="24"/>
      <c r="IO76" s="24"/>
      <c r="IP76" s="24"/>
      <c r="IQ76" s="24"/>
      <c r="IR76" s="24"/>
      <c r="IS76" s="24">
        <f t="shared" si="182"/>
        <v>0</v>
      </c>
      <c r="IT76" s="24">
        <f t="shared" si="183"/>
        <v>0</v>
      </c>
      <c r="IU76" s="24"/>
      <c r="IV76" s="24"/>
      <c r="IW76" s="24"/>
      <c r="IX76" s="24"/>
      <c r="IY76" s="24"/>
      <c r="IZ76" s="24"/>
      <c r="JA76" s="24"/>
      <c r="JB76" s="24"/>
      <c r="JC76" s="24"/>
      <c r="JD76" s="24"/>
      <c r="JE76" s="24"/>
      <c r="JF76" s="24"/>
      <c r="JG76" s="24"/>
      <c r="JH76" s="24"/>
      <c r="JI76" s="24"/>
      <c r="JJ76" s="24"/>
      <c r="JK76" s="24"/>
      <c r="JL76" s="24"/>
      <c r="JM76" s="24"/>
      <c r="JN76" s="24"/>
      <c r="JO76" s="24"/>
      <c r="JP76" s="24"/>
      <c r="JQ76" s="24"/>
      <c r="JR76" s="24"/>
      <c r="JS76" s="24"/>
      <c r="JT76" s="24"/>
      <c r="JU76" s="24"/>
      <c r="JV76" s="24"/>
      <c r="JW76" s="24"/>
      <c r="JX76" s="24"/>
      <c r="JY76" s="24"/>
      <c r="JZ76" s="24"/>
      <c r="KA76" s="24"/>
      <c r="KB76" s="24"/>
      <c r="KC76" s="24"/>
      <c r="KD76" s="24"/>
      <c r="KE76" s="24"/>
      <c r="KF76" s="24"/>
      <c r="KG76" s="24"/>
      <c r="KH76" s="24"/>
      <c r="KI76" s="24"/>
      <c r="KJ76" s="24"/>
      <c r="KK76" s="24"/>
      <c r="KL76" s="24"/>
      <c r="KM76" s="24"/>
      <c r="KN76" s="24"/>
      <c r="KO76" s="24"/>
      <c r="KP76" s="24"/>
      <c r="KQ76" s="24"/>
      <c r="KR76" s="24"/>
      <c r="KS76" s="24"/>
      <c r="KT76" s="24"/>
      <c r="KU76" s="24"/>
      <c r="KV76" s="24"/>
      <c r="KW76" s="24"/>
      <c r="KX76" s="24"/>
      <c r="KY76" s="24"/>
      <c r="KZ76" s="24"/>
      <c r="LA76" s="24"/>
      <c r="LB76" s="24"/>
      <c r="LC76" s="24"/>
      <c r="LD76" s="24"/>
      <c r="LE76" s="24">
        <f t="shared" si="184"/>
        <v>0</v>
      </c>
      <c r="LF76" s="24">
        <f t="shared" si="185"/>
        <v>0</v>
      </c>
      <c r="LG76" s="24"/>
      <c r="LH76" s="24"/>
      <c r="LI76" s="24"/>
      <c r="LJ76" s="24"/>
      <c r="LK76" s="24"/>
      <c r="LL76" s="24"/>
      <c r="LM76" s="24"/>
      <c r="LN76" s="24"/>
      <c r="LO76" s="24"/>
      <c r="LP76" s="24"/>
      <c r="LQ76" s="24"/>
      <c r="LR76" s="24"/>
      <c r="LS76" s="24"/>
      <c r="LT76" s="24"/>
      <c r="LU76" s="24"/>
      <c r="LV76" s="24"/>
      <c r="LW76" s="24"/>
      <c r="LX76" s="24"/>
      <c r="LY76" s="24"/>
      <c r="LZ76" s="24"/>
      <c r="MA76" s="24"/>
      <c r="MB76" s="24"/>
      <c r="MC76" s="24"/>
      <c r="MD76" s="24"/>
      <c r="ME76" s="24"/>
      <c r="MF76" s="24"/>
      <c r="MG76" s="24"/>
      <c r="MH76" s="24"/>
      <c r="MI76" s="24"/>
      <c r="MJ76" s="24"/>
      <c r="MK76" s="24"/>
      <c r="ML76" s="24"/>
      <c r="MM76" s="24"/>
      <c r="MN76" s="24"/>
      <c r="MO76" s="24"/>
      <c r="MP76" s="24"/>
      <c r="MQ76" s="24"/>
      <c r="MR76" s="24"/>
      <c r="MS76" s="24"/>
      <c r="MT76" s="24"/>
      <c r="MU76" s="24"/>
      <c r="MV76" s="24"/>
      <c r="MW76" s="24"/>
      <c r="MX76" s="24"/>
      <c r="MY76" s="24"/>
      <c r="MZ76" s="24"/>
      <c r="NA76" s="24"/>
      <c r="NB76" s="24"/>
      <c r="NC76" s="24"/>
      <c r="ND76" s="24"/>
      <c r="NE76" s="24"/>
      <c r="NF76" s="24"/>
      <c r="NG76" s="24"/>
      <c r="NH76" s="24"/>
      <c r="NI76" s="24"/>
      <c r="NJ76" s="24"/>
      <c r="NK76" s="24"/>
      <c r="NL76" s="24"/>
      <c r="NM76" s="24"/>
      <c r="NN76" s="24"/>
      <c r="NO76" s="24">
        <f t="shared" si="186"/>
        <v>0</v>
      </c>
      <c r="NP76" s="24">
        <f t="shared" si="187"/>
        <v>0</v>
      </c>
      <c r="NQ76" s="24"/>
      <c r="NR76" s="24"/>
      <c r="NS76" s="24"/>
      <c r="NT76" s="24"/>
      <c r="NU76" s="24"/>
      <c r="NV76" s="24"/>
      <c r="NW76" s="24"/>
      <c r="NX76" s="24"/>
      <c r="NY76" s="24"/>
      <c r="NZ76" s="24"/>
      <c r="OA76" s="24"/>
      <c r="OB76" s="24"/>
      <c r="OC76" s="24"/>
      <c r="OD76" s="24"/>
      <c r="OE76" s="24"/>
      <c r="OF76" s="24"/>
      <c r="OG76" s="24"/>
      <c r="OH76" s="24"/>
      <c r="OI76" s="24"/>
      <c r="OJ76" s="24"/>
      <c r="OK76" s="24"/>
      <c r="OL76" s="24"/>
      <c r="OM76" s="24"/>
      <c r="ON76" s="24"/>
      <c r="OO76" s="24"/>
      <c r="OP76" s="24"/>
      <c r="OQ76" s="24"/>
      <c r="OR76" s="24"/>
      <c r="OS76" s="24"/>
      <c r="OT76" s="24"/>
      <c r="OU76" s="24"/>
      <c r="OV76" s="24"/>
      <c r="OW76" s="24"/>
      <c r="OX76" s="24"/>
      <c r="OY76" s="24"/>
      <c r="OZ76" s="24"/>
      <c r="PA76" s="24"/>
      <c r="PB76" s="24"/>
      <c r="PC76" s="24"/>
      <c r="PD76" s="24"/>
      <c r="PE76" s="24"/>
      <c r="PF76" s="24"/>
      <c r="PG76" s="24"/>
      <c r="PH76" s="24"/>
      <c r="PI76" s="24"/>
      <c r="PJ76" s="24"/>
      <c r="PK76" s="24"/>
      <c r="PL76" s="24"/>
      <c r="PM76" s="24"/>
      <c r="PN76" s="24"/>
      <c r="PO76" s="24"/>
      <c r="PP76" s="24"/>
      <c r="PQ76" s="24"/>
      <c r="PR76" s="24"/>
      <c r="PS76" s="24"/>
      <c r="PT76" s="24"/>
      <c r="PU76" s="24"/>
      <c r="PV76" s="24"/>
      <c r="PW76" s="24"/>
      <c r="PX76" s="24"/>
      <c r="PY76" s="24"/>
      <c r="PZ76" s="24"/>
      <c r="QA76" s="24">
        <f t="shared" si="188"/>
        <v>0</v>
      </c>
      <c r="QB76" s="24">
        <f t="shared" si="189"/>
        <v>0</v>
      </c>
      <c r="QC76" s="24"/>
      <c r="QD76" s="24"/>
      <c r="QE76" s="24"/>
      <c r="QF76" s="24"/>
      <c r="QG76" s="24"/>
      <c r="QH76" s="24"/>
      <c r="QI76" s="24"/>
      <c r="QJ76" s="24"/>
      <c r="QK76" s="24"/>
      <c r="QL76" s="24"/>
      <c r="QM76" s="24"/>
      <c r="QN76" s="24"/>
      <c r="QO76" s="24"/>
      <c r="QP76" s="24"/>
      <c r="QQ76" s="24"/>
      <c r="QR76" s="24"/>
      <c r="QS76" s="24"/>
      <c r="QT76" s="24"/>
      <c r="QU76" s="24"/>
      <c r="QV76" s="24"/>
      <c r="QW76" s="24"/>
      <c r="QX76" s="24"/>
      <c r="QY76" s="24"/>
      <c r="QZ76" s="24"/>
      <c r="RA76" s="24"/>
      <c r="RB76" s="24"/>
      <c r="RC76" s="24"/>
      <c r="RD76" s="24"/>
      <c r="RE76" s="24"/>
      <c r="RF76" s="24"/>
      <c r="RG76" s="24"/>
      <c r="RH76" s="24"/>
      <c r="RI76" s="24"/>
      <c r="RJ76" s="24"/>
      <c r="RK76" s="24"/>
      <c r="RL76" s="24"/>
      <c r="RM76" s="24"/>
      <c r="RN76" s="24"/>
      <c r="RO76" s="24"/>
      <c r="RP76" s="24"/>
      <c r="RQ76" s="24"/>
      <c r="RR76" s="24"/>
      <c r="RS76" s="24"/>
      <c r="RT76" s="24"/>
      <c r="RU76" s="24"/>
      <c r="RV76" s="24"/>
      <c r="RW76" s="24"/>
      <c r="RX76" s="24"/>
      <c r="RY76" s="24"/>
      <c r="RZ76" s="24"/>
      <c r="SA76" s="24"/>
      <c r="SB76" s="24"/>
      <c r="SC76" s="24"/>
      <c r="SD76" s="24"/>
      <c r="SE76" s="24"/>
      <c r="SF76" s="24"/>
      <c r="SG76" s="24"/>
      <c r="SH76" s="24"/>
      <c r="SI76" s="24"/>
      <c r="SJ76" s="24"/>
      <c r="SK76" s="24"/>
      <c r="SL76" s="24"/>
      <c r="SM76" s="24">
        <f t="shared" si="190"/>
        <v>0</v>
      </c>
      <c r="SN76" s="24">
        <f t="shared" si="191"/>
        <v>0</v>
      </c>
      <c r="SO76" s="24"/>
      <c r="SP76" s="24"/>
      <c r="SQ76" s="24"/>
      <c r="SR76" s="24"/>
      <c r="SS76" s="24"/>
      <c r="ST76" s="24"/>
      <c r="SU76" s="24"/>
      <c r="SV76" s="24"/>
      <c r="SW76" s="24"/>
      <c r="SX76" s="24"/>
      <c r="SY76" s="24"/>
      <c r="SZ76" s="24"/>
      <c r="TA76" s="24"/>
      <c r="TB76" s="24"/>
      <c r="TC76" s="24"/>
      <c r="TD76" s="24"/>
      <c r="TE76" s="24"/>
      <c r="TF76" s="24"/>
      <c r="TG76" s="24"/>
      <c r="TH76" s="24"/>
      <c r="TI76" s="24"/>
      <c r="TJ76" s="24"/>
      <c r="TK76" s="24"/>
      <c r="TL76" s="24"/>
      <c r="TM76" s="24"/>
      <c r="TN76" s="24"/>
      <c r="TO76" s="24"/>
      <c r="TP76" s="24"/>
      <c r="TQ76" s="24"/>
      <c r="TR76" s="24"/>
      <c r="TS76" s="24"/>
      <c r="TT76" s="24"/>
      <c r="TU76" s="24"/>
      <c r="TV76" s="24"/>
      <c r="TW76" s="24"/>
      <c r="TX76" s="24"/>
      <c r="TY76" s="24"/>
      <c r="TZ76" s="24"/>
      <c r="UA76" s="24"/>
      <c r="UB76" s="24"/>
      <c r="UC76" s="24"/>
      <c r="UD76" s="24"/>
      <c r="UE76" s="24"/>
      <c r="UF76" s="24"/>
      <c r="UG76" s="24"/>
      <c r="UH76" s="24"/>
      <c r="UI76" s="24"/>
      <c r="UJ76" s="24"/>
      <c r="UK76" s="24"/>
      <c r="UL76" s="24"/>
      <c r="UM76" s="24"/>
      <c r="UN76" s="24"/>
      <c r="UO76" s="24"/>
      <c r="UP76" s="24"/>
      <c r="UQ76" s="24"/>
      <c r="UR76" s="24"/>
      <c r="US76" s="24"/>
      <c r="UT76" s="24"/>
      <c r="UU76" s="24"/>
      <c r="UV76" s="24"/>
      <c r="UW76" s="24">
        <f t="shared" si="192"/>
        <v>0</v>
      </c>
      <c r="UX76" s="24">
        <f t="shared" si="193"/>
        <v>0</v>
      </c>
      <c r="UY76" s="24"/>
      <c r="UZ76" s="24"/>
      <c r="VA76" s="24"/>
      <c r="VB76" s="24"/>
      <c r="VC76" s="24"/>
      <c r="VD76" s="24"/>
      <c r="VE76" s="24"/>
      <c r="VF76" s="24"/>
      <c r="VG76" s="24"/>
      <c r="VH76" s="24"/>
      <c r="VI76" s="24"/>
      <c r="VJ76" s="24"/>
      <c r="VK76" s="24"/>
      <c r="VL76" s="24"/>
      <c r="VM76" s="24"/>
      <c r="VN76" s="24"/>
      <c r="VO76" s="24"/>
      <c r="VP76" s="24"/>
      <c r="VQ76" s="24"/>
      <c r="VR76" s="24"/>
      <c r="VS76" s="24"/>
      <c r="VT76" s="24"/>
      <c r="VU76" s="24"/>
      <c r="VV76" s="24"/>
      <c r="VW76" s="24"/>
      <c r="VX76" s="24"/>
      <c r="VY76" s="24"/>
      <c r="VZ76" s="24"/>
      <c r="WA76" s="24"/>
      <c r="WB76" s="24"/>
      <c r="WC76" s="24"/>
      <c r="WD76" s="24"/>
      <c r="WE76" s="24"/>
      <c r="WF76" s="24"/>
      <c r="WG76" s="24"/>
      <c r="WH76" s="24"/>
      <c r="WI76" s="24"/>
      <c r="WJ76" s="24"/>
      <c r="WK76" s="24"/>
      <c r="WL76" s="24"/>
      <c r="WM76" s="24"/>
      <c r="WN76" s="24"/>
      <c r="WO76" s="24"/>
      <c r="WP76" s="24"/>
      <c r="WQ76" s="24"/>
      <c r="WR76" s="24"/>
      <c r="WS76" s="24"/>
      <c r="WT76" s="24"/>
      <c r="WU76" s="24"/>
      <c r="WV76" s="24"/>
      <c r="WW76" s="24"/>
      <c r="WX76" s="24"/>
      <c r="WY76" s="24"/>
      <c r="WZ76" s="24"/>
      <c r="XA76" s="24"/>
      <c r="XB76" s="24"/>
      <c r="XC76" s="24"/>
      <c r="XD76" s="24"/>
      <c r="XE76" s="24"/>
      <c r="XF76" s="24"/>
      <c r="XG76" s="24"/>
      <c r="XH76" s="24"/>
      <c r="XI76" s="24">
        <f t="shared" si="194"/>
        <v>0</v>
      </c>
      <c r="XJ76" s="24">
        <f t="shared" si="195"/>
        <v>0</v>
      </c>
      <c r="XK76" s="24"/>
      <c r="XL76" s="24"/>
      <c r="XM76" s="24"/>
      <c r="XN76" s="24"/>
      <c r="XO76" s="24"/>
      <c r="XP76" s="24"/>
      <c r="XQ76" s="24"/>
      <c r="XR76" s="24"/>
      <c r="XS76" s="24"/>
      <c r="XT76" s="24"/>
      <c r="XU76" s="24"/>
      <c r="XV76" s="24"/>
      <c r="XW76" s="24"/>
      <c r="XX76" s="24"/>
      <c r="XY76" s="24"/>
      <c r="XZ76" s="24"/>
      <c r="YA76" s="24"/>
      <c r="YB76" s="24"/>
      <c r="YC76" s="24"/>
      <c r="YD76" s="24"/>
      <c r="YE76" s="24"/>
      <c r="YF76" s="24"/>
      <c r="YG76" s="24"/>
      <c r="YH76" s="24"/>
      <c r="YI76" s="24"/>
      <c r="YJ76" s="24"/>
      <c r="YK76" s="24"/>
      <c r="YL76" s="24"/>
      <c r="YM76" s="24"/>
      <c r="YN76" s="24"/>
      <c r="YO76" s="24"/>
      <c r="YP76" s="24"/>
      <c r="YQ76" s="24"/>
      <c r="YR76" s="24"/>
      <c r="YS76" s="24"/>
      <c r="YT76" s="24"/>
      <c r="YU76" s="24"/>
      <c r="YV76" s="24"/>
      <c r="YW76" s="24"/>
      <c r="YX76" s="24"/>
      <c r="YY76" s="24"/>
      <c r="YZ76" s="24"/>
      <c r="ZA76" s="24"/>
      <c r="ZB76" s="24"/>
      <c r="ZC76" s="24"/>
      <c r="ZD76" s="24"/>
      <c r="ZE76" s="24"/>
      <c r="ZF76" s="24"/>
      <c r="ZG76" s="24"/>
      <c r="ZH76" s="24"/>
      <c r="ZI76" s="24"/>
      <c r="ZJ76" s="24"/>
      <c r="ZK76" s="24"/>
      <c r="ZL76" s="24"/>
      <c r="ZM76" s="24"/>
      <c r="ZN76" s="24"/>
      <c r="ZO76" s="24"/>
      <c r="ZP76" s="24"/>
      <c r="ZQ76" s="24"/>
      <c r="ZR76" s="24"/>
      <c r="ZS76" s="24">
        <f t="shared" si="196"/>
        <v>0</v>
      </c>
      <c r="ZT76" s="24">
        <f t="shared" si="197"/>
        <v>0</v>
      </c>
      <c r="ZU76" s="24"/>
      <c r="ZV76" s="24"/>
      <c r="ZW76" s="24"/>
      <c r="ZX76" s="24"/>
      <c r="ZY76" s="24"/>
      <c r="ZZ76" s="24"/>
      <c r="AAA76" s="24"/>
      <c r="AAB76" s="24"/>
      <c r="AAC76" s="24"/>
      <c r="AAD76" s="24"/>
      <c r="AAE76" s="24"/>
      <c r="AAF76" s="24"/>
      <c r="AAG76" s="24"/>
      <c r="AAH76" s="24"/>
      <c r="AAI76" s="24"/>
      <c r="AAJ76" s="24"/>
      <c r="AAK76" s="24"/>
      <c r="AAL76" s="24"/>
      <c r="AAM76" s="24"/>
      <c r="AAN76" s="24"/>
      <c r="AAO76" s="24"/>
      <c r="AAP76" s="24"/>
      <c r="AAQ76" s="24"/>
      <c r="AAR76" s="24"/>
      <c r="AAS76" s="24"/>
      <c r="AAT76" s="24"/>
      <c r="AAU76" s="24"/>
      <c r="AAV76" s="24"/>
      <c r="AAW76" s="24"/>
      <c r="AAX76" s="24"/>
      <c r="AAY76" s="24"/>
      <c r="AAZ76" s="24"/>
      <c r="ABA76" s="24"/>
      <c r="ABB76" s="24"/>
      <c r="ABC76" s="24"/>
      <c r="ABD76" s="24"/>
      <c r="ABE76" s="24"/>
      <c r="ABF76" s="24"/>
      <c r="ABG76" s="24"/>
      <c r="ABH76" s="24"/>
      <c r="ABI76" s="24"/>
      <c r="ABJ76" s="24"/>
      <c r="ABK76" s="24"/>
      <c r="ABL76" s="24"/>
      <c r="ABM76" s="24"/>
      <c r="ABN76" s="24"/>
      <c r="ABO76" s="24"/>
      <c r="ABP76" s="24"/>
      <c r="ABQ76" s="24"/>
      <c r="ABR76" s="24"/>
      <c r="ABS76" s="24"/>
      <c r="ABT76" s="24"/>
      <c r="ABU76" s="24"/>
      <c r="ABV76" s="24"/>
      <c r="ABW76" s="24"/>
      <c r="ABX76" s="24"/>
      <c r="ABY76" s="24"/>
      <c r="ABZ76" s="24"/>
      <c r="ACA76" s="24"/>
      <c r="ACB76" s="24"/>
      <c r="ACC76" s="24"/>
      <c r="ACD76" s="24"/>
      <c r="ACE76" s="24">
        <f t="shared" si="198"/>
        <v>0</v>
      </c>
      <c r="ACF76" s="24"/>
      <c r="ACG76" s="24">
        <f t="shared" si="181"/>
        <v>0</v>
      </c>
      <c r="ACH76" s="25"/>
      <c r="ACI76" s="71" t="s">
        <v>179</v>
      </c>
      <c r="ACJ76" s="71" t="s">
        <v>99</v>
      </c>
    </row>
    <row r="77" spans="1:764" x14ac:dyDescent="0.25">
      <c r="A77" s="162"/>
      <c r="B77" s="152"/>
      <c r="C77" s="155"/>
      <c r="D77" s="50" t="s">
        <v>8</v>
      </c>
      <c r="E77" s="74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>
        <v>69.679999999999993</v>
      </c>
      <c r="AN77" s="75">
        <v>71.08</v>
      </c>
      <c r="AO77" s="75">
        <v>43.97</v>
      </c>
      <c r="AP77" s="75">
        <v>44.019999999999996</v>
      </c>
      <c r="AQ77" s="75">
        <v>68.16</v>
      </c>
      <c r="AR77" s="75">
        <v>68.099999999999994</v>
      </c>
      <c r="AS77" s="75"/>
      <c r="AT77" s="75"/>
      <c r="AU77" s="75">
        <v>22.73</v>
      </c>
      <c r="AV77" s="75">
        <v>22.7</v>
      </c>
      <c r="AW77" s="75">
        <v>70.36</v>
      </c>
      <c r="AX77" s="75">
        <v>74.64</v>
      </c>
      <c r="AY77" s="75">
        <v>49.03</v>
      </c>
      <c r="AZ77" s="75">
        <v>49.46</v>
      </c>
      <c r="BA77" s="75"/>
      <c r="BB77" s="75"/>
      <c r="BC77" s="75">
        <v>85.37</v>
      </c>
      <c r="BD77" s="75">
        <v>84.96</v>
      </c>
      <c r="BE77" s="75">
        <v>26.22</v>
      </c>
      <c r="BF77" s="75">
        <v>26.26</v>
      </c>
      <c r="BG77" s="75"/>
      <c r="BH77" s="75"/>
      <c r="BI77" s="75">
        <v>51.269999999999996</v>
      </c>
      <c r="BJ77" s="75">
        <v>51.2</v>
      </c>
      <c r="BK77" s="75">
        <v>28.27</v>
      </c>
      <c r="BL77" s="75">
        <v>28.22</v>
      </c>
      <c r="BM77" s="75">
        <v>51.510000000000005</v>
      </c>
      <c r="BN77" s="75">
        <v>51.58</v>
      </c>
      <c r="BO77" s="24" cm="1">
        <f t="array" ref="BO77">SUMPRODUCT(E77:BM77,--(E$2:BM$2=BO$2))</f>
        <v>566.56999999999994</v>
      </c>
      <c r="BP77" s="24" cm="1">
        <f t="array" ref="BP77">SUMPRODUCT(F77:BN77,--(F$2:BN$2=BP$2))</f>
        <v>572.21999999999991</v>
      </c>
      <c r="BQ77" s="24">
        <v>26.3</v>
      </c>
      <c r="BR77" s="24">
        <v>25.94</v>
      </c>
      <c r="BS77" s="24">
        <v>29.76</v>
      </c>
      <c r="BT77" s="24">
        <v>30</v>
      </c>
      <c r="BU77" s="24">
        <v>28.59</v>
      </c>
      <c r="BV77" s="24">
        <v>28.46</v>
      </c>
      <c r="BW77" s="24">
        <v>57.09</v>
      </c>
      <c r="BX77" s="24">
        <v>56.86</v>
      </c>
      <c r="BY77" s="24">
        <v>27.37</v>
      </c>
      <c r="BZ77" s="24">
        <v>26.94</v>
      </c>
      <c r="CA77" s="24">
        <v>24.4</v>
      </c>
      <c r="CB77" s="24">
        <v>24.26</v>
      </c>
      <c r="CC77" s="24">
        <v>48.71</v>
      </c>
      <c r="CD77" s="24">
        <v>48.66</v>
      </c>
      <c r="CE77" s="24">
        <v>48.26</v>
      </c>
      <c r="CF77" s="24">
        <v>48.480000000000004</v>
      </c>
      <c r="CG77" s="24">
        <v>20.02</v>
      </c>
      <c r="CH77" s="24">
        <v>20.32</v>
      </c>
      <c r="CI77" s="24"/>
      <c r="CJ77" s="24"/>
      <c r="CK77" s="24">
        <v>44.239999999999995</v>
      </c>
      <c r="CL77" s="24">
        <v>43.82</v>
      </c>
      <c r="CM77" s="24">
        <v>47.55</v>
      </c>
      <c r="CN77" s="24">
        <v>47.36</v>
      </c>
      <c r="CO77" s="24">
        <v>43.8</v>
      </c>
      <c r="CP77" s="24">
        <v>43.620000000000005</v>
      </c>
      <c r="CQ77" s="24">
        <v>43.76</v>
      </c>
      <c r="CR77" s="24">
        <v>43.519999999999996</v>
      </c>
      <c r="CS77" s="24">
        <v>22.66</v>
      </c>
      <c r="CT77" s="24">
        <v>22.66</v>
      </c>
      <c r="CU77" s="24">
        <v>45.83</v>
      </c>
      <c r="CV77" s="24">
        <v>45.379999999999995</v>
      </c>
      <c r="CW77" s="24">
        <v>26.67</v>
      </c>
      <c r="CX77" s="24">
        <v>26.78</v>
      </c>
      <c r="CY77" s="24">
        <v>80.650000000000006</v>
      </c>
      <c r="CZ77" s="24">
        <v>82.47999999999999</v>
      </c>
      <c r="DA77" s="24">
        <v>56.57</v>
      </c>
      <c r="DB77" s="24">
        <v>56.86</v>
      </c>
      <c r="DC77" s="24">
        <v>49.45</v>
      </c>
      <c r="DD77" s="24">
        <v>49.379999999999995</v>
      </c>
      <c r="DE77" s="24">
        <v>48</v>
      </c>
      <c r="DF77" s="24">
        <v>47.68</v>
      </c>
      <c r="DG77" s="24">
        <v>50.269999999999996</v>
      </c>
      <c r="DH77" s="24">
        <v>50.16</v>
      </c>
      <c r="DI77" s="24">
        <v>49.38</v>
      </c>
      <c r="DJ77" s="24">
        <v>50.78</v>
      </c>
      <c r="DK77" s="24">
        <v>49.06</v>
      </c>
      <c r="DL77" s="24">
        <v>48.8</v>
      </c>
      <c r="DM77" s="24">
        <v>84.490000000000009</v>
      </c>
      <c r="DN77" s="24">
        <v>84.04</v>
      </c>
      <c r="DO77" s="24">
        <v>55.980000000000004</v>
      </c>
      <c r="DP77" s="24">
        <v>55.58</v>
      </c>
      <c r="DQ77" s="24">
        <v>25.58</v>
      </c>
      <c r="DR77" s="24">
        <v>26.5</v>
      </c>
      <c r="DS77" s="24">
        <v>28.16</v>
      </c>
      <c r="DT77" s="24">
        <v>28.42</v>
      </c>
      <c r="DU77" s="24">
        <v>31.57</v>
      </c>
      <c r="DV77" s="24">
        <v>31.38</v>
      </c>
      <c r="DW77" s="24" cm="1">
        <f t="array" ref="DW77">SUMPRODUCT(BQ77:DU77,--(BQ$2:DU$2=DW$2))</f>
        <v>1194.17</v>
      </c>
      <c r="DX77" s="24" cm="1">
        <f t="array" ref="DX77">SUMPRODUCT(BR77:DV77,--(BR$2:DV$2=DX$2))</f>
        <v>1195.1199999999999</v>
      </c>
      <c r="DY77" s="24">
        <v>61.32</v>
      </c>
      <c r="DZ77" s="24">
        <v>61.1</v>
      </c>
      <c r="EA77" s="24">
        <v>58.120000000000005</v>
      </c>
      <c r="EB77" s="24">
        <v>57.78</v>
      </c>
      <c r="EC77" s="24">
        <v>55.89</v>
      </c>
      <c r="ED77" s="24">
        <v>55.36</v>
      </c>
      <c r="EE77" s="24">
        <v>57.45</v>
      </c>
      <c r="EF77" s="24">
        <v>57.46</v>
      </c>
      <c r="EG77" s="24">
        <v>55.25</v>
      </c>
      <c r="EH77" s="24">
        <v>55.400000000000006</v>
      </c>
      <c r="EI77" s="24">
        <v>51.54</v>
      </c>
      <c r="EJ77" s="24">
        <v>50.72</v>
      </c>
      <c r="EK77" s="24"/>
      <c r="EL77" s="24"/>
      <c r="EM77" s="24">
        <v>27.36</v>
      </c>
      <c r="EN77" s="24">
        <v>27.38</v>
      </c>
      <c r="EO77" s="24">
        <v>51.239999999999995</v>
      </c>
      <c r="EP77" s="24">
        <v>51.2</v>
      </c>
      <c r="EQ77" s="24">
        <v>50.22</v>
      </c>
      <c r="ER77" s="24">
        <v>49.96</v>
      </c>
      <c r="ES77" s="24">
        <v>52.769999999999996</v>
      </c>
      <c r="ET77" s="24">
        <v>52.44</v>
      </c>
      <c r="EU77" s="24">
        <v>26.44</v>
      </c>
      <c r="EV77" s="24">
        <v>26.86</v>
      </c>
      <c r="EW77" s="24">
        <v>26.72</v>
      </c>
      <c r="EX77" s="24">
        <v>26.94</v>
      </c>
      <c r="EY77" s="24">
        <v>28.77</v>
      </c>
      <c r="EZ77" s="24">
        <v>28.72</v>
      </c>
      <c r="FA77" s="24">
        <v>55.02</v>
      </c>
      <c r="FB77" s="24">
        <v>54.980000000000004</v>
      </c>
      <c r="FC77" s="24">
        <v>82.42</v>
      </c>
      <c r="FD77" s="24">
        <v>81.900000000000006</v>
      </c>
      <c r="FE77" s="24">
        <v>58.78</v>
      </c>
      <c r="FF77" s="24">
        <v>59</v>
      </c>
      <c r="FG77" s="24">
        <v>28.16</v>
      </c>
      <c r="FH77" s="24">
        <v>27.98</v>
      </c>
      <c r="FI77" s="24"/>
      <c r="FJ77" s="24"/>
      <c r="FK77" s="24">
        <v>29.32</v>
      </c>
      <c r="FL77" s="24">
        <v>29.32</v>
      </c>
      <c r="FM77" s="24">
        <v>24.17</v>
      </c>
      <c r="FN77" s="24">
        <v>24.48</v>
      </c>
      <c r="FO77" s="24">
        <v>55.459999999999994</v>
      </c>
      <c r="FP77" s="24">
        <v>54.66</v>
      </c>
      <c r="FQ77" s="24">
        <v>55.269999999999996</v>
      </c>
      <c r="FR77" s="24">
        <v>54.86</v>
      </c>
      <c r="FS77" s="24"/>
      <c r="FT77" s="24"/>
      <c r="FU77" s="24">
        <v>57.94</v>
      </c>
      <c r="FV77" s="24">
        <v>57.239999999999995</v>
      </c>
      <c r="FW77" s="24">
        <v>55.66</v>
      </c>
      <c r="FX77" s="24">
        <v>58.9</v>
      </c>
      <c r="FY77" s="24">
        <v>60.92</v>
      </c>
      <c r="FZ77" s="24">
        <v>60.82</v>
      </c>
      <c r="GA77" s="24">
        <v>28.98</v>
      </c>
      <c r="GB77" s="24">
        <v>29.02</v>
      </c>
      <c r="GC77" s="24"/>
      <c r="GD77" s="24"/>
      <c r="GE77" s="24"/>
      <c r="GF77" s="24"/>
      <c r="GG77" s="24"/>
      <c r="GH77" s="24"/>
      <c r="GI77" s="24" cm="1">
        <f t="array" ref="GI77">SUMPRODUCT(DY77:GG77,--(DY$2:GG$2=GI$2))</f>
        <v>1195.19</v>
      </c>
      <c r="GJ77" s="24" cm="1">
        <f t="array" ref="GJ77">SUMPRODUCT(DZ77:GH77,--(DZ$2:GH$2=GJ$2))</f>
        <v>1194.48</v>
      </c>
      <c r="GK77" s="24">
        <v>55.16</v>
      </c>
      <c r="GL77" s="24">
        <v>55.120000000000005</v>
      </c>
      <c r="GM77" s="24">
        <v>59.739999999999995</v>
      </c>
      <c r="GN77" s="24">
        <v>59.540000000000006</v>
      </c>
      <c r="GO77" s="24">
        <v>59.540000000000006</v>
      </c>
      <c r="GP77" s="24">
        <v>59.519999999999996</v>
      </c>
      <c r="GQ77" s="24">
        <v>31.04</v>
      </c>
      <c r="GR77" s="24">
        <v>30.82</v>
      </c>
      <c r="GS77" s="24">
        <v>22.4</v>
      </c>
      <c r="GT77" s="24">
        <v>22.68</v>
      </c>
      <c r="GU77" s="24">
        <v>29.31</v>
      </c>
      <c r="GV77" s="24">
        <v>29.3</v>
      </c>
      <c r="GW77" s="24">
        <v>58.7</v>
      </c>
      <c r="GX77" s="24">
        <v>58.72</v>
      </c>
      <c r="GY77" s="24">
        <v>60.06</v>
      </c>
      <c r="GZ77" s="24">
        <v>59.739999999999995</v>
      </c>
      <c r="HA77" s="24">
        <v>29.2</v>
      </c>
      <c r="HB77" s="24">
        <v>29.88</v>
      </c>
      <c r="HC77" s="24"/>
      <c r="HD77" s="24"/>
      <c r="HE77" s="24">
        <v>27.34</v>
      </c>
      <c r="HF77" s="24">
        <v>27.32</v>
      </c>
      <c r="HG77" s="24">
        <v>29.54</v>
      </c>
      <c r="HH77" s="24">
        <v>29.44</v>
      </c>
      <c r="HI77" s="24">
        <v>28.16</v>
      </c>
      <c r="HJ77" s="24">
        <v>28.22</v>
      </c>
      <c r="HK77" s="24">
        <v>55.96</v>
      </c>
      <c r="HL77" s="24">
        <v>56.38</v>
      </c>
      <c r="HM77" s="24">
        <v>55.879999999999995</v>
      </c>
      <c r="HN77" s="24">
        <v>55.72</v>
      </c>
      <c r="HO77" s="24">
        <v>53.7</v>
      </c>
      <c r="HP77" s="24">
        <v>53.84</v>
      </c>
      <c r="HQ77" s="24">
        <v>56.2</v>
      </c>
      <c r="HR77" s="24">
        <v>56.24</v>
      </c>
      <c r="HS77" s="24">
        <v>56.36</v>
      </c>
      <c r="HT77" s="24">
        <v>56.32</v>
      </c>
      <c r="HU77" s="24"/>
      <c r="HV77" s="24"/>
      <c r="HW77" s="24">
        <v>52.56</v>
      </c>
      <c r="HX77" s="24">
        <v>52.5</v>
      </c>
      <c r="HY77" s="24">
        <v>28.62</v>
      </c>
      <c r="HZ77" s="24">
        <v>28.88</v>
      </c>
      <c r="IA77" s="24">
        <v>55.52</v>
      </c>
      <c r="IB77" s="24">
        <v>55.3</v>
      </c>
      <c r="IC77" s="24">
        <v>57.67</v>
      </c>
      <c r="ID77" s="24">
        <v>57.56</v>
      </c>
      <c r="IE77" s="24"/>
      <c r="IF77" s="24"/>
      <c r="IG77" s="24">
        <v>29.72</v>
      </c>
      <c r="IH77" s="24">
        <v>31.02</v>
      </c>
      <c r="II77" s="24">
        <v>30.6</v>
      </c>
      <c r="IJ77" s="24">
        <v>30.52</v>
      </c>
      <c r="IK77" s="24"/>
      <c r="IL77" s="24"/>
      <c r="IM77" s="24"/>
      <c r="IN77" s="24"/>
      <c r="IO77" s="24"/>
      <c r="IP77" s="24"/>
      <c r="IQ77" s="24"/>
      <c r="IR77" s="24"/>
      <c r="IS77" s="24">
        <f t="shared" si="182"/>
        <v>1022.9800000000001</v>
      </c>
      <c r="IT77" s="24">
        <f t="shared" si="183"/>
        <v>1024.5800000000002</v>
      </c>
      <c r="IU77" s="24">
        <v>27.78</v>
      </c>
      <c r="IV77" s="24">
        <v>28.44</v>
      </c>
      <c r="IW77" s="24">
        <v>51.14</v>
      </c>
      <c r="IX77" s="24">
        <v>50.58</v>
      </c>
      <c r="IY77" s="24">
        <v>28.35</v>
      </c>
      <c r="IZ77" s="24">
        <v>28.3</v>
      </c>
      <c r="JA77" s="24">
        <v>57.3</v>
      </c>
      <c r="JB77" s="24">
        <v>57.14</v>
      </c>
      <c r="JC77" s="24">
        <v>56.22</v>
      </c>
      <c r="JD77" s="24">
        <v>56.239999999999995</v>
      </c>
      <c r="JE77" s="24">
        <v>56.44</v>
      </c>
      <c r="JF77" s="24">
        <v>56.44</v>
      </c>
      <c r="JG77" s="24">
        <v>52.41</v>
      </c>
      <c r="JH77" s="24">
        <v>52.36</v>
      </c>
      <c r="JI77" s="24">
        <v>80.540000000000006</v>
      </c>
      <c r="JJ77" s="24">
        <v>80.86</v>
      </c>
      <c r="JK77" s="24">
        <v>55.12</v>
      </c>
      <c r="JL77" s="24">
        <v>55.120000000000005</v>
      </c>
      <c r="JM77" s="24">
        <v>28.66</v>
      </c>
      <c r="JN77" s="24">
        <v>28.68</v>
      </c>
      <c r="JO77" s="24">
        <v>51.45</v>
      </c>
      <c r="JP77" s="24">
        <v>51.32</v>
      </c>
      <c r="JQ77" s="24">
        <v>27.91</v>
      </c>
      <c r="JR77" s="24">
        <v>27.9</v>
      </c>
      <c r="JS77" s="24"/>
      <c r="JT77" s="24"/>
      <c r="JU77" s="24"/>
      <c r="JV77" s="24"/>
      <c r="JW77" s="24"/>
      <c r="JX77" s="24"/>
      <c r="JY77" s="24"/>
      <c r="JZ77" s="24"/>
      <c r="KA77" s="24"/>
      <c r="KB77" s="24"/>
      <c r="KC77" s="24"/>
      <c r="KD77" s="24"/>
      <c r="KE77" s="24"/>
      <c r="KF77" s="24"/>
      <c r="KG77" s="24"/>
      <c r="KH77" s="24"/>
      <c r="KI77" s="24"/>
      <c r="KJ77" s="24"/>
      <c r="KK77" s="24"/>
      <c r="KL77" s="24"/>
      <c r="KM77" s="24"/>
      <c r="KN77" s="24"/>
      <c r="KO77" s="24"/>
      <c r="KP77" s="24"/>
      <c r="KQ77" s="24"/>
      <c r="KR77" s="24"/>
      <c r="KS77" s="24"/>
      <c r="KT77" s="24"/>
      <c r="KU77" s="24"/>
      <c r="KV77" s="24"/>
      <c r="KW77" s="24"/>
      <c r="KX77" s="24"/>
      <c r="KY77" s="24"/>
      <c r="KZ77" s="24"/>
      <c r="LA77" s="24"/>
      <c r="LB77" s="24"/>
      <c r="LC77" s="24"/>
      <c r="LD77" s="24"/>
      <c r="LE77" s="24">
        <f t="shared" si="184"/>
        <v>573.32000000000005</v>
      </c>
      <c r="LF77" s="24">
        <f t="shared" si="185"/>
        <v>573.38</v>
      </c>
      <c r="LG77" s="24"/>
      <c r="LH77" s="24"/>
      <c r="LI77" s="24"/>
      <c r="LJ77" s="24"/>
      <c r="LK77" s="24"/>
      <c r="LL77" s="24"/>
      <c r="LM77" s="24"/>
      <c r="LN77" s="24"/>
      <c r="LO77" s="24"/>
      <c r="LP77" s="24"/>
      <c r="LQ77" s="24"/>
      <c r="LR77" s="24"/>
      <c r="LS77" s="24"/>
      <c r="LT77" s="24"/>
      <c r="LU77" s="24"/>
      <c r="LV77" s="24"/>
      <c r="LW77" s="24"/>
      <c r="LX77" s="24"/>
      <c r="LY77" s="24"/>
      <c r="LZ77" s="24"/>
      <c r="MA77" s="24"/>
      <c r="MB77" s="24"/>
      <c r="MC77" s="24"/>
      <c r="MD77" s="24"/>
      <c r="ME77" s="24"/>
      <c r="MF77" s="24"/>
      <c r="MG77" s="24"/>
      <c r="MH77" s="24"/>
      <c r="MI77" s="24"/>
      <c r="MJ77" s="24"/>
      <c r="MK77" s="24"/>
      <c r="ML77" s="24"/>
      <c r="MM77" s="24"/>
      <c r="MN77" s="24"/>
      <c r="MO77" s="24"/>
      <c r="MP77" s="24"/>
      <c r="MQ77" s="24"/>
      <c r="MR77" s="24"/>
      <c r="MS77" s="24"/>
      <c r="MT77" s="24"/>
      <c r="MU77" s="24"/>
      <c r="MV77" s="24"/>
      <c r="MW77" s="24"/>
      <c r="MX77" s="24"/>
      <c r="MY77" s="24"/>
      <c r="MZ77" s="24"/>
      <c r="NA77" s="24"/>
      <c r="NB77" s="24"/>
      <c r="NC77" s="24"/>
      <c r="ND77" s="24"/>
      <c r="NE77" s="24"/>
      <c r="NF77" s="24"/>
      <c r="NG77" s="24"/>
      <c r="NH77" s="24"/>
      <c r="NI77" s="24"/>
      <c r="NJ77" s="24"/>
      <c r="NK77" s="24"/>
      <c r="NL77" s="24"/>
      <c r="NM77" s="24"/>
      <c r="NN77" s="24"/>
      <c r="NO77" s="24">
        <f t="shared" si="186"/>
        <v>0</v>
      </c>
      <c r="NP77" s="24">
        <f t="shared" si="187"/>
        <v>0</v>
      </c>
      <c r="NQ77" s="24"/>
      <c r="NR77" s="24"/>
      <c r="NS77" s="24"/>
      <c r="NT77" s="24"/>
      <c r="NU77" s="24"/>
      <c r="NV77" s="24"/>
      <c r="NW77" s="24"/>
      <c r="NX77" s="24"/>
      <c r="NY77" s="24"/>
      <c r="NZ77" s="24"/>
      <c r="OA77" s="24"/>
      <c r="OB77" s="24"/>
      <c r="OC77" s="24"/>
      <c r="OD77" s="24"/>
      <c r="OE77" s="24"/>
      <c r="OF77" s="24"/>
      <c r="OG77" s="24"/>
      <c r="OH77" s="24"/>
      <c r="OI77" s="24"/>
      <c r="OJ77" s="24"/>
      <c r="OK77" s="24"/>
      <c r="OL77" s="24"/>
      <c r="OM77" s="24"/>
      <c r="ON77" s="24"/>
      <c r="OO77" s="24"/>
      <c r="OP77" s="24"/>
      <c r="OQ77" s="24"/>
      <c r="OR77" s="24"/>
      <c r="OS77" s="24"/>
      <c r="OT77" s="24"/>
      <c r="OU77" s="24"/>
      <c r="OV77" s="24"/>
      <c r="OW77" s="24"/>
      <c r="OX77" s="24"/>
      <c r="OY77" s="24"/>
      <c r="OZ77" s="24"/>
      <c r="PA77" s="24"/>
      <c r="PB77" s="24"/>
      <c r="PC77" s="24"/>
      <c r="PD77" s="24"/>
      <c r="PE77" s="24"/>
      <c r="PF77" s="24"/>
      <c r="PG77" s="24"/>
      <c r="PH77" s="24"/>
      <c r="PI77" s="24"/>
      <c r="PJ77" s="24"/>
      <c r="PK77" s="24"/>
      <c r="PL77" s="24"/>
      <c r="PM77" s="24"/>
      <c r="PN77" s="24"/>
      <c r="PO77" s="24"/>
      <c r="PP77" s="24"/>
      <c r="PQ77" s="24"/>
      <c r="PR77" s="24"/>
      <c r="PS77" s="24"/>
      <c r="PT77" s="24"/>
      <c r="PU77" s="24"/>
      <c r="PV77" s="24"/>
      <c r="PW77" s="24"/>
      <c r="PX77" s="24"/>
      <c r="PY77" s="24"/>
      <c r="PZ77" s="24"/>
      <c r="QA77" s="24">
        <f t="shared" si="188"/>
        <v>0</v>
      </c>
      <c r="QB77" s="24">
        <f t="shared" si="189"/>
        <v>0</v>
      </c>
      <c r="QC77" s="24"/>
      <c r="QD77" s="24"/>
      <c r="QE77" s="24"/>
      <c r="QF77" s="24"/>
      <c r="QG77" s="24"/>
      <c r="QH77" s="24"/>
      <c r="QI77" s="24"/>
      <c r="QJ77" s="24"/>
      <c r="QK77" s="24"/>
      <c r="QL77" s="24"/>
      <c r="QM77" s="24"/>
      <c r="QN77" s="24"/>
      <c r="QO77" s="24"/>
      <c r="QP77" s="24"/>
      <c r="QQ77" s="24"/>
      <c r="QR77" s="24"/>
      <c r="QS77" s="24"/>
      <c r="QT77" s="24"/>
      <c r="QU77" s="24"/>
      <c r="QV77" s="24"/>
      <c r="QW77" s="24"/>
      <c r="QX77" s="24"/>
      <c r="QY77" s="24"/>
      <c r="QZ77" s="24"/>
      <c r="RA77" s="24"/>
      <c r="RB77" s="24"/>
      <c r="RC77" s="24"/>
      <c r="RD77" s="24"/>
      <c r="RE77" s="24"/>
      <c r="RF77" s="24"/>
      <c r="RG77" s="24"/>
      <c r="RH77" s="24"/>
      <c r="RI77" s="24"/>
      <c r="RJ77" s="24"/>
      <c r="RK77" s="24"/>
      <c r="RL77" s="24"/>
      <c r="RM77" s="24"/>
      <c r="RN77" s="24"/>
      <c r="RO77" s="24"/>
      <c r="RP77" s="24"/>
      <c r="RQ77" s="24"/>
      <c r="RR77" s="24"/>
      <c r="RS77" s="24"/>
      <c r="RT77" s="24"/>
      <c r="RU77" s="24"/>
      <c r="RV77" s="24"/>
      <c r="RW77" s="24"/>
      <c r="RX77" s="24"/>
      <c r="RY77" s="24"/>
      <c r="RZ77" s="24"/>
      <c r="SA77" s="24"/>
      <c r="SB77" s="24"/>
      <c r="SC77" s="24"/>
      <c r="SD77" s="24"/>
      <c r="SE77" s="24"/>
      <c r="SF77" s="24"/>
      <c r="SG77" s="24"/>
      <c r="SH77" s="24"/>
      <c r="SI77" s="24"/>
      <c r="SJ77" s="24"/>
      <c r="SK77" s="24"/>
      <c r="SL77" s="24"/>
      <c r="SM77" s="24">
        <f t="shared" si="190"/>
        <v>0</v>
      </c>
      <c r="SN77" s="24">
        <f t="shared" si="191"/>
        <v>0</v>
      </c>
      <c r="SO77" s="24"/>
      <c r="SP77" s="24"/>
      <c r="SQ77" s="24"/>
      <c r="SR77" s="24"/>
      <c r="SS77" s="24"/>
      <c r="ST77" s="24"/>
      <c r="SU77" s="24"/>
      <c r="SV77" s="24"/>
      <c r="SW77" s="24"/>
      <c r="SX77" s="24"/>
      <c r="SY77" s="24"/>
      <c r="SZ77" s="24"/>
      <c r="TA77" s="24"/>
      <c r="TB77" s="24"/>
      <c r="TC77" s="24"/>
      <c r="TD77" s="24"/>
      <c r="TE77" s="24"/>
      <c r="TF77" s="24"/>
      <c r="TG77" s="24"/>
      <c r="TH77" s="24"/>
      <c r="TI77" s="24"/>
      <c r="TJ77" s="24"/>
      <c r="TK77" s="24"/>
      <c r="TL77" s="24"/>
      <c r="TM77" s="24"/>
      <c r="TN77" s="24"/>
      <c r="TO77" s="24"/>
      <c r="TP77" s="24"/>
      <c r="TQ77" s="24"/>
      <c r="TR77" s="24"/>
      <c r="TS77" s="24"/>
      <c r="TT77" s="24"/>
      <c r="TU77" s="24"/>
      <c r="TV77" s="24"/>
      <c r="TW77" s="24"/>
      <c r="TX77" s="24"/>
      <c r="TY77" s="24"/>
      <c r="TZ77" s="24"/>
      <c r="UA77" s="24"/>
      <c r="UB77" s="24"/>
      <c r="UC77" s="24"/>
      <c r="UD77" s="24"/>
      <c r="UE77" s="24"/>
      <c r="UF77" s="24"/>
      <c r="UG77" s="24"/>
      <c r="UH77" s="24"/>
      <c r="UI77" s="24"/>
      <c r="UJ77" s="24"/>
      <c r="UK77" s="24"/>
      <c r="UL77" s="24"/>
      <c r="UM77" s="24"/>
      <c r="UN77" s="24"/>
      <c r="UO77" s="24"/>
      <c r="UP77" s="24"/>
      <c r="UQ77" s="24"/>
      <c r="UR77" s="24"/>
      <c r="US77" s="24"/>
      <c r="UT77" s="24"/>
      <c r="UU77" s="24"/>
      <c r="UV77" s="24"/>
      <c r="UW77" s="24">
        <f t="shared" si="192"/>
        <v>0</v>
      </c>
      <c r="UX77" s="24">
        <f t="shared" si="193"/>
        <v>0</v>
      </c>
      <c r="UY77" s="24"/>
      <c r="UZ77" s="24"/>
      <c r="VA77" s="24"/>
      <c r="VB77" s="24"/>
      <c r="VC77" s="24"/>
      <c r="VD77" s="24"/>
      <c r="VE77" s="24"/>
      <c r="VF77" s="24"/>
      <c r="VG77" s="24"/>
      <c r="VH77" s="24"/>
      <c r="VI77" s="24"/>
      <c r="VJ77" s="24"/>
      <c r="VK77" s="24"/>
      <c r="VL77" s="24"/>
      <c r="VM77" s="24"/>
      <c r="VN77" s="24"/>
      <c r="VO77" s="24"/>
      <c r="VP77" s="24"/>
      <c r="VQ77" s="24"/>
      <c r="VR77" s="24"/>
      <c r="VS77" s="24"/>
      <c r="VT77" s="24"/>
      <c r="VU77" s="24"/>
      <c r="VV77" s="24"/>
      <c r="VW77" s="24"/>
      <c r="VX77" s="24"/>
      <c r="VY77" s="24"/>
      <c r="VZ77" s="24"/>
      <c r="WA77" s="24"/>
      <c r="WB77" s="24"/>
      <c r="WC77" s="24"/>
      <c r="WD77" s="24"/>
      <c r="WE77" s="24"/>
      <c r="WF77" s="24"/>
      <c r="WG77" s="24"/>
      <c r="WH77" s="24"/>
      <c r="WI77" s="24"/>
      <c r="WJ77" s="24"/>
      <c r="WK77" s="24"/>
      <c r="WL77" s="24"/>
      <c r="WM77" s="24"/>
      <c r="WN77" s="24"/>
      <c r="WO77" s="24"/>
      <c r="WP77" s="24"/>
      <c r="WQ77" s="24"/>
      <c r="WR77" s="24"/>
      <c r="WS77" s="24"/>
      <c r="WT77" s="24"/>
      <c r="WU77" s="24"/>
      <c r="WV77" s="24"/>
      <c r="WW77" s="24"/>
      <c r="WX77" s="24"/>
      <c r="WY77" s="24"/>
      <c r="WZ77" s="24"/>
      <c r="XA77" s="24"/>
      <c r="XB77" s="24"/>
      <c r="XC77" s="24"/>
      <c r="XD77" s="24"/>
      <c r="XE77" s="24"/>
      <c r="XF77" s="24"/>
      <c r="XG77" s="24"/>
      <c r="XH77" s="24"/>
      <c r="XI77" s="24">
        <f t="shared" si="194"/>
        <v>0</v>
      </c>
      <c r="XJ77" s="24">
        <f t="shared" si="195"/>
        <v>0</v>
      </c>
      <c r="XK77" s="24"/>
      <c r="XL77" s="24"/>
      <c r="XM77" s="24"/>
      <c r="XN77" s="24"/>
      <c r="XO77" s="24"/>
      <c r="XP77" s="24"/>
      <c r="XQ77" s="24"/>
      <c r="XR77" s="24"/>
      <c r="XS77" s="24"/>
      <c r="XT77" s="24"/>
      <c r="XU77" s="24"/>
      <c r="XV77" s="24"/>
      <c r="XW77" s="24"/>
      <c r="XX77" s="24"/>
      <c r="XY77" s="24"/>
      <c r="XZ77" s="24"/>
      <c r="YA77" s="24"/>
      <c r="YB77" s="24"/>
      <c r="YC77" s="24"/>
      <c r="YD77" s="24"/>
      <c r="YE77" s="24"/>
      <c r="YF77" s="24"/>
      <c r="YG77" s="24"/>
      <c r="YH77" s="24"/>
      <c r="YI77" s="24"/>
      <c r="YJ77" s="24"/>
      <c r="YK77" s="24"/>
      <c r="YL77" s="24"/>
      <c r="YM77" s="24"/>
      <c r="YN77" s="24"/>
      <c r="YO77" s="24"/>
      <c r="YP77" s="24"/>
      <c r="YQ77" s="24"/>
      <c r="YR77" s="24"/>
      <c r="YS77" s="24"/>
      <c r="YT77" s="24"/>
      <c r="YU77" s="24"/>
      <c r="YV77" s="24"/>
      <c r="YW77" s="24"/>
      <c r="YX77" s="24"/>
      <c r="YY77" s="24"/>
      <c r="YZ77" s="24"/>
      <c r="ZA77" s="24"/>
      <c r="ZB77" s="24"/>
      <c r="ZC77" s="24"/>
      <c r="ZD77" s="24"/>
      <c r="ZE77" s="24"/>
      <c r="ZF77" s="24"/>
      <c r="ZG77" s="24"/>
      <c r="ZH77" s="24"/>
      <c r="ZI77" s="24"/>
      <c r="ZJ77" s="24"/>
      <c r="ZK77" s="24"/>
      <c r="ZL77" s="24"/>
      <c r="ZM77" s="24"/>
      <c r="ZN77" s="24"/>
      <c r="ZO77" s="24"/>
      <c r="ZP77" s="24"/>
      <c r="ZQ77" s="24"/>
      <c r="ZR77" s="24"/>
      <c r="ZS77" s="24">
        <f t="shared" si="196"/>
        <v>0</v>
      </c>
      <c r="ZT77" s="24">
        <f t="shared" si="197"/>
        <v>0</v>
      </c>
      <c r="ZU77" s="24"/>
      <c r="ZV77" s="24"/>
      <c r="ZW77" s="24"/>
      <c r="ZX77" s="24"/>
      <c r="ZY77" s="24"/>
      <c r="ZZ77" s="24"/>
      <c r="AAA77" s="24"/>
      <c r="AAB77" s="24"/>
      <c r="AAC77" s="24"/>
      <c r="AAD77" s="24"/>
      <c r="AAE77" s="24"/>
      <c r="AAF77" s="24"/>
      <c r="AAG77" s="24"/>
      <c r="AAH77" s="24"/>
      <c r="AAI77" s="24"/>
      <c r="AAJ77" s="24"/>
      <c r="AAK77" s="24"/>
      <c r="AAL77" s="24"/>
      <c r="AAM77" s="24"/>
      <c r="AAN77" s="24"/>
      <c r="AAO77" s="24"/>
      <c r="AAP77" s="24"/>
      <c r="AAQ77" s="24"/>
      <c r="AAR77" s="24"/>
      <c r="AAS77" s="24"/>
      <c r="AAT77" s="24"/>
      <c r="AAU77" s="24"/>
      <c r="AAV77" s="24"/>
      <c r="AAW77" s="24"/>
      <c r="AAX77" s="24"/>
      <c r="AAY77" s="24"/>
      <c r="AAZ77" s="24"/>
      <c r="ABA77" s="24"/>
      <c r="ABB77" s="24"/>
      <c r="ABC77" s="24"/>
      <c r="ABD77" s="24"/>
      <c r="ABE77" s="24"/>
      <c r="ABF77" s="24"/>
      <c r="ABG77" s="24"/>
      <c r="ABH77" s="24"/>
      <c r="ABI77" s="24"/>
      <c r="ABJ77" s="24"/>
      <c r="ABK77" s="24"/>
      <c r="ABL77" s="24"/>
      <c r="ABM77" s="24"/>
      <c r="ABN77" s="24"/>
      <c r="ABO77" s="24"/>
      <c r="ABP77" s="24"/>
      <c r="ABQ77" s="24"/>
      <c r="ABR77" s="24"/>
      <c r="ABS77" s="24"/>
      <c r="ABT77" s="24"/>
      <c r="ABU77" s="24"/>
      <c r="ABV77" s="24"/>
      <c r="ABW77" s="24"/>
      <c r="ABX77" s="24"/>
      <c r="ABY77" s="24"/>
      <c r="ABZ77" s="24"/>
      <c r="ACA77" s="24"/>
      <c r="ACB77" s="24"/>
      <c r="ACC77" s="24"/>
      <c r="ACD77" s="24"/>
      <c r="ACE77" s="24">
        <f t="shared" si="198"/>
        <v>0</v>
      </c>
      <c r="ACF77" s="24"/>
      <c r="ACG77" s="24">
        <f t="shared" si="181"/>
        <v>4552.2300000000005</v>
      </c>
      <c r="ACH77" s="25"/>
      <c r="ACI77" s="71" t="s">
        <v>180</v>
      </c>
      <c r="ACJ77" s="71" t="s">
        <v>99</v>
      </c>
    </row>
    <row r="78" spans="1:764" ht="15.75" thickBot="1" x14ac:dyDescent="0.3">
      <c r="A78" s="162"/>
      <c r="B78" s="153"/>
      <c r="C78" s="158"/>
      <c r="D78" s="68" t="s">
        <v>9</v>
      </c>
      <c r="E78" s="76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  <c r="BF78" s="77"/>
      <c r="BG78" s="77"/>
      <c r="BH78" s="77"/>
      <c r="BI78" s="77"/>
      <c r="BJ78" s="77"/>
      <c r="BK78" s="77"/>
      <c r="BL78" s="77"/>
      <c r="BM78" s="77"/>
      <c r="BN78" s="77"/>
      <c r="BO78" s="45" cm="1">
        <f t="array" ref="BO78">SUMPRODUCT(E78:BM78,--(E$2:BM$2=BO$2))</f>
        <v>0</v>
      </c>
      <c r="BP78" s="45" cm="1">
        <f t="array" ref="BP78">SUMPRODUCT(F78:BN78,--(F$2:BN$2=BP$2))</f>
        <v>0</v>
      </c>
      <c r="BQ78" s="45"/>
      <c r="BR78" s="45"/>
      <c r="BS78" s="45"/>
      <c r="BT78" s="45"/>
      <c r="BU78" s="45"/>
      <c r="BV78" s="45"/>
      <c r="BW78" s="45"/>
      <c r="BX78" s="45"/>
      <c r="BY78" s="45"/>
      <c r="BZ78" s="45"/>
      <c r="CA78" s="45"/>
      <c r="CB78" s="45"/>
      <c r="CC78" s="45"/>
      <c r="CD78" s="45"/>
      <c r="CE78" s="45"/>
      <c r="CF78" s="45"/>
      <c r="CG78" s="45"/>
      <c r="CH78" s="45"/>
      <c r="CI78" s="45"/>
      <c r="CJ78" s="45"/>
      <c r="CK78" s="45"/>
      <c r="CL78" s="45"/>
      <c r="CM78" s="45"/>
      <c r="CN78" s="45"/>
      <c r="CO78" s="45"/>
      <c r="CP78" s="45"/>
      <c r="CQ78" s="45"/>
      <c r="CR78" s="45"/>
      <c r="CS78" s="45"/>
      <c r="CT78" s="45"/>
      <c r="CU78" s="45"/>
      <c r="CV78" s="45"/>
      <c r="CW78" s="45"/>
      <c r="CX78" s="45"/>
      <c r="CY78" s="45"/>
      <c r="CZ78" s="45"/>
      <c r="DA78" s="45"/>
      <c r="DB78" s="45"/>
      <c r="DC78" s="45"/>
      <c r="DD78" s="45"/>
      <c r="DE78" s="45"/>
      <c r="DF78" s="45"/>
      <c r="DG78" s="45"/>
      <c r="DH78" s="45"/>
      <c r="DI78" s="45"/>
      <c r="DJ78" s="45"/>
      <c r="DK78" s="45"/>
      <c r="DL78" s="45"/>
      <c r="DM78" s="45"/>
      <c r="DN78" s="45"/>
      <c r="DO78" s="45"/>
      <c r="DP78" s="45"/>
      <c r="DQ78" s="45"/>
      <c r="DR78" s="45"/>
      <c r="DS78" s="45"/>
      <c r="DT78" s="45"/>
      <c r="DU78" s="45"/>
      <c r="DV78" s="45"/>
      <c r="DW78" s="45" cm="1">
        <f t="array" ref="DW78">SUMPRODUCT(BQ78:DU78,--(BQ$2:DU$2=DW$2))</f>
        <v>0</v>
      </c>
      <c r="DX78" s="45" cm="1">
        <f t="array" ref="DX78">SUMPRODUCT(BR78:DV78,--(BR$2:DV$2=DX$2))</f>
        <v>0</v>
      </c>
      <c r="DY78" s="45"/>
      <c r="DZ78" s="45"/>
      <c r="EA78" s="45"/>
      <c r="EB78" s="45"/>
      <c r="EC78" s="45"/>
      <c r="ED78" s="45"/>
      <c r="EE78" s="45"/>
      <c r="EF78" s="45"/>
      <c r="EG78" s="45"/>
      <c r="EH78" s="45"/>
      <c r="EI78" s="45"/>
      <c r="EJ78" s="45"/>
      <c r="EK78" s="45"/>
      <c r="EL78" s="45"/>
      <c r="EM78" s="45"/>
      <c r="EN78" s="45"/>
      <c r="EO78" s="45"/>
      <c r="EP78" s="45"/>
      <c r="EQ78" s="45"/>
      <c r="ER78" s="45"/>
      <c r="ES78" s="45"/>
      <c r="ET78" s="45"/>
      <c r="EU78" s="45"/>
      <c r="EV78" s="45"/>
      <c r="EW78" s="45"/>
      <c r="EX78" s="45"/>
      <c r="EY78" s="45"/>
      <c r="EZ78" s="45"/>
      <c r="FA78" s="45"/>
      <c r="FB78" s="45"/>
      <c r="FC78" s="45"/>
      <c r="FD78" s="45"/>
      <c r="FE78" s="45"/>
      <c r="FF78" s="45"/>
      <c r="FG78" s="45"/>
      <c r="FH78" s="45"/>
      <c r="FI78" s="45"/>
      <c r="FJ78" s="45"/>
      <c r="FK78" s="45"/>
      <c r="FL78" s="45"/>
      <c r="FM78" s="45"/>
      <c r="FN78" s="45"/>
      <c r="FO78" s="45"/>
      <c r="FP78" s="45"/>
      <c r="FQ78" s="45"/>
      <c r="FR78" s="45"/>
      <c r="FS78" s="45"/>
      <c r="FT78" s="45"/>
      <c r="FU78" s="45"/>
      <c r="FV78" s="45"/>
      <c r="FW78" s="45"/>
      <c r="FX78" s="45"/>
      <c r="FY78" s="45"/>
      <c r="FZ78" s="45"/>
      <c r="GA78" s="45"/>
      <c r="GB78" s="45"/>
      <c r="GC78" s="45"/>
      <c r="GD78" s="45"/>
      <c r="GE78" s="45"/>
      <c r="GF78" s="45"/>
      <c r="GG78" s="45"/>
      <c r="GH78" s="45"/>
      <c r="GI78" s="45" cm="1">
        <f t="array" ref="GI78">SUMPRODUCT(DY78:GG78,--(DY$2:GG$2=GI$2))</f>
        <v>0</v>
      </c>
      <c r="GJ78" s="45" cm="1">
        <f t="array" ref="GJ78">SUMPRODUCT(DZ78:GH78,--(DZ$2:GH$2=GJ$2))</f>
        <v>0</v>
      </c>
      <c r="GK78" s="24"/>
      <c r="GL78" s="24"/>
      <c r="GM78" s="24"/>
      <c r="GN78" s="24"/>
      <c r="GO78" s="24"/>
      <c r="GP78" s="24"/>
      <c r="GQ78" s="24"/>
      <c r="GR78" s="24"/>
      <c r="GS78" s="24"/>
      <c r="GT78" s="24"/>
      <c r="GU78" s="24"/>
      <c r="GV78" s="24"/>
      <c r="GW78" s="24"/>
      <c r="GX78" s="24"/>
      <c r="GY78" s="24"/>
      <c r="GZ78" s="24"/>
      <c r="HA78" s="24"/>
      <c r="HB78" s="24"/>
      <c r="HC78" s="24"/>
      <c r="HD78" s="24"/>
      <c r="HE78" s="24"/>
      <c r="HF78" s="24"/>
      <c r="HG78" s="24"/>
      <c r="HH78" s="24"/>
      <c r="HI78" s="24"/>
      <c r="HJ78" s="24"/>
      <c r="HK78" s="24"/>
      <c r="HL78" s="24"/>
      <c r="HM78" s="24"/>
      <c r="HN78" s="24"/>
      <c r="HO78" s="24"/>
      <c r="HP78" s="24"/>
      <c r="HQ78" s="24"/>
      <c r="HR78" s="24"/>
      <c r="HS78" s="24"/>
      <c r="HT78" s="24"/>
      <c r="HU78" s="24"/>
      <c r="HV78" s="24"/>
      <c r="HW78" s="24"/>
      <c r="HX78" s="24"/>
      <c r="HY78" s="24"/>
      <c r="HZ78" s="24"/>
      <c r="IA78" s="24"/>
      <c r="IB78" s="24"/>
      <c r="IC78" s="24"/>
      <c r="ID78" s="24"/>
      <c r="IE78" s="24"/>
      <c r="IF78" s="24"/>
      <c r="IG78" s="24"/>
      <c r="IH78" s="24"/>
      <c r="II78" s="24"/>
      <c r="IJ78" s="24"/>
      <c r="IK78" s="24"/>
      <c r="IL78" s="24"/>
      <c r="IM78" s="24"/>
      <c r="IN78" s="24"/>
      <c r="IO78" s="24"/>
      <c r="IP78" s="24"/>
      <c r="IQ78" s="24"/>
      <c r="IR78" s="24"/>
      <c r="IS78" s="45">
        <f t="shared" si="182"/>
        <v>0</v>
      </c>
      <c r="IT78" s="45">
        <f t="shared" si="183"/>
        <v>0</v>
      </c>
      <c r="IU78" s="45"/>
      <c r="IV78" s="45"/>
      <c r="IW78" s="45"/>
      <c r="IX78" s="45"/>
      <c r="IY78" s="45"/>
      <c r="IZ78" s="45"/>
      <c r="JA78" s="45"/>
      <c r="JB78" s="45"/>
      <c r="JC78" s="45"/>
      <c r="JD78" s="45"/>
      <c r="JE78" s="45"/>
      <c r="JF78" s="45"/>
      <c r="JG78" s="45"/>
      <c r="JH78" s="45"/>
      <c r="JI78" s="45"/>
      <c r="JJ78" s="45"/>
      <c r="JK78" s="45"/>
      <c r="JL78" s="45"/>
      <c r="JM78" s="45"/>
      <c r="JN78" s="45"/>
      <c r="JO78" s="45"/>
      <c r="JP78" s="45"/>
      <c r="JQ78" s="45"/>
      <c r="JR78" s="45"/>
      <c r="JS78" s="45"/>
      <c r="JT78" s="45"/>
      <c r="JU78" s="45"/>
      <c r="JV78" s="45"/>
      <c r="JW78" s="45"/>
      <c r="JX78" s="45"/>
      <c r="JY78" s="45"/>
      <c r="JZ78" s="45"/>
      <c r="KA78" s="45"/>
      <c r="KB78" s="45"/>
      <c r="KC78" s="45"/>
      <c r="KD78" s="45"/>
      <c r="KE78" s="45"/>
      <c r="KF78" s="45"/>
      <c r="KG78" s="45"/>
      <c r="KH78" s="45"/>
      <c r="KI78" s="45"/>
      <c r="KJ78" s="45"/>
      <c r="KK78" s="45"/>
      <c r="KL78" s="45"/>
      <c r="KM78" s="45"/>
      <c r="KN78" s="45"/>
      <c r="KO78" s="45"/>
      <c r="KP78" s="45"/>
      <c r="KQ78" s="45"/>
      <c r="KR78" s="45"/>
      <c r="KS78" s="45"/>
      <c r="KT78" s="45"/>
      <c r="KU78" s="45"/>
      <c r="KV78" s="45"/>
      <c r="KW78" s="45"/>
      <c r="KX78" s="45"/>
      <c r="KY78" s="45"/>
      <c r="KZ78" s="45"/>
      <c r="LA78" s="45"/>
      <c r="LB78" s="45"/>
      <c r="LC78" s="45"/>
      <c r="LD78" s="45"/>
      <c r="LE78" s="45">
        <f t="shared" si="184"/>
        <v>0</v>
      </c>
      <c r="LF78" s="45">
        <f t="shared" si="185"/>
        <v>0</v>
      </c>
      <c r="LG78" s="45"/>
      <c r="LH78" s="45"/>
      <c r="LI78" s="45"/>
      <c r="LJ78" s="45"/>
      <c r="LK78" s="45"/>
      <c r="LL78" s="45"/>
      <c r="LM78" s="45"/>
      <c r="LN78" s="45"/>
      <c r="LO78" s="45"/>
      <c r="LP78" s="45"/>
      <c r="LQ78" s="45"/>
      <c r="LR78" s="45"/>
      <c r="LS78" s="45"/>
      <c r="LT78" s="45"/>
      <c r="LU78" s="45"/>
      <c r="LV78" s="45"/>
      <c r="LW78" s="45"/>
      <c r="LX78" s="45"/>
      <c r="LY78" s="45"/>
      <c r="LZ78" s="45"/>
      <c r="MA78" s="45"/>
      <c r="MB78" s="45"/>
      <c r="MC78" s="45"/>
      <c r="MD78" s="45"/>
      <c r="ME78" s="45"/>
      <c r="MF78" s="45"/>
      <c r="MG78" s="45"/>
      <c r="MH78" s="45"/>
      <c r="MI78" s="45"/>
      <c r="MJ78" s="45"/>
      <c r="MK78" s="45"/>
      <c r="ML78" s="45"/>
      <c r="MM78" s="45"/>
      <c r="MN78" s="45"/>
      <c r="MO78" s="45"/>
      <c r="MP78" s="45"/>
      <c r="MQ78" s="45"/>
      <c r="MR78" s="45"/>
      <c r="MS78" s="45"/>
      <c r="MT78" s="45"/>
      <c r="MU78" s="45"/>
      <c r="MV78" s="45"/>
      <c r="MW78" s="45"/>
      <c r="MX78" s="45"/>
      <c r="MY78" s="45"/>
      <c r="MZ78" s="45"/>
      <c r="NA78" s="45"/>
      <c r="NB78" s="45"/>
      <c r="NC78" s="45"/>
      <c r="ND78" s="45"/>
      <c r="NE78" s="45"/>
      <c r="NF78" s="45"/>
      <c r="NG78" s="45"/>
      <c r="NH78" s="45"/>
      <c r="NI78" s="45"/>
      <c r="NJ78" s="45"/>
      <c r="NK78" s="45"/>
      <c r="NL78" s="45"/>
      <c r="NM78" s="45"/>
      <c r="NN78" s="45"/>
      <c r="NO78" s="45">
        <f t="shared" si="186"/>
        <v>0</v>
      </c>
      <c r="NP78" s="45">
        <f t="shared" si="187"/>
        <v>0</v>
      </c>
      <c r="NQ78" s="45"/>
      <c r="NR78" s="45"/>
      <c r="NS78" s="45"/>
      <c r="NT78" s="45"/>
      <c r="NU78" s="45"/>
      <c r="NV78" s="45"/>
      <c r="NW78" s="45"/>
      <c r="NX78" s="45"/>
      <c r="NY78" s="45"/>
      <c r="NZ78" s="45"/>
      <c r="OA78" s="45"/>
      <c r="OB78" s="45"/>
      <c r="OC78" s="45"/>
      <c r="OD78" s="45"/>
      <c r="OE78" s="45"/>
      <c r="OF78" s="45"/>
      <c r="OG78" s="45"/>
      <c r="OH78" s="45"/>
      <c r="OI78" s="45"/>
      <c r="OJ78" s="45"/>
      <c r="OK78" s="45"/>
      <c r="OL78" s="45"/>
      <c r="OM78" s="45"/>
      <c r="ON78" s="45"/>
      <c r="OO78" s="45"/>
      <c r="OP78" s="45"/>
      <c r="OQ78" s="45"/>
      <c r="OR78" s="45"/>
      <c r="OS78" s="45"/>
      <c r="OT78" s="45"/>
      <c r="OU78" s="45"/>
      <c r="OV78" s="45"/>
      <c r="OW78" s="45"/>
      <c r="OX78" s="45"/>
      <c r="OY78" s="45"/>
      <c r="OZ78" s="45"/>
      <c r="PA78" s="45"/>
      <c r="PB78" s="45"/>
      <c r="PC78" s="45"/>
      <c r="PD78" s="45"/>
      <c r="PE78" s="45"/>
      <c r="PF78" s="45"/>
      <c r="PG78" s="45"/>
      <c r="PH78" s="45"/>
      <c r="PI78" s="45"/>
      <c r="PJ78" s="45"/>
      <c r="PK78" s="45"/>
      <c r="PL78" s="45"/>
      <c r="PM78" s="45"/>
      <c r="PN78" s="45"/>
      <c r="PO78" s="45"/>
      <c r="PP78" s="45"/>
      <c r="PQ78" s="45"/>
      <c r="PR78" s="45"/>
      <c r="PS78" s="45"/>
      <c r="PT78" s="45"/>
      <c r="PU78" s="45"/>
      <c r="PV78" s="45"/>
      <c r="PW78" s="45"/>
      <c r="PX78" s="45"/>
      <c r="PY78" s="45"/>
      <c r="PZ78" s="45"/>
      <c r="QA78" s="45">
        <f t="shared" si="188"/>
        <v>0</v>
      </c>
      <c r="QB78" s="45">
        <f t="shared" si="189"/>
        <v>0</v>
      </c>
      <c r="QC78" s="45"/>
      <c r="QD78" s="45"/>
      <c r="QE78" s="45"/>
      <c r="QF78" s="45"/>
      <c r="QG78" s="45"/>
      <c r="QH78" s="45"/>
      <c r="QI78" s="45"/>
      <c r="QJ78" s="45"/>
      <c r="QK78" s="45"/>
      <c r="QL78" s="45"/>
      <c r="QM78" s="45"/>
      <c r="QN78" s="45"/>
      <c r="QO78" s="45"/>
      <c r="QP78" s="45"/>
      <c r="QQ78" s="45"/>
      <c r="QR78" s="45"/>
      <c r="QS78" s="45"/>
      <c r="QT78" s="45"/>
      <c r="QU78" s="45"/>
      <c r="QV78" s="45"/>
      <c r="QW78" s="45"/>
      <c r="QX78" s="45"/>
      <c r="QY78" s="45"/>
      <c r="QZ78" s="45"/>
      <c r="RA78" s="45"/>
      <c r="RB78" s="45"/>
      <c r="RC78" s="45"/>
      <c r="RD78" s="45"/>
      <c r="RE78" s="45"/>
      <c r="RF78" s="45"/>
      <c r="RG78" s="45"/>
      <c r="RH78" s="45"/>
      <c r="RI78" s="45"/>
      <c r="RJ78" s="45"/>
      <c r="RK78" s="45"/>
      <c r="RL78" s="45"/>
      <c r="RM78" s="45"/>
      <c r="RN78" s="45"/>
      <c r="RO78" s="45"/>
      <c r="RP78" s="45"/>
      <c r="RQ78" s="45"/>
      <c r="RR78" s="45"/>
      <c r="RS78" s="45"/>
      <c r="RT78" s="45"/>
      <c r="RU78" s="45"/>
      <c r="RV78" s="45"/>
      <c r="RW78" s="45"/>
      <c r="RX78" s="45"/>
      <c r="RY78" s="45"/>
      <c r="RZ78" s="45"/>
      <c r="SA78" s="45"/>
      <c r="SB78" s="45"/>
      <c r="SC78" s="45"/>
      <c r="SD78" s="45"/>
      <c r="SE78" s="45"/>
      <c r="SF78" s="45"/>
      <c r="SG78" s="45"/>
      <c r="SH78" s="45"/>
      <c r="SI78" s="45"/>
      <c r="SJ78" s="45"/>
      <c r="SK78" s="45"/>
      <c r="SL78" s="45"/>
      <c r="SM78" s="45">
        <f t="shared" si="190"/>
        <v>0</v>
      </c>
      <c r="SN78" s="45">
        <f t="shared" si="191"/>
        <v>0</v>
      </c>
      <c r="SO78" s="24"/>
      <c r="SP78" s="24"/>
      <c r="SQ78" s="24"/>
      <c r="SR78" s="24"/>
      <c r="SS78" s="24"/>
      <c r="ST78" s="24"/>
      <c r="SU78" s="24"/>
      <c r="SV78" s="24"/>
      <c r="SW78" s="24"/>
      <c r="SX78" s="24"/>
      <c r="SY78" s="24"/>
      <c r="SZ78" s="24"/>
      <c r="TA78" s="24"/>
      <c r="TB78" s="24"/>
      <c r="TC78" s="24"/>
      <c r="TD78" s="24"/>
      <c r="TE78" s="24"/>
      <c r="TF78" s="24"/>
      <c r="TG78" s="24"/>
      <c r="TH78" s="24"/>
      <c r="TI78" s="24"/>
      <c r="TJ78" s="24"/>
      <c r="TK78" s="24"/>
      <c r="TL78" s="24"/>
      <c r="TM78" s="24"/>
      <c r="TN78" s="24"/>
      <c r="TO78" s="24"/>
      <c r="TP78" s="24"/>
      <c r="TQ78" s="24"/>
      <c r="TR78" s="24"/>
      <c r="TS78" s="24"/>
      <c r="TT78" s="24"/>
      <c r="TU78" s="24"/>
      <c r="TV78" s="24"/>
      <c r="TW78" s="24"/>
      <c r="TX78" s="24"/>
      <c r="TY78" s="24"/>
      <c r="TZ78" s="24"/>
      <c r="UA78" s="24"/>
      <c r="UB78" s="24"/>
      <c r="UC78" s="24"/>
      <c r="UD78" s="24"/>
      <c r="UE78" s="24"/>
      <c r="UF78" s="24"/>
      <c r="UG78" s="24"/>
      <c r="UH78" s="24"/>
      <c r="UI78" s="24"/>
      <c r="UJ78" s="24"/>
      <c r="UK78" s="24"/>
      <c r="UL78" s="24"/>
      <c r="UM78" s="24"/>
      <c r="UN78" s="24"/>
      <c r="UO78" s="24"/>
      <c r="UP78" s="24"/>
      <c r="UQ78" s="24"/>
      <c r="UR78" s="24"/>
      <c r="US78" s="24"/>
      <c r="UT78" s="24"/>
      <c r="UU78" s="24"/>
      <c r="UV78" s="24"/>
      <c r="UW78" s="45">
        <f t="shared" si="192"/>
        <v>0</v>
      </c>
      <c r="UX78" s="45">
        <f t="shared" si="193"/>
        <v>0</v>
      </c>
      <c r="UY78" s="45"/>
      <c r="UZ78" s="45"/>
      <c r="VA78" s="45"/>
      <c r="VB78" s="45"/>
      <c r="VC78" s="45"/>
      <c r="VD78" s="45"/>
      <c r="VE78" s="45"/>
      <c r="VF78" s="45"/>
      <c r="VG78" s="45"/>
      <c r="VH78" s="45"/>
      <c r="VI78" s="45"/>
      <c r="VJ78" s="45"/>
      <c r="VK78" s="45"/>
      <c r="VL78" s="45"/>
      <c r="VM78" s="45"/>
      <c r="VN78" s="45"/>
      <c r="VO78" s="45"/>
      <c r="VP78" s="45"/>
      <c r="VQ78" s="45"/>
      <c r="VR78" s="45"/>
      <c r="VS78" s="45"/>
      <c r="VT78" s="45"/>
      <c r="VU78" s="45"/>
      <c r="VV78" s="45"/>
      <c r="VW78" s="45"/>
      <c r="VX78" s="45"/>
      <c r="VY78" s="45"/>
      <c r="VZ78" s="45"/>
      <c r="WA78" s="45"/>
      <c r="WB78" s="45"/>
      <c r="WC78" s="45"/>
      <c r="WD78" s="45"/>
      <c r="WE78" s="45"/>
      <c r="WF78" s="45"/>
      <c r="WG78" s="45"/>
      <c r="WH78" s="45"/>
      <c r="WI78" s="45"/>
      <c r="WJ78" s="45"/>
      <c r="WK78" s="45"/>
      <c r="WL78" s="45"/>
      <c r="WM78" s="45"/>
      <c r="WN78" s="45"/>
      <c r="WO78" s="45"/>
      <c r="WP78" s="45"/>
      <c r="WQ78" s="45"/>
      <c r="WR78" s="45"/>
      <c r="WS78" s="45"/>
      <c r="WT78" s="45"/>
      <c r="WU78" s="45"/>
      <c r="WV78" s="45"/>
      <c r="WW78" s="45"/>
      <c r="WX78" s="45"/>
      <c r="WY78" s="45"/>
      <c r="WZ78" s="45"/>
      <c r="XA78" s="45"/>
      <c r="XB78" s="45"/>
      <c r="XC78" s="45"/>
      <c r="XD78" s="45"/>
      <c r="XE78" s="45"/>
      <c r="XF78" s="45"/>
      <c r="XG78" s="45"/>
      <c r="XH78" s="45"/>
      <c r="XI78" s="45">
        <f t="shared" si="194"/>
        <v>0</v>
      </c>
      <c r="XJ78" s="45">
        <f t="shared" si="195"/>
        <v>0</v>
      </c>
      <c r="XK78" s="45"/>
      <c r="XL78" s="45"/>
      <c r="XM78" s="45"/>
      <c r="XN78" s="45"/>
      <c r="XO78" s="45"/>
      <c r="XP78" s="45"/>
      <c r="XQ78" s="45"/>
      <c r="XR78" s="45"/>
      <c r="XS78" s="45"/>
      <c r="XT78" s="45"/>
      <c r="XU78" s="45"/>
      <c r="XV78" s="45"/>
      <c r="XW78" s="45"/>
      <c r="XX78" s="45"/>
      <c r="XY78" s="45"/>
      <c r="XZ78" s="45"/>
      <c r="YA78" s="45"/>
      <c r="YB78" s="45"/>
      <c r="YC78" s="45"/>
      <c r="YD78" s="45"/>
      <c r="YE78" s="45"/>
      <c r="YF78" s="45"/>
      <c r="YG78" s="45"/>
      <c r="YH78" s="45"/>
      <c r="YI78" s="45"/>
      <c r="YJ78" s="45"/>
      <c r="YK78" s="45"/>
      <c r="YL78" s="45"/>
      <c r="YM78" s="45"/>
      <c r="YN78" s="45"/>
      <c r="YO78" s="45"/>
      <c r="YP78" s="45"/>
      <c r="YQ78" s="45"/>
      <c r="YR78" s="45"/>
      <c r="YS78" s="45"/>
      <c r="YT78" s="45"/>
      <c r="YU78" s="45"/>
      <c r="YV78" s="45"/>
      <c r="YW78" s="45"/>
      <c r="YX78" s="45"/>
      <c r="YY78" s="45"/>
      <c r="YZ78" s="45"/>
      <c r="ZA78" s="45"/>
      <c r="ZB78" s="45"/>
      <c r="ZC78" s="45"/>
      <c r="ZD78" s="45"/>
      <c r="ZE78" s="45"/>
      <c r="ZF78" s="45"/>
      <c r="ZG78" s="45"/>
      <c r="ZH78" s="45"/>
      <c r="ZI78" s="45"/>
      <c r="ZJ78" s="45"/>
      <c r="ZK78" s="45"/>
      <c r="ZL78" s="45"/>
      <c r="ZM78" s="45"/>
      <c r="ZN78" s="45"/>
      <c r="ZO78" s="45"/>
      <c r="ZP78" s="45"/>
      <c r="ZQ78" s="45"/>
      <c r="ZR78" s="45"/>
      <c r="ZS78" s="45">
        <f t="shared" si="196"/>
        <v>0</v>
      </c>
      <c r="ZT78" s="45">
        <f t="shared" si="197"/>
        <v>0</v>
      </c>
      <c r="ZU78" s="45"/>
      <c r="ZV78" s="45"/>
      <c r="ZW78" s="45"/>
      <c r="ZX78" s="45"/>
      <c r="ZY78" s="45"/>
      <c r="ZZ78" s="45"/>
      <c r="AAA78" s="45"/>
      <c r="AAB78" s="45"/>
      <c r="AAC78" s="45"/>
      <c r="AAD78" s="45"/>
      <c r="AAE78" s="45"/>
      <c r="AAF78" s="45"/>
      <c r="AAG78" s="45"/>
      <c r="AAH78" s="45"/>
      <c r="AAI78" s="45"/>
      <c r="AAJ78" s="45"/>
      <c r="AAK78" s="45"/>
      <c r="AAL78" s="45"/>
      <c r="AAM78" s="45"/>
      <c r="AAN78" s="45"/>
      <c r="AAO78" s="45"/>
      <c r="AAP78" s="45"/>
      <c r="AAQ78" s="45"/>
      <c r="AAR78" s="45"/>
      <c r="AAS78" s="45"/>
      <c r="AAT78" s="45"/>
      <c r="AAU78" s="45"/>
      <c r="AAV78" s="45"/>
      <c r="AAW78" s="45"/>
      <c r="AAX78" s="45"/>
      <c r="AAY78" s="45"/>
      <c r="AAZ78" s="45"/>
      <c r="ABA78" s="45"/>
      <c r="ABB78" s="45"/>
      <c r="ABC78" s="45"/>
      <c r="ABD78" s="45"/>
      <c r="ABE78" s="45"/>
      <c r="ABF78" s="45"/>
      <c r="ABG78" s="45"/>
      <c r="ABH78" s="45"/>
      <c r="ABI78" s="45"/>
      <c r="ABJ78" s="45"/>
      <c r="ABK78" s="45"/>
      <c r="ABL78" s="45"/>
      <c r="ABM78" s="45"/>
      <c r="ABN78" s="45"/>
      <c r="ABO78" s="45"/>
      <c r="ABP78" s="45"/>
      <c r="ABQ78" s="45"/>
      <c r="ABR78" s="45"/>
      <c r="ABS78" s="45"/>
      <c r="ABT78" s="45"/>
      <c r="ABU78" s="45"/>
      <c r="ABV78" s="45"/>
      <c r="ABW78" s="45"/>
      <c r="ABX78" s="45"/>
      <c r="ABY78" s="45"/>
      <c r="ABZ78" s="45"/>
      <c r="ACA78" s="45"/>
      <c r="ACB78" s="45"/>
      <c r="ACC78" s="45"/>
      <c r="ACD78" s="45"/>
      <c r="ACE78" s="45">
        <f t="shared" si="198"/>
        <v>0</v>
      </c>
      <c r="ACF78" s="45"/>
      <c r="ACG78" s="45">
        <f t="shared" si="181"/>
        <v>0</v>
      </c>
      <c r="ACH78" s="55"/>
      <c r="ACI78" s="71" t="s">
        <v>181</v>
      </c>
      <c r="ACJ78" s="71" t="s">
        <v>99</v>
      </c>
    </row>
    <row r="79" spans="1:764" ht="16.5" thickBot="1" x14ac:dyDescent="0.3">
      <c r="A79" s="163"/>
      <c r="B79" s="164" t="s">
        <v>37</v>
      </c>
      <c r="C79" s="165"/>
      <c r="D79" s="166"/>
      <c r="E79" s="48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>
        <f>SUM(BO69:BO78)</f>
        <v>3006.1899999999996</v>
      </c>
      <c r="BP79" s="39">
        <f>SUM(BP69:BP78)</f>
        <v>3007.4799999999996</v>
      </c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>
        <f>SUM(DW69:DW78)</f>
        <v>3343.71</v>
      </c>
      <c r="DX79" s="39">
        <f>SUM(DX69:DX78)</f>
        <v>3343.5</v>
      </c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>
        <f>SUM(GI69:GI78)</f>
        <v>4022.1800000000003</v>
      </c>
      <c r="GJ79" s="39">
        <f>SUM(GJ69:GJ78)</f>
        <v>4022.68</v>
      </c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>
        <f>SUM(IS69:IS78)</f>
        <v>3539.97</v>
      </c>
      <c r="IT79" s="39">
        <f>SUM(IT69:IT78)</f>
        <v>3537.45</v>
      </c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  <c r="JP79" s="39"/>
      <c r="JQ79" s="39"/>
      <c r="JR79" s="39"/>
      <c r="JS79" s="39"/>
      <c r="JT79" s="39"/>
      <c r="JU79" s="39"/>
      <c r="JV79" s="39"/>
      <c r="JW79" s="39"/>
      <c r="JX79" s="39"/>
      <c r="JY79" s="39"/>
      <c r="JZ79" s="39"/>
      <c r="KA79" s="39"/>
      <c r="KB79" s="39"/>
      <c r="KC79" s="39"/>
      <c r="KD79" s="39"/>
      <c r="KE79" s="39"/>
      <c r="KF79" s="39"/>
      <c r="KG79" s="39"/>
      <c r="KH79" s="39"/>
      <c r="KI79" s="39"/>
      <c r="KJ79" s="39"/>
      <c r="KK79" s="39"/>
      <c r="KL79" s="39"/>
      <c r="KM79" s="39"/>
      <c r="KN79" s="39"/>
      <c r="KO79" s="39"/>
      <c r="KP79" s="39"/>
      <c r="KQ79" s="39"/>
      <c r="KR79" s="39"/>
      <c r="KS79" s="39"/>
      <c r="KT79" s="39"/>
      <c r="KU79" s="39"/>
      <c r="KV79" s="39"/>
      <c r="KW79" s="39"/>
      <c r="KX79" s="39"/>
      <c r="KY79" s="39"/>
      <c r="KZ79" s="39"/>
      <c r="LA79" s="39"/>
      <c r="LB79" s="39"/>
      <c r="LC79" s="39"/>
      <c r="LD79" s="39"/>
      <c r="LE79" s="39">
        <f>SUM(LE69:LE78)</f>
        <v>1342</v>
      </c>
      <c r="LF79" s="39">
        <f>SUM(LF69:LF78)</f>
        <v>1341.08</v>
      </c>
      <c r="LG79" s="39"/>
      <c r="LH79" s="39"/>
      <c r="LI79" s="39"/>
      <c r="LJ79" s="39"/>
      <c r="LK79" s="39"/>
      <c r="LL79" s="39"/>
      <c r="LM79" s="39"/>
      <c r="LN79" s="39"/>
      <c r="LO79" s="39"/>
      <c r="LP79" s="39"/>
      <c r="LQ79" s="39"/>
      <c r="LR79" s="39"/>
      <c r="LS79" s="39"/>
      <c r="LT79" s="39"/>
      <c r="LU79" s="39"/>
      <c r="LV79" s="39"/>
      <c r="LW79" s="39"/>
      <c r="LX79" s="39"/>
      <c r="LY79" s="39"/>
      <c r="LZ79" s="39"/>
      <c r="MA79" s="39"/>
      <c r="MB79" s="39"/>
      <c r="MC79" s="39"/>
      <c r="MD79" s="39"/>
      <c r="ME79" s="39"/>
      <c r="MF79" s="39"/>
      <c r="MG79" s="39"/>
      <c r="MH79" s="39"/>
      <c r="MI79" s="39"/>
      <c r="MJ79" s="39"/>
      <c r="MK79" s="39"/>
      <c r="ML79" s="39"/>
      <c r="MM79" s="39"/>
      <c r="MN79" s="39"/>
      <c r="MO79" s="39"/>
      <c r="MP79" s="39"/>
      <c r="MQ79" s="39"/>
      <c r="MR79" s="39"/>
      <c r="MS79" s="39"/>
      <c r="MT79" s="39"/>
      <c r="MU79" s="39"/>
      <c r="MV79" s="39"/>
      <c r="MW79" s="39"/>
      <c r="MX79" s="39"/>
      <c r="MY79" s="39"/>
      <c r="MZ79" s="39"/>
      <c r="NA79" s="39"/>
      <c r="NB79" s="39"/>
      <c r="NC79" s="39"/>
      <c r="ND79" s="39"/>
      <c r="NE79" s="39"/>
      <c r="NF79" s="39"/>
      <c r="NG79" s="39"/>
      <c r="NH79" s="39"/>
      <c r="NI79" s="39"/>
      <c r="NJ79" s="39"/>
      <c r="NK79" s="39"/>
      <c r="NL79" s="39"/>
      <c r="NM79" s="39"/>
      <c r="NN79" s="39"/>
      <c r="NO79" s="39">
        <f>SUM(NO69:NO78)</f>
        <v>0</v>
      </c>
      <c r="NP79" s="39">
        <f>SUM(NP69:NP78)</f>
        <v>0</v>
      </c>
      <c r="NQ79" s="39"/>
      <c r="NR79" s="39"/>
      <c r="NS79" s="39"/>
      <c r="NT79" s="39"/>
      <c r="NU79" s="39"/>
      <c r="NV79" s="39"/>
      <c r="NW79" s="39"/>
      <c r="NX79" s="39"/>
      <c r="NY79" s="39"/>
      <c r="NZ79" s="39"/>
      <c r="OA79" s="39"/>
      <c r="OB79" s="39"/>
      <c r="OC79" s="39"/>
      <c r="OD79" s="39"/>
      <c r="OE79" s="39"/>
      <c r="OF79" s="39"/>
      <c r="OG79" s="39"/>
      <c r="OH79" s="39"/>
      <c r="OI79" s="39"/>
      <c r="OJ79" s="39"/>
      <c r="OK79" s="39"/>
      <c r="OL79" s="39"/>
      <c r="OM79" s="39"/>
      <c r="ON79" s="39"/>
      <c r="OO79" s="39"/>
      <c r="OP79" s="39"/>
      <c r="OQ79" s="39"/>
      <c r="OR79" s="39"/>
      <c r="OS79" s="39"/>
      <c r="OT79" s="39"/>
      <c r="OU79" s="39"/>
      <c r="OV79" s="39"/>
      <c r="OW79" s="39"/>
      <c r="OX79" s="39"/>
      <c r="OY79" s="39"/>
      <c r="OZ79" s="39"/>
      <c r="PA79" s="39"/>
      <c r="PB79" s="39"/>
      <c r="PC79" s="39"/>
      <c r="PD79" s="39"/>
      <c r="PE79" s="39"/>
      <c r="PF79" s="39"/>
      <c r="PG79" s="39"/>
      <c r="PH79" s="39"/>
      <c r="PI79" s="39"/>
      <c r="PJ79" s="39"/>
      <c r="PK79" s="39"/>
      <c r="PL79" s="39"/>
      <c r="PM79" s="39"/>
      <c r="PN79" s="39"/>
      <c r="PO79" s="39"/>
      <c r="PP79" s="39"/>
      <c r="PQ79" s="39"/>
      <c r="PR79" s="39"/>
      <c r="PS79" s="39"/>
      <c r="PT79" s="39"/>
      <c r="PU79" s="39"/>
      <c r="PV79" s="39"/>
      <c r="PW79" s="39"/>
      <c r="PX79" s="39"/>
      <c r="PY79" s="39"/>
      <c r="PZ79" s="39"/>
      <c r="QA79" s="39">
        <f>SUM(QA69:QA78)</f>
        <v>0</v>
      </c>
      <c r="QB79" s="39">
        <f>SUM(QB69:QB78)</f>
        <v>0</v>
      </c>
      <c r="QC79" s="39"/>
      <c r="QD79" s="39"/>
      <c r="QE79" s="39"/>
      <c r="QF79" s="39"/>
      <c r="QG79" s="39"/>
      <c r="QH79" s="39"/>
      <c r="QI79" s="39"/>
      <c r="QJ79" s="39"/>
      <c r="QK79" s="39"/>
      <c r="QL79" s="39"/>
      <c r="QM79" s="39"/>
      <c r="QN79" s="39"/>
      <c r="QO79" s="39"/>
      <c r="QP79" s="39"/>
      <c r="QQ79" s="39"/>
      <c r="QR79" s="39"/>
      <c r="QS79" s="39"/>
      <c r="QT79" s="39"/>
      <c r="QU79" s="39"/>
      <c r="QV79" s="39"/>
      <c r="QW79" s="39"/>
      <c r="QX79" s="39"/>
      <c r="QY79" s="39"/>
      <c r="QZ79" s="39"/>
      <c r="RA79" s="39"/>
      <c r="RB79" s="39"/>
      <c r="RC79" s="39"/>
      <c r="RD79" s="39"/>
      <c r="RE79" s="39"/>
      <c r="RF79" s="39"/>
      <c r="RG79" s="39"/>
      <c r="RH79" s="39"/>
      <c r="RI79" s="39"/>
      <c r="RJ79" s="39"/>
      <c r="RK79" s="39"/>
      <c r="RL79" s="39"/>
      <c r="RM79" s="39"/>
      <c r="RN79" s="39"/>
      <c r="RO79" s="39"/>
      <c r="RP79" s="39"/>
      <c r="RQ79" s="39"/>
      <c r="RR79" s="39"/>
      <c r="RS79" s="39"/>
      <c r="RT79" s="39"/>
      <c r="RU79" s="39"/>
      <c r="RV79" s="39"/>
      <c r="RW79" s="39"/>
      <c r="RX79" s="39"/>
      <c r="RY79" s="39"/>
      <c r="RZ79" s="39"/>
      <c r="SA79" s="39"/>
      <c r="SB79" s="39"/>
      <c r="SC79" s="39"/>
      <c r="SD79" s="39"/>
      <c r="SE79" s="39"/>
      <c r="SF79" s="39"/>
      <c r="SG79" s="39"/>
      <c r="SH79" s="39"/>
      <c r="SI79" s="39"/>
      <c r="SJ79" s="39"/>
      <c r="SK79" s="39"/>
      <c r="SL79" s="39"/>
      <c r="SM79" s="39">
        <f>SUM(SM69:SM78)</f>
        <v>0</v>
      </c>
      <c r="SN79" s="39">
        <f>SUM(SN69:SN78)</f>
        <v>0</v>
      </c>
      <c r="SO79" s="39"/>
      <c r="SP79" s="39"/>
      <c r="SQ79" s="39"/>
      <c r="SR79" s="39"/>
      <c r="SS79" s="39"/>
      <c r="ST79" s="39"/>
      <c r="SU79" s="39"/>
      <c r="SV79" s="39"/>
      <c r="SW79" s="39"/>
      <c r="SX79" s="39"/>
      <c r="SY79" s="39"/>
      <c r="SZ79" s="39"/>
      <c r="TA79" s="39"/>
      <c r="TB79" s="39"/>
      <c r="TC79" s="39"/>
      <c r="TD79" s="39"/>
      <c r="TE79" s="39"/>
      <c r="TF79" s="39"/>
      <c r="TG79" s="39"/>
      <c r="TH79" s="39"/>
      <c r="TI79" s="39"/>
      <c r="TJ79" s="39"/>
      <c r="TK79" s="39"/>
      <c r="TL79" s="39"/>
      <c r="TM79" s="39"/>
      <c r="TN79" s="39"/>
      <c r="TO79" s="39"/>
      <c r="TP79" s="39"/>
      <c r="TQ79" s="39"/>
      <c r="TR79" s="39"/>
      <c r="TS79" s="39"/>
      <c r="TT79" s="39"/>
      <c r="TU79" s="39"/>
      <c r="TV79" s="39"/>
      <c r="TW79" s="39"/>
      <c r="TX79" s="39"/>
      <c r="TY79" s="39"/>
      <c r="TZ79" s="39"/>
      <c r="UA79" s="39"/>
      <c r="UB79" s="39"/>
      <c r="UC79" s="39"/>
      <c r="UD79" s="39"/>
      <c r="UE79" s="39"/>
      <c r="UF79" s="39"/>
      <c r="UG79" s="39"/>
      <c r="UH79" s="39"/>
      <c r="UI79" s="39"/>
      <c r="UJ79" s="39"/>
      <c r="UK79" s="39"/>
      <c r="UL79" s="39"/>
      <c r="UM79" s="39"/>
      <c r="UN79" s="39"/>
      <c r="UO79" s="39"/>
      <c r="UP79" s="39"/>
      <c r="UQ79" s="39"/>
      <c r="UR79" s="39"/>
      <c r="US79" s="39"/>
      <c r="UT79" s="39"/>
      <c r="UU79" s="39"/>
      <c r="UV79" s="39"/>
      <c r="UW79" s="39">
        <f>SUM(UW69:UW78)</f>
        <v>0</v>
      </c>
      <c r="UX79" s="39">
        <f>SUM(UX69:UX78)</f>
        <v>0</v>
      </c>
      <c r="UY79" s="39"/>
      <c r="UZ79" s="39"/>
      <c r="VA79" s="39"/>
      <c r="VB79" s="39"/>
      <c r="VC79" s="39"/>
      <c r="VD79" s="39"/>
      <c r="VE79" s="39"/>
      <c r="VF79" s="39"/>
      <c r="VG79" s="39"/>
      <c r="VH79" s="39"/>
      <c r="VI79" s="39"/>
      <c r="VJ79" s="39"/>
      <c r="VK79" s="39"/>
      <c r="VL79" s="39"/>
      <c r="VM79" s="39"/>
      <c r="VN79" s="39"/>
      <c r="VO79" s="39"/>
      <c r="VP79" s="39"/>
      <c r="VQ79" s="39"/>
      <c r="VR79" s="39"/>
      <c r="VS79" s="39"/>
      <c r="VT79" s="39"/>
      <c r="VU79" s="39"/>
      <c r="VV79" s="39"/>
      <c r="VW79" s="39"/>
      <c r="VX79" s="39"/>
      <c r="VY79" s="39"/>
      <c r="VZ79" s="39"/>
      <c r="WA79" s="39"/>
      <c r="WB79" s="39"/>
      <c r="WC79" s="39"/>
      <c r="WD79" s="39"/>
      <c r="WE79" s="39"/>
      <c r="WF79" s="39"/>
      <c r="WG79" s="39"/>
      <c r="WH79" s="39"/>
      <c r="WI79" s="39"/>
      <c r="WJ79" s="39"/>
      <c r="WK79" s="39"/>
      <c r="WL79" s="39"/>
      <c r="WM79" s="39"/>
      <c r="WN79" s="39"/>
      <c r="WO79" s="39"/>
      <c r="WP79" s="39"/>
      <c r="WQ79" s="39"/>
      <c r="WR79" s="39"/>
      <c r="WS79" s="39"/>
      <c r="WT79" s="39"/>
      <c r="WU79" s="39"/>
      <c r="WV79" s="39"/>
      <c r="WW79" s="39"/>
      <c r="WX79" s="39"/>
      <c r="WY79" s="39"/>
      <c r="WZ79" s="39"/>
      <c r="XA79" s="39"/>
      <c r="XB79" s="39"/>
      <c r="XC79" s="39"/>
      <c r="XD79" s="39"/>
      <c r="XE79" s="39"/>
      <c r="XF79" s="39"/>
      <c r="XG79" s="39"/>
      <c r="XH79" s="39"/>
      <c r="XI79" s="39">
        <f>SUM(XI69:XI78)</f>
        <v>0</v>
      </c>
      <c r="XJ79" s="39">
        <f>SUM(XJ69:XJ78)</f>
        <v>0</v>
      </c>
      <c r="XK79" s="39"/>
      <c r="XL79" s="39"/>
      <c r="XM79" s="39"/>
      <c r="XN79" s="39"/>
      <c r="XO79" s="39"/>
      <c r="XP79" s="39"/>
      <c r="XQ79" s="39"/>
      <c r="XR79" s="39"/>
      <c r="XS79" s="39"/>
      <c r="XT79" s="39"/>
      <c r="XU79" s="39"/>
      <c r="XV79" s="39"/>
      <c r="XW79" s="39"/>
      <c r="XX79" s="39"/>
      <c r="XY79" s="39"/>
      <c r="XZ79" s="39"/>
      <c r="YA79" s="39"/>
      <c r="YB79" s="39"/>
      <c r="YC79" s="39"/>
      <c r="YD79" s="39"/>
      <c r="YE79" s="39"/>
      <c r="YF79" s="39"/>
      <c r="YG79" s="39"/>
      <c r="YH79" s="39"/>
      <c r="YI79" s="39"/>
      <c r="YJ79" s="39"/>
      <c r="YK79" s="39"/>
      <c r="YL79" s="39"/>
      <c r="YM79" s="39"/>
      <c r="YN79" s="39"/>
      <c r="YO79" s="39"/>
      <c r="YP79" s="39"/>
      <c r="YQ79" s="39"/>
      <c r="YR79" s="39"/>
      <c r="YS79" s="39"/>
      <c r="YT79" s="39"/>
      <c r="YU79" s="39"/>
      <c r="YV79" s="39"/>
      <c r="YW79" s="39"/>
      <c r="YX79" s="39"/>
      <c r="YY79" s="39"/>
      <c r="YZ79" s="39"/>
      <c r="ZA79" s="39"/>
      <c r="ZB79" s="39"/>
      <c r="ZC79" s="39"/>
      <c r="ZD79" s="39"/>
      <c r="ZE79" s="39"/>
      <c r="ZF79" s="39"/>
      <c r="ZG79" s="39"/>
      <c r="ZH79" s="39"/>
      <c r="ZI79" s="39"/>
      <c r="ZJ79" s="39"/>
      <c r="ZK79" s="39"/>
      <c r="ZL79" s="39"/>
      <c r="ZM79" s="39"/>
      <c r="ZN79" s="39"/>
      <c r="ZO79" s="39"/>
      <c r="ZP79" s="39"/>
      <c r="ZQ79" s="39"/>
      <c r="ZR79" s="39"/>
      <c r="ZS79" s="39">
        <f>SUM(ZS69:ZS78)</f>
        <v>0</v>
      </c>
      <c r="ZT79" s="39">
        <f>SUM(ZT69:ZT78)</f>
        <v>0</v>
      </c>
      <c r="ZU79" s="39"/>
      <c r="ZV79" s="39"/>
      <c r="ZW79" s="39"/>
      <c r="ZX79" s="39"/>
      <c r="ZY79" s="39"/>
      <c r="ZZ79" s="39"/>
      <c r="AAA79" s="39"/>
      <c r="AAB79" s="39"/>
      <c r="AAC79" s="39"/>
      <c r="AAD79" s="39"/>
      <c r="AAE79" s="39"/>
      <c r="AAF79" s="39"/>
      <c r="AAG79" s="39"/>
      <c r="AAH79" s="39"/>
      <c r="AAI79" s="39"/>
      <c r="AAJ79" s="39"/>
      <c r="AAK79" s="39"/>
      <c r="AAL79" s="39"/>
      <c r="AAM79" s="39"/>
      <c r="AAN79" s="39"/>
      <c r="AAO79" s="39"/>
      <c r="AAP79" s="39"/>
      <c r="AAQ79" s="39"/>
      <c r="AAR79" s="39"/>
      <c r="AAS79" s="39"/>
      <c r="AAT79" s="39"/>
      <c r="AAU79" s="39"/>
      <c r="AAV79" s="39"/>
      <c r="AAW79" s="39"/>
      <c r="AAX79" s="39"/>
      <c r="AAY79" s="39"/>
      <c r="AAZ79" s="39"/>
      <c r="ABA79" s="39"/>
      <c r="ABB79" s="39"/>
      <c r="ABC79" s="39"/>
      <c r="ABD79" s="39"/>
      <c r="ABE79" s="39"/>
      <c r="ABF79" s="39"/>
      <c r="ABG79" s="39"/>
      <c r="ABH79" s="39"/>
      <c r="ABI79" s="39"/>
      <c r="ABJ79" s="39"/>
      <c r="ABK79" s="39"/>
      <c r="ABL79" s="39"/>
      <c r="ABM79" s="39"/>
      <c r="ABN79" s="39"/>
      <c r="ABO79" s="39"/>
      <c r="ABP79" s="39"/>
      <c r="ABQ79" s="39"/>
      <c r="ABR79" s="39"/>
      <c r="ABS79" s="39"/>
      <c r="ABT79" s="39"/>
      <c r="ABU79" s="39"/>
      <c r="ABV79" s="39"/>
      <c r="ABW79" s="39"/>
      <c r="ABX79" s="39"/>
      <c r="ABY79" s="39"/>
      <c r="ABZ79" s="39"/>
      <c r="ACA79" s="39"/>
      <c r="ACB79" s="39"/>
      <c r="ACC79" s="39"/>
      <c r="ACD79" s="39"/>
      <c r="ACE79" s="39">
        <f>SUM(ACE69:ACE78)</f>
        <v>0</v>
      </c>
      <c r="ACF79" s="39"/>
      <c r="ACG79" s="39">
        <f>SUM(ACG69:ACG78)</f>
        <v>15254.05</v>
      </c>
      <c r="ACH79" s="40"/>
      <c r="ACI79" s="71" t="s">
        <v>223</v>
      </c>
      <c r="ACJ79" s="71" t="s">
        <v>37</v>
      </c>
    </row>
    <row r="80" spans="1:764" x14ac:dyDescent="0.25">
      <c r="A80" s="161">
        <v>8</v>
      </c>
      <c r="B80" s="151" t="s">
        <v>100</v>
      </c>
      <c r="C80" s="154" t="s">
        <v>3</v>
      </c>
      <c r="D80" s="49" t="s">
        <v>6</v>
      </c>
      <c r="E80" s="72">
        <v>29.32</v>
      </c>
      <c r="F80" s="73">
        <v>29.02</v>
      </c>
      <c r="G80" s="73">
        <v>42.66</v>
      </c>
      <c r="H80" s="73">
        <v>42.82</v>
      </c>
      <c r="I80" s="73"/>
      <c r="J80" s="73"/>
      <c r="K80" s="73"/>
      <c r="L80" s="73"/>
      <c r="M80" s="73">
        <v>22.4</v>
      </c>
      <c r="N80" s="73">
        <v>22.42</v>
      </c>
      <c r="O80" s="73">
        <v>51.620000000000005</v>
      </c>
      <c r="P80" s="73">
        <v>51.92</v>
      </c>
      <c r="Q80" s="73">
        <v>24.16</v>
      </c>
      <c r="R80" s="73">
        <v>24.16</v>
      </c>
      <c r="S80" s="73"/>
      <c r="T80" s="73"/>
      <c r="U80" s="73">
        <v>25.32</v>
      </c>
      <c r="V80" s="73">
        <v>25.4</v>
      </c>
      <c r="W80" s="73"/>
      <c r="X80" s="73"/>
      <c r="Y80" s="73"/>
      <c r="Z80" s="73"/>
      <c r="AA80" s="73"/>
      <c r="AB80" s="73"/>
      <c r="AC80" s="73">
        <v>25.62</v>
      </c>
      <c r="AD80" s="73">
        <v>24.7</v>
      </c>
      <c r="AE80" s="73">
        <v>53.9</v>
      </c>
      <c r="AF80" s="73">
        <v>54.22</v>
      </c>
      <c r="AG80" s="73">
        <v>26.54</v>
      </c>
      <c r="AH80" s="73">
        <v>26.52</v>
      </c>
      <c r="AI80" s="73">
        <v>55.68</v>
      </c>
      <c r="AJ80" s="73">
        <v>56.400000000000006</v>
      </c>
      <c r="AK80" s="73">
        <v>51.06</v>
      </c>
      <c r="AL80" s="73">
        <v>51.239999999999995</v>
      </c>
      <c r="AM80" s="73">
        <v>55.84</v>
      </c>
      <c r="AN80" s="73">
        <v>56.120000000000005</v>
      </c>
      <c r="AO80" s="73">
        <v>114.4</v>
      </c>
      <c r="AP80" s="73">
        <v>114.21000000000001</v>
      </c>
      <c r="AQ80" s="73"/>
      <c r="AR80" s="73"/>
      <c r="AS80" s="73">
        <v>22.06</v>
      </c>
      <c r="AT80" s="73">
        <v>22.5</v>
      </c>
      <c r="AU80" s="73">
        <v>32.32</v>
      </c>
      <c r="AV80" s="73">
        <v>32.44</v>
      </c>
      <c r="AW80" s="73"/>
      <c r="AX80" s="73"/>
      <c r="AY80" s="73">
        <v>62.120000000000005</v>
      </c>
      <c r="AZ80" s="73">
        <v>63.02</v>
      </c>
      <c r="BA80" s="73"/>
      <c r="BB80" s="73"/>
      <c r="BC80" s="73"/>
      <c r="BD80" s="73"/>
      <c r="BE80" s="73"/>
      <c r="BF80" s="73"/>
      <c r="BG80" s="73"/>
      <c r="BH80" s="73"/>
      <c r="BI80" s="73">
        <v>63.319999999999993</v>
      </c>
      <c r="BJ80" s="73">
        <v>63.48</v>
      </c>
      <c r="BK80" s="73">
        <v>64.08</v>
      </c>
      <c r="BL80" s="73">
        <v>64.239999999999995</v>
      </c>
      <c r="BM80" s="73"/>
      <c r="BN80" s="73"/>
      <c r="BO80" s="43" cm="1">
        <f t="array" ref="BO80">SUMPRODUCT(E80:BM80,--(E$2:BM$2=BO$2))</f>
        <v>822.42</v>
      </c>
      <c r="BP80" s="43" cm="1">
        <f t="array" ref="BP80">SUMPRODUCT(F80:BN80,--(F$2:BN$2=BP$2))</f>
        <v>824.82999999999993</v>
      </c>
      <c r="BQ80" s="43">
        <v>183.85</v>
      </c>
      <c r="BR80" s="43">
        <v>184.1</v>
      </c>
      <c r="BS80" s="43">
        <v>58.980000000000004</v>
      </c>
      <c r="BT80" s="43">
        <v>58.83</v>
      </c>
      <c r="BU80" s="43">
        <v>81.22</v>
      </c>
      <c r="BV80" s="43">
        <v>81.36</v>
      </c>
      <c r="BW80" s="43"/>
      <c r="BX80" s="43"/>
      <c r="BY80" s="43">
        <v>89.2</v>
      </c>
      <c r="BZ80" s="43">
        <v>88.72</v>
      </c>
      <c r="CA80" s="43">
        <v>26.82</v>
      </c>
      <c r="CB80" s="43">
        <v>26.8</v>
      </c>
      <c r="CC80" s="43"/>
      <c r="CD80" s="43"/>
      <c r="CE80" s="43">
        <v>25.12</v>
      </c>
      <c r="CF80" s="43">
        <v>25.1</v>
      </c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>
        <v>27.24</v>
      </c>
      <c r="DB80" s="43">
        <v>27.3</v>
      </c>
      <c r="DC80" s="43"/>
      <c r="DD80" s="43"/>
      <c r="DE80" s="43"/>
      <c r="DF80" s="43"/>
      <c r="DG80" s="43">
        <v>75.92</v>
      </c>
      <c r="DH80" s="43">
        <v>77.5</v>
      </c>
      <c r="DI80" s="43">
        <v>57.72</v>
      </c>
      <c r="DJ80" s="43">
        <v>57.84</v>
      </c>
      <c r="DK80" s="43"/>
      <c r="DL80" s="43"/>
      <c r="DM80" s="43"/>
      <c r="DN80" s="43"/>
      <c r="DO80" s="43"/>
      <c r="DP80" s="43"/>
      <c r="DQ80" s="43">
        <v>96.84</v>
      </c>
      <c r="DR80" s="43">
        <v>96.960000000000008</v>
      </c>
      <c r="DS80" s="43"/>
      <c r="DT80" s="43"/>
      <c r="DU80" s="43">
        <v>29.44</v>
      </c>
      <c r="DV80" s="43">
        <v>29.44</v>
      </c>
      <c r="DW80" s="43" cm="1">
        <f t="array" ref="DW80">SUMPRODUCT(BQ80:DU80,--(BQ$2:DU$2=DW$2))</f>
        <v>752.35</v>
      </c>
      <c r="DX80" s="43" cm="1">
        <f t="array" ref="DX80">SUMPRODUCT(BR80:DV80,--(BR$2:DV$2=DX$2))</f>
        <v>753.95000000000016</v>
      </c>
      <c r="DY80" s="43"/>
      <c r="DZ80" s="43"/>
      <c r="EA80" s="43">
        <v>24.82</v>
      </c>
      <c r="EB80" s="43">
        <v>24.84</v>
      </c>
      <c r="EC80" s="43">
        <v>54.8</v>
      </c>
      <c r="ED80" s="43">
        <v>54.78</v>
      </c>
      <c r="EE80" s="43"/>
      <c r="EF80" s="43"/>
      <c r="EG80" s="43">
        <v>62.96</v>
      </c>
      <c r="EH80" s="43">
        <v>62.9</v>
      </c>
      <c r="EI80" s="43">
        <v>29.94</v>
      </c>
      <c r="EJ80" s="43">
        <v>30.04</v>
      </c>
      <c r="EK80" s="43">
        <v>26.64</v>
      </c>
      <c r="EL80" s="43">
        <v>26.72</v>
      </c>
      <c r="EM80" s="43"/>
      <c r="EN80" s="43"/>
      <c r="EO80" s="43"/>
      <c r="EP80" s="43"/>
      <c r="EQ80" s="43"/>
      <c r="ER80" s="43"/>
      <c r="ES80" s="43">
        <v>26.4</v>
      </c>
      <c r="ET80" s="43">
        <v>27.7</v>
      </c>
      <c r="EU80" s="43">
        <v>28.64</v>
      </c>
      <c r="EV80" s="43">
        <v>28.34</v>
      </c>
      <c r="EW80" s="43"/>
      <c r="EX80" s="43"/>
      <c r="EY80" s="43">
        <v>30.36</v>
      </c>
      <c r="EZ80" s="43">
        <v>30.54</v>
      </c>
      <c r="FA80" s="43">
        <v>35.22</v>
      </c>
      <c r="FB80" s="43">
        <v>35.18</v>
      </c>
      <c r="FC80" s="43">
        <v>54.239999999999995</v>
      </c>
      <c r="FD80" s="43">
        <v>54.3</v>
      </c>
      <c r="FE80" s="43">
        <v>27.44</v>
      </c>
      <c r="FF80" s="43">
        <v>27.7</v>
      </c>
      <c r="FG80" s="43"/>
      <c r="FH80" s="43"/>
      <c r="FI80" s="43">
        <v>56.2</v>
      </c>
      <c r="FJ80" s="43">
        <v>56.06</v>
      </c>
      <c r="FK80" s="43"/>
      <c r="FL80" s="43"/>
      <c r="FM80" s="43">
        <v>34.159999999999997</v>
      </c>
      <c r="FN80" s="43">
        <v>34.159999999999997</v>
      </c>
      <c r="FO80" s="43"/>
      <c r="FP80" s="43"/>
      <c r="FQ80" s="43"/>
      <c r="FR80" s="43"/>
      <c r="FS80" s="43">
        <v>29.24</v>
      </c>
      <c r="FT80" s="43">
        <v>29.24</v>
      </c>
      <c r="FU80" s="43">
        <v>33.880000000000003</v>
      </c>
      <c r="FV80" s="43">
        <v>33.78</v>
      </c>
      <c r="FW80" s="43">
        <v>64.260000000000005</v>
      </c>
      <c r="FX80" s="43">
        <v>64.48</v>
      </c>
      <c r="FY80" s="43">
        <v>63.36</v>
      </c>
      <c r="FZ80" s="43">
        <v>63.3</v>
      </c>
      <c r="GA80" s="43">
        <v>70.239999999999995</v>
      </c>
      <c r="GB80" s="43">
        <v>70.47999999999999</v>
      </c>
      <c r="GC80" s="43">
        <v>61.42</v>
      </c>
      <c r="GD80" s="43">
        <v>61.44</v>
      </c>
      <c r="GE80" s="43"/>
      <c r="GF80" s="43"/>
      <c r="GG80" s="43">
        <v>113.22</v>
      </c>
      <c r="GH80" s="43">
        <v>113.30000000000001</v>
      </c>
      <c r="GI80" s="43" cm="1">
        <f t="array" ref="GI80">SUMPRODUCT(DY80:GG80,--(DY$2:GG$2=GI$2))</f>
        <v>927.44</v>
      </c>
      <c r="GJ80" s="43" cm="1">
        <f t="array" ref="GJ80">SUMPRODUCT(DZ80:GH80,--(DZ$2:GH$2=GJ$2))</f>
        <v>929.28</v>
      </c>
      <c r="GK80" s="43">
        <v>121.74</v>
      </c>
      <c r="GL80" s="43">
        <v>121.89</v>
      </c>
      <c r="GM80" s="43">
        <v>57.82</v>
      </c>
      <c r="GN80" s="43">
        <v>57.92</v>
      </c>
      <c r="GO80" s="43">
        <v>59.28</v>
      </c>
      <c r="GP80" s="43">
        <v>59.54</v>
      </c>
      <c r="GQ80" s="43"/>
      <c r="GR80" s="43"/>
      <c r="GS80" s="43">
        <v>30.22</v>
      </c>
      <c r="GT80" s="43">
        <v>30.64</v>
      </c>
      <c r="GU80" s="43"/>
      <c r="GV80" s="43"/>
      <c r="GW80" s="43">
        <v>55.040000000000006</v>
      </c>
      <c r="GX80" s="43">
        <v>55.02</v>
      </c>
      <c r="GY80" s="43">
        <v>28.52</v>
      </c>
      <c r="GZ80" s="43">
        <v>28.52</v>
      </c>
      <c r="HA80" s="43"/>
      <c r="HB80" s="43"/>
      <c r="HC80" s="43">
        <v>57.04</v>
      </c>
      <c r="HD80" s="43">
        <v>57.2</v>
      </c>
      <c r="HE80" s="43">
        <v>51.92</v>
      </c>
      <c r="HF80" s="43">
        <v>51.8</v>
      </c>
      <c r="HG80" s="43"/>
      <c r="HH80" s="43"/>
      <c r="HI80" s="43"/>
      <c r="HJ80" s="43"/>
      <c r="HK80" s="43">
        <v>53.72</v>
      </c>
      <c r="HL80" s="43">
        <v>53.760000000000005</v>
      </c>
      <c r="HM80" s="43">
        <v>27.26</v>
      </c>
      <c r="HN80" s="43">
        <v>27.48</v>
      </c>
      <c r="HO80" s="43">
        <v>59.5</v>
      </c>
      <c r="HP80" s="43">
        <v>59.68</v>
      </c>
      <c r="HQ80" s="43">
        <v>27.54</v>
      </c>
      <c r="HR80" s="43">
        <v>27.48</v>
      </c>
      <c r="HS80" s="43">
        <v>116.38000000000001</v>
      </c>
      <c r="HT80" s="43">
        <v>116.28</v>
      </c>
      <c r="HU80" s="43"/>
      <c r="HV80" s="43"/>
      <c r="HW80" s="43">
        <v>31.66</v>
      </c>
      <c r="HX80" s="43">
        <v>31.73</v>
      </c>
      <c r="HY80" s="43">
        <v>25.4</v>
      </c>
      <c r="HZ80" s="43">
        <v>25.42</v>
      </c>
      <c r="IA80" s="43">
        <v>118.7</v>
      </c>
      <c r="IB80" s="43">
        <v>118.94</v>
      </c>
      <c r="IC80" s="43">
        <v>59.620000000000005</v>
      </c>
      <c r="ID80" s="43">
        <v>59.74</v>
      </c>
      <c r="IE80" s="43"/>
      <c r="IF80" s="43"/>
      <c r="IG80" s="43">
        <v>27.74</v>
      </c>
      <c r="IH80" s="43">
        <v>28</v>
      </c>
      <c r="II80" s="43">
        <v>27.22</v>
      </c>
      <c r="IJ80" s="43">
        <v>27.26</v>
      </c>
      <c r="IK80" s="43"/>
      <c r="IL80" s="43"/>
      <c r="IM80" s="43"/>
      <c r="IN80" s="43"/>
      <c r="IO80" s="43"/>
      <c r="IP80" s="43"/>
      <c r="IQ80" s="43"/>
      <c r="IR80" s="43"/>
      <c r="IS80" s="43">
        <f>GK80+GM80+GO80+GQ80+GS80+GU80+GW80+GY80+HA80+HC80+HE80+HG80+HI80+HK80+HM80+HO80+HQ80+HS80+HU80+HW80+HY80+IA80+IC80+IE80+IG80+II80+IK80+IM80+IO80+IQ80</f>
        <v>1036.32</v>
      </c>
      <c r="IT80" s="43">
        <f>GL80+GN80+GP80+GR80+GT80+GV80+GX80+GZ80+HB80+HD80+HF80+HH80+HJ80+HL80+HN80+HP80+HR80+HT80+HV80+HX80+HZ80+IB80+ID80+IF80+IH80+IJ80+IL80+IN80+IP80+IR80</f>
        <v>1038.3</v>
      </c>
      <c r="IU80" s="43">
        <v>83.93</v>
      </c>
      <c r="IV80" s="43">
        <v>83.88</v>
      </c>
      <c r="IW80" s="43">
        <v>55.2</v>
      </c>
      <c r="IX80" s="43">
        <v>55.32</v>
      </c>
      <c r="IY80" s="43"/>
      <c r="IZ80" s="43"/>
      <c r="JA80" s="43"/>
      <c r="JB80" s="43"/>
      <c r="JC80" s="43"/>
      <c r="JD80" s="43"/>
      <c r="JE80" s="43">
        <v>56.92</v>
      </c>
      <c r="JF80" s="43">
        <v>56.879999999999995</v>
      </c>
      <c r="JG80" s="43">
        <v>53.14</v>
      </c>
      <c r="JH80" s="43">
        <v>53.239999999999995</v>
      </c>
      <c r="JI80" s="43"/>
      <c r="JJ80" s="43"/>
      <c r="JK80" s="43"/>
      <c r="JL80" s="43"/>
      <c r="JM80" s="43">
        <v>27.94</v>
      </c>
      <c r="JN80" s="43">
        <v>27.9</v>
      </c>
      <c r="JO80" s="43"/>
      <c r="JP80" s="43"/>
      <c r="JQ80" s="43">
        <v>24.3</v>
      </c>
      <c r="JR80" s="43">
        <v>24.3</v>
      </c>
      <c r="JS80" s="43"/>
      <c r="JT80" s="43"/>
      <c r="JU80" s="43"/>
      <c r="JV80" s="43"/>
      <c r="JW80" s="43"/>
      <c r="JX80" s="43"/>
      <c r="JY80" s="43"/>
      <c r="JZ80" s="43"/>
      <c r="KA80" s="43"/>
      <c r="KB80" s="43"/>
      <c r="KC80" s="43"/>
      <c r="KD80" s="43"/>
      <c r="KE80" s="43"/>
      <c r="KF80" s="43"/>
      <c r="KG80" s="43"/>
      <c r="KH80" s="43"/>
      <c r="KI80" s="43"/>
      <c r="KJ80" s="43"/>
      <c r="KK80" s="43"/>
      <c r="KL80" s="43"/>
      <c r="KM80" s="43"/>
      <c r="KN80" s="43"/>
      <c r="KO80" s="43"/>
      <c r="KP80" s="43"/>
      <c r="KQ80" s="43"/>
      <c r="KR80" s="43"/>
      <c r="KS80" s="43"/>
      <c r="KT80" s="43"/>
      <c r="KU80" s="43"/>
      <c r="KV80" s="43"/>
      <c r="KW80" s="43"/>
      <c r="KX80" s="43"/>
      <c r="KY80" s="43"/>
      <c r="KZ80" s="43"/>
      <c r="LA80" s="43"/>
      <c r="LB80" s="43"/>
      <c r="LC80" s="43"/>
      <c r="LD80" s="43"/>
      <c r="LE80" s="43">
        <f>IU80+IW80+IY80+JA80+JC80+JE80+JG80+JI80+JK80+JM80+JO80+JQ80+JS80+JU80+JW80+JY80+KA80+KC80+KE80+KG80+KI80+KK80+KM80+KO80+KQ80+KS80+KU80+KW80+KY80+LA80+LC80</f>
        <v>301.43</v>
      </c>
      <c r="LF80" s="43">
        <f>IV80+IX80+IZ80+JB80+JD80+JF80+JH80+JJ80+JL80+JN80+JP80+JR80+JT80+JV80+JX80+JZ80+KB80+KD80+KF80+KH80+KJ80+KL80+KN80+KP80+KR80+KT80+KV80+KX80+KZ80+LB80+LD80</f>
        <v>301.52</v>
      </c>
      <c r="LG80" s="43"/>
      <c r="LH80" s="43"/>
      <c r="LI80" s="43"/>
      <c r="LJ80" s="43"/>
      <c r="LK80" s="43"/>
      <c r="LL80" s="43"/>
      <c r="LM80" s="43"/>
      <c r="LN80" s="43"/>
      <c r="LO80" s="43"/>
      <c r="LP80" s="43"/>
      <c r="LQ80" s="43"/>
      <c r="LR80" s="43"/>
      <c r="LS80" s="43"/>
      <c r="LT80" s="43"/>
      <c r="LU80" s="43"/>
      <c r="LV80" s="43"/>
      <c r="LW80" s="43"/>
      <c r="LX80" s="43"/>
      <c r="LY80" s="43"/>
      <c r="LZ80" s="43"/>
      <c r="MA80" s="43"/>
      <c r="MB80" s="43"/>
      <c r="MC80" s="43"/>
      <c r="MD80" s="43"/>
      <c r="ME80" s="43"/>
      <c r="MF80" s="43"/>
      <c r="MG80" s="43"/>
      <c r="MH80" s="43"/>
      <c r="MI80" s="43"/>
      <c r="MJ80" s="43"/>
      <c r="MK80" s="43"/>
      <c r="ML80" s="43"/>
      <c r="MM80" s="43"/>
      <c r="MN80" s="43"/>
      <c r="MO80" s="43"/>
      <c r="MP80" s="43"/>
      <c r="MQ80" s="43"/>
      <c r="MR80" s="43"/>
      <c r="MS80" s="43"/>
      <c r="MT80" s="43"/>
      <c r="MU80" s="43"/>
      <c r="MV80" s="43"/>
      <c r="MW80" s="43"/>
      <c r="MX80" s="43"/>
      <c r="MY80" s="43"/>
      <c r="MZ80" s="43"/>
      <c r="NA80" s="43"/>
      <c r="NB80" s="43"/>
      <c r="NC80" s="43"/>
      <c r="ND80" s="43"/>
      <c r="NE80" s="43"/>
      <c r="NF80" s="43"/>
      <c r="NG80" s="43"/>
      <c r="NH80" s="43"/>
      <c r="NI80" s="43"/>
      <c r="NJ80" s="43"/>
      <c r="NK80" s="43"/>
      <c r="NL80" s="43"/>
      <c r="NM80" s="43"/>
      <c r="NN80" s="43"/>
      <c r="NO80" s="43">
        <f>LG80+LI80+LK80+LM80+LO80+LQ80+LS80+LU80+LW80+LY80+MA80+MC80+ME80+MG80+MI80+MK80+MM80+MO80+MQ80+MS80+MU80+MW80+MY80+NA80+NC80+NE80+NG80+NI80+NK80+NM80</f>
        <v>0</v>
      </c>
      <c r="NP80" s="43">
        <f>LH80+LJ80+LL80+LN80+LP80+LR80+LT80+LV80+LX80+LZ80+MB80+MD80+MF80+MH80+MJ80+ML80+MN80+MP80+MR80+MT80+MV80+MX80+MZ80+NB80+ND80+NF80+NH80+NJ80+NL80+NN80</f>
        <v>0</v>
      </c>
      <c r="NQ80" s="43"/>
      <c r="NR80" s="43"/>
      <c r="NS80" s="43"/>
      <c r="NT80" s="43"/>
      <c r="NU80" s="43"/>
      <c r="NV80" s="43"/>
      <c r="NW80" s="43"/>
      <c r="NX80" s="43"/>
      <c r="NY80" s="43"/>
      <c r="NZ80" s="43"/>
      <c r="OA80" s="43"/>
      <c r="OB80" s="43"/>
      <c r="OC80" s="43"/>
      <c r="OD80" s="43"/>
      <c r="OE80" s="43"/>
      <c r="OF80" s="43"/>
      <c r="OG80" s="43"/>
      <c r="OH80" s="43"/>
      <c r="OI80" s="43"/>
      <c r="OJ80" s="43"/>
      <c r="OK80" s="43"/>
      <c r="OL80" s="43"/>
      <c r="OM80" s="43"/>
      <c r="ON80" s="43"/>
      <c r="OO80" s="43"/>
      <c r="OP80" s="43"/>
      <c r="OQ80" s="43"/>
      <c r="OR80" s="43"/>
      <c r="OS80" s="43"/>
      <c r="OT80" s="43"/>
      <c r="OU80" s="43"/>
      <c r="OV80" s="43"/>
      <c r="OW80" s="43"/>
      <c r="OX80" s="43"/>
      <c r="OY80" s="43"/>
      <c r="OZ80" s="43"/>
      <c r="PA80" s="43"/>
      <c r="PB80" s="43"/>
      <c r="PC80" s="43"/>
      <c r="PD80" s="43"/>
      <c r="PE80" s="43"/>
      <c r="PF80" s="43"/>
      <c r="PG80" s="43"/>
      <c r="PH80" s="43"/>
      <c r="PI80" s="43"/>
      <c r="PJ80" s="43"/>
      <c r="PK80" s="43"/>
      <c r="PL80" s="43"/>
      <c r="PM80" s="43"/>
      <c r="PN80" s="43"/>
      <c r="PO80" s="43"/>
      <c r="PP80" s="43"/>
      <c r="PQ80" s="43"/>
      <c r="PR80" s="43"/>
      <c r="PS80" s="43"/>
      <c r="PT80" s="43"/>
      <c r="PU80" s="43"/>
      <c r="PV80" s="43"/>
      <c r="PW80" s="43"/>
      <c r="PX80" s="43"/>
      <c r="PY80" s="43"/>
      <c r="PZ80" s="43"/>
      <c r="QA80" s="43">
        <f>NQ80+NS80+NU80+NW80+NY80+OA80+OC80+OE80+OG80+OI80+OK80+OM80+OO80+OQ80+OS80+OU80+OW80+OY80+PA80+PC80+PE80+PG80+PI80+PK80+PM80+PO80+PQ80+PS80+PU80+PW80+PY80</f>
        <v>0</v>
      </c>
      <c r="QB80" s="43">
        <f>NR80+NT80+NV80+NX80+NZ80+OB80+OD80+OF80+OH80+OJ80+OL80+ON80+OP80+OR80+OT80+OV80+OX80+OZ80+PB80+PD80+PF80+PH80+PJ80+PL80+PN80+PP80+PR80+PT80+PV80+PX80+PZ80</f>
        <v>0</v>
      </c>
      <c r="QC80" s="43"/>
      <c r="QD80" s="43"/>
      <c r="QE80" s="43"/>
      <c r="QF80" s="43"/>
      <c r="QG80" s="43"/>
      <c r="QH80" s="43"/>
      <c r="QI80" s="43"/>
      <c r="QJ80" s="43"/>
      <c r="QK80" s="43"/>
      <c r="QL80" s="43"/>
      <c r="QM80" s="43"/>
      <c r="QN80" s="43"/>
      <c r="QO80" s="43"/>
      <c r="QP80" s="43"/>
      <c r="QQ80" s="43"/>
      <c r="QR80" s="43"/>
      <c r="QS80" s="43"/>
      <c r="QT80" s="43"/>
      <c r="QU80" s="43"/>
      <c r="QV80" s="43"/>
      <c r="QW80" s="43"/>
      <c r="QX80" s="43"/>
      <c r="QY80" s="43"/>
      <c r="QZ80" s="43"/>
      <c r="RA80" s="43"/>
      <c r="RB80" s="43"/>
      <c r="RC80" s="43"/>
      <c r="RD80" s="43"/>
      <c r="RE80" s="43"/>
      <c r="RF80" s="43"/>
      <c r="RG80" s="43"/>
      <c r="RH80" s="43"/>
      <c r="RI80" s="43"/>
      <c r="RJ80" s="43"/>
      <c r="RK80" s="43"/>
      <c r="RL80" s="43"/>
      <c r="RM80" s="43"/>
      <c r="RN80" s="43"/>
      <c r="RO80" s="43"/>
      <c r="RP80" s="43"/>
      <c r="RQ80" s="43"/>
      <c r="RR80" s="43"/>
      <c r="RS80" s="43"/>
      <c r="RT80" s="43"/>
      <c r="RU80" s="43"/>
      <c r="RV80" s="43"/>
      <c r="RW80" s="43"/>
      <c r="RX80" s="43"/>
      <c r="RY80" s="43"/>
      <c r="RZ80" s="43"/>
      <c r="SA80" s="43"/>
      <c r="SB80" s="43"/>
      <c r="SC80" s="43"/>
      <c r="SD80" s="43"/>
      <c r="SE80" s="43"/>
      <c r="SF80" s="43"/>
      <c r="SG80" s="43"/>
      <c r="SH80" s="43"/>
      <c r="SI80" s="43"/>
      <c r="SJ80" s="43"/>
      <c r="SK80" s="43"/>
      <c r="SL80" s="43"/>
      <c r="SM80" s="43">
        <f>QC80+QE80+QG80+QI80+QK80+QM80+QO80+QQ80+QS80+QU80+QW80+QY80+RA80+RC80+RE80+RG80+RI80+RK80+RM80+RO80+RQ80+RS80+RU80+RW80+RY80+SA80+SC80+SE80+SG80+SI80+SK80</f>
        <v>0</v>
      </c>
      <c r="SN80" s="43">
        <f>QD80+QF80+QH80+QJ80+QL80+QN80+QP80+QR80+QT80+QV80+QX80+QZ80+RB80+RD80+RF80+RH80+RJ80+RL80+RN80+RP80+RR80+RT80+RV80+RX80+RZ80+SB80+SD80+SF80+SH80+SJ80+SL80</f>
        <v>0</v>
      </c>
      <c r="SO80" s="43"/>
      <c r="SP80" s="43"/>
      <c r="SQ80" s="43"/>
      <c r="SR80" s="43"/>
      <c r="SS80" s="43"/>
      <c r="ST80" s="43"/>
      <c r="SU80" s="43"/>
      <c r="SV80" s="43"/>
      <c r="SW80" s="43"/>
      <c r="SX80" s="43"/>
      <c r="SY80" s="43"/>
      <c r="SZ80" s="43"/>
      <c r="TA80" s="43"/>
      <c r="TB80" s="43"/>
      <c r="TC80" s="43"/>
      <c r="TD80" s="43"/>
      <c r="TE80" s="43"/>
      <c r="TF80" s="43"/>
      <c r="TG80" s="43"/>
      <c r="TH80" s="43"/>
      <c r="TI80" s="43"/>
      <c r="TJ80" s="43"/>
      <c r="TK80" s="43"/>
      <c r="TL80" s="43"/>
      <c r="TM80" s="43"/>
      <c r="TN80" s="43"/>
      <c r="TO80" s="43"/>
      <c r="TP80" s="43"/>
      <c r="TQ80" s="43"/>
      <c r="TR80" s="43"/>
      <c r="TS80" s="43"/>
      <c r="TT80" s="43"/>
      <c r="TU80" s="43"/>
      <c r="TV80" s="43"/>
      <c r="TW80" s="43"/>
      <c r="TX80" s="43"/>
      <c r="TY80" s="43"/>
      <c r="TZ80" s="43"/>
      <c r="UA80" s="43"/>
      <c r="UB80" s="43"/>
      <c r="UC80" s="43"/>
      <c r="UD80" s="43"/>
      <c r="UE80" s="43"/>
      <c r="UF80" s="43"/>
      <c r="UG80" s="43"/>
      <c r="UH80" s="43"/>
      <c r="UI80" s="43"/>
      <c r="UJ80" s="43"/>
      <c r="UK80" s="43"/>
      <c r="UL80" s="43"/>
      <c r="UM80" s="43"/>
      <c r="UN80" s="43"/>
      <c r="UO80" s="43"/>
      <c r="UP80" s="43"/>
      <c r="UQ80" s="43"/>
      <c r="UR80" s="43"/>
      <c r="US80" s="43"/>
      <c r="UT80" s="43"/>
      <c r="UU80" s="43"/>
      <c r="UV80" s="43"/>
      <c r="UW80" s="43">
        <f>SO80+SQ80+SS80+SU80+SW80+SY80+TA80+TC80+TE80+TG80+TI80+TK80+TM80+TO80+TQ80+TS80+TU80+TW80+TY80+UA80+UC80+UE80+UG80+UI80+UK80+UM80+UO80+UQ80+US80+UU80</f>
        <v>0</v>
      </c>
      <c r="UX80" s="43">
        <f>SP80+SR80+ST80+SV80+SX80+SZ80+TB80+TD80+TF80+TH80+TJ80+TL80+TN80+TP80+TR80+TT80+TV80+TX80+TZ80+UB80+UD80+UF80+UH80+UJ80+UL80+UN80+UP80+UR80+UT80+UV80</f>
        <v>0</v>
      </c>
      <c r="UY80" s="43"/>
      <c r="UZ80" s="43"/>
      <c r="VA80" s="43"/>
      <c r="VB80" s="43"/>
      <c r="VC80" s="43"/>
      <c r="VD80" s="43"/>
      <c r="VE80" s="43"/>
      <c r="VF80" s="43"/>
      <c r="VG80" s="43"/>
      <c r="VH80" s="43"/>
      <c r="VI80" s="43"/>
      <c r="VJ80" s="43"/>
      <c r="VK80" s="43"/>
      <c r="VL80" s="43"/>
      <c r="VM80" s="43"/>
      <c r="VN80" s="43"/>
      <c r="VO80" s="43"/>
      <c r="VP80" s="43"/>
      <c r="VQ80" s="43"/>
      <c r="VR80" s="43"/>
      <c r="VS80" s="43"/>
      <c r="VT80" s="43"/>
      <c r="VU80" s="43"/>
      <c r="VV80" s="43"/>
      <c r="VW80" s="43"/>
      <c r="VX80" s="43"/>
      <c r="VY80" s="43"/>
      <c r="VZ80" s="43"/>
      <c r="WA80" s="43"/>
      <c r="WB80" s="43"/>
      <c r="WC80" s="43"/>
      <c r="WD80" s="43"/>
      <c r="WE80" s="43"/>
      <c r="WF80" s="43"/>
      <c r="WG80" s="43"/>
      <c r="WH80" s="43"/>
      <c r="WI80" s="43"/>
      <c r="WJ80" s="43"/>
      <c r="WK80" s="43"/>
      <c r="WL80" s="43"/>
      <c r="WM80" s="43"/>
      <c r="WN80" s="43"/>
      <c r="WO80" s="43"/>
      <c r="WP80" s="43"/>
      <c r="WQ80" s="43"/>
      <c r="WR80" s="43"/>
      <c r="WS80" s="43"/>
      <c r="WT80" s="43"/>
      <c r="WU80" s="43"/>
      <c r="WV80" s="43"/>
      <c r="WW80" s="43"/>
      <c r="WX80" s="43"/>
      <c r="WY80" s="43"/>
      <c r="WZ80" s="43"/>
      <c r="XA80" s="43"/>
      <c r="XB80" s="43"/>
      <c r="XC80" s="43"/>
      <c r="XD80" s="43"/>
      <c r="XE80" s="43"/>
      <c r="XF80" s="43"/>
      <c r="XG80" s="43"/>
      <c r="XH80" s="43"/>
      <c r="XI80" s="43">
        <f>UY80+VA80+VC80+VE80+VG80+VI80+VK80+VM80+VO80+VQ80+VS80+VU80+VW80+VY80+WA80+WC80+WE80+WG80+WI80+WK80+WM80+WO80+WQ80+WS80+WU80+WW80+WY80+XA80+XC80+XE80+XG80</f>
        <v>0</v>
      </c>
      <c r="XJ80" s="43">
        <f>UZ80+VB80+VD80+VF80+VH80+VJ80+VL80+VN80+VP80+VR80+VT80+VV80+VX80+VZ80+WB80+WD80+WF80+WH80+WJ80+WL80+WN80+WP80+WR80+WT80+WV80+WX80+WZ80+XB80+XD80+XF80+XH80</f>
        <v>0</v>
      </c>
      <c r="XK80" s="43"/>
      <c r="XL80" s="43"/>
      <c r="XM80" s="43"/>
      <c r="XN80" s="43"/>
      <c r="XO80" s="43"/>
      <c r="XP80" s="43"/>
      <c r="XQ80" s="43"/>
      <c r="XR80" s="43"/>
      <c r="XS80" s="43"/>
      <c r="XT80" s="43"/>
      <c r="XU80" s="43"/>
      <c r="XV80" s="43"/>
      <c r="XW80" s="43"/>
      <c r="XX80" s="43"/>
      <c r="XY80" s="43"/>
      <c r="XZ80" s="43"/>
      <c r="YA80" s="43"/>
      <c r="YB80" s="43"/>
      <c r="YC80" s="43"/>
      <c r="YD80" s="43"/>
      <c r="YE80" s="43"/>
      <c r="YF80" s="43"/>
      <c r="YG80" s="43"/>
      <c r="YH80" s="43"/>
      <c r="YI80" s="43"/>
      <c r="YJ80" s="43"/>
      <c r="YK80" s="43"/>
      <c r="YL80" s="43"/>
      <c r="YM80" s="43"/>
      <c r="YN80" s="43"/>
      <c r="YO80" s="43"/>
      <c r="YP80" s="43"/>
      <c r="YQ80" s="43"/>
      <c r="YR80" s="43"/>
      <c r="YS80" s="43"/>
      <c r="YT80" s="43"/>
      <c r="YU80" s="43"/>
      <c r="YV80" s="43"/>
      <c r="YW80" s="43"/>
      <c r="YX80" s="43"/>
      <c r="YY80" s="43"/>
      <c r="YZ80" s="43"/>
      <c r="ZA80" s="43"/>
      <c r="ZB80" s="43"/>
      <c r="ZC80" s="43"/>
      <c r="ZD80" s="43"/>
      <c r="ZE80" s="43"/>
      <c r="ZF80" s="43"/>
      <c r="ZG80" s="43"/>
      <c r="ZH80" s="43"/>
      <c r="ZI80" s="43"/>
      <c r="ZJ80" s="43"/>
      <c r="ZK80" s="43"/>
      <c r="ZL80" s="43"/>
      <c r="ZM80" s="43"/>
      <c r="ZN80" s="43"/>
      <c r="ZO80" s="43"/>
      <c r="ZP80" s="43"/>
      <c r="ZQ80" s="43"/>
      <c r="ZR80" s="43"/>
      <c r="ZS80" s="43">
        <f>XK80+XM80+XO80+XQ80+XS80+XU80+XW80+XY80+YA80+YC80+YE80+YG80+YI80+YK80+YM80+YO80+YQ80+YS80+YU80+YW80+YY80+ZA80+ZC80+ZE80+ZG80+ZI80+ZK80+ZM80+ZO80+ZQ80</f>
        <v>0</v>
      </c>
      <c r="ZT80" s="43">
        <f>XL80+XN80+XP80+XR80+XT80+XV80+XX80+XZ80+YB80+YD80+YF80+YH80+YJ80+YL80+YN80+YP80+YR80+YT80+YV80+YX80+YZ80+ZB80+ZD80+ZF80+ZH80+ZJ80+ZL80+ZN80+ZP80+ZR80</f>
        <v>0</v>
      </c>
      <c r="ZU80" s="43"/>
      <c r="ZV80" s="43"/>
      <c r="ZW80" s="43"/>
      <c r="ZX80" s="43"/>
      <c r="ZY80" s="43"/>
      <c r="ZZ80" s="43"/>
      <c r="AAA80" s="43"/>
      <c r="AAB80" s="43"/>
      <c r="AAC80" s="43"/>
      <c r="AAD80" s="43"/>
      <c r="AAE80" s="43"/>
      <c r="AAF80" s="43"/>
      <c r="AAG80" s="43"/>
      <c r="AAH80" s="43"/>
      <c r="AAI80" s="43"/>
      <c r="AAJ80" s="43"/>
      <c r="AAK80" s="43"/>
      <c r="AAL80" s="43"/>
      <c r="AAM80" s="43"/>
      <c r="AAN80" s="43"/>
      <c r="AAO80" s="43"/>
      <c r="AAP80" s="43"/>
      <c r="AAQ80" s="43"/>
      <c r="AAR80" s="43"/>
      <c r="AAS80" s="43"/>
      <c r="AAT80" s="43"/>
      <c r="AAU80" s="43"/>
      <c r="AAV80" s="43"/>
      <c r="AAW80" s="43"/>
      <c r="AAX80" s="43"/>
      <c r="AAY80" s="43"/>
      <c r="AAZ80" s="43"/>
      <c r="ABA80" s="43"/>
      <c r="ABB80" s="43"/>
      <c r="ABC80" s="43"/>
      <c r="ABD80" s="43"/>
      <c r="ABE80" s="43"/>
      <c r="ABF80" s="43"/>
      <c r="ABG80" s="43"/>
      <c r="ABH80" s="43"/>
      <c r="ABI80" s="43"/>
      <c r="ABJ80" s="43"/>
      <c r="ABK80" s="43"/>
      <c r="ABL80" s="43"/>
      <c r="ABM80" s="43"/>
      <c r="ABN80" s="43"/>
      <c r="ABO80" s="43"/>
      <c r="ABP80" s="43"/>
      <c r="ABQ80" s="43"/>
      <c r="ABR80" s="43"/>
      <c r="ABS80" s="43"/>
      <c r="ABT80" s="43"/>
      <c r="ABU80" s="43"/>
      <c r="ABV80" s="43"/>
      <c r="ABW80" s="43"/>
      <c r="ABX80" s="43"/>
      <c r="ABY80" s="43"/>
      <c r="ABZ80" s="43"/>
      <c r="ACA80" s="43"/>
      <c r="ACB80" s="43"/>
      <c r="ACC80" s="43"/>
      <c r="ACD80" s="44"/>
      <c r="ACE80" s="43">
        <f>ZU80+ZW80+ZY80+AAA80+AAC80+AAE80+AAG80+AAI80+AAK80+AAM80+AAO80+AAQ80+AAS80+AAU80+AAW80+AAY80+ABA80+ABC80+ABE80+ABG80+ABI80+ABK80+ABM80+ABO80+ABQ80+ABS80+ABU80+ABW80+ABY80+ACA80+ACC80</f>
        <v>0</v>
      </c>
      <c r="ACF80" s="43"/>
      <c r="ACG80" s="43">
        <f>BO80+DW80+GI80+IS80+LE80+NO80+QA80+SM80+UW80+XI80+ZS80+ACE80</f>
        <v>3839.9599999999996</v>
      </c>
      <c r="ACH80" s="54"/>
      <c r="ACI80" s="71" t="s">
        <v>229</v>
      </c>
      <c r="ACJ80" s="71" t="s">
        <v>100</v>
      </c>
    </row>
    <row r="81" spans="1:764" x14ac:dyDescent="0.25">
      <c r="A81" s="162"/>
      <c r="B81" s="152"/>
      <c r="C81" s="155"/>
      <c r="D81" s="50" t="s">
        <v>7</v>
      </c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24" cm="1">
        <f t="array" ref="BO81">SUMPRODUCT(E81:BM81,--(E$2:BM$2=BO$2))</f>
        <v>0</v>
      </c>
      <c r="BP81" s="24" cm="1">
        <f t="array" ref="BP81">SUMPRODUCT(F81:BN81,--(F$2:BN$2=BP$2))</f>
        <v>0</v>
      </c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 cm="1">
        <f t="array" ref="DW81">SUMPRODUCT(BQ81:DU81,--(BQ$2:DU$2=DW$2))</f>
        <v>0</v>
      </c>
      <c r="DX81" s="24" cm="1">
        <f t="array" ref="DX81">SUMPRODUCT(BR81:DV81,--(BR$2:DV$2=DX$2))</f>
        <v>0</v>
      </c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  <c r="FU81" s="24"/>
      <c r="FV81" s="24"/>
      <c r="FW81" s="24"/>
      <c r="FX81" s="24"/>
      <c r="FY81" s="24"/>
      <c r="FZ81" s="24"/>
      <c r="GA81" s="24"/>
      <c r="GB81" s="24"/>
      <c r="GC81" s="24"/>
      <c r="GD81" s="24"/>
      <c r="GE81" s="24"/>
      <c r="GF81" s="24"/>
      <c r="GG81" s="24"/>
      <c r="GH81" s="24"/>
      <c r="GI81" s="24" cm="1">
        <f t="array" ref="GI81">SUMPRODUCT(DY81:GG81,--(DY$2:GG$2=GI$2))</f>
        <v>0</v>
      </c>
      <c r="GJ81" s="24" cm="1">
        <f t="array" ref="GJ81">SUMPRODUCT(DZ81:GH81,--(DZ$2:GH$2=GJ$2))</f>
        <v>0</v>
      </c>
      <c r="GK81" s="24"/>
      <c r="GL81" s="24"/>
      <c r="GM81" s="24"/>
      <c r="GN81" s="24"/>
      <c r="GO81" s="24"/>
      <c r="GP81" s="24"/>
      <c r="GQ81" s="24"/>
      <c r="GR81" s="24"/>
      <c r="GS81" s="24"/>
      <c r="GT81" s="24"/>
      <c r="GU81" s="24"/>
      <c r="GV81" s="24"/>
      <c r="GW81" s="24"/>
      <c r="GX81" s="24"/>
      <c r="GY81" s="24"/>
      <c r="GZ81" s="24"/>
      <c r="HA81" s="24"/>
      <c r="HB81" s="24"/>
      <c r="HC81" s="24"/>
      <c r="HD81" s="24"/>
      <c r="HE81" s="24"/>
      <c r="HF81" s="24"/>
      <c r="HG81" s="24"/>
      <c r="HH81" s="24"/>
      <c r="HI81" s="24"/>
      <c r="HJ81" s="24"/>
      <c r="HK81" s="24"/>
      <c r="HL81" s="24"/>
      <c r="HM81" s="24"/>
      <c r="HN81" s="24"/>
      <c r="HO81" s="24"/>
      <c r="HP81" s="24"/>
      <c r="HQ81" s="24"/>
      <c r="HR81" s="24"/>
      <c r="HS81" s="24"/>
      <c r="HT81" s="24"/>
      <c r="HU81" s="24"/>
      <c r="HV81" s="24"/>
      <c r="HW81" s="24"/>
      <c r="HX81" s="24"/>
      <c r="HY81" s="24"/>
      <c r="HZ81" s="24"/>
      <c r="IA81" s="24"/>
      <c r="IB81" s="24"/>
      <c r="IC81" s="24"/>
      <c r="ID81" s="24"/>
      <c r="IE81" s="24"/>
      <c r="IF81" s="24"/>
      <c r="IG81" s="24"/>
      <c r="IH81" s="24"/>
      <c r="II81" s="24"/>
      <c r="IJ81" s="24"/>
      <c r="IK81" s="24"/>
      <c r="IL81" s="24"/>
      <c r="IM81" s="24"/>
      <c r="IN81" s="24"/>
      <c r="IO81" s="24"/>
      <c r="IP81" s="24"/>
      <c r="IQ81" s="24"/>
      <c r="IR81" s="24"/>
      <c r="IS81" s="24">
        <f t="shared" ref="IS81:IS89" si="199">GK81+GM81+GO81+GQ81+GS81+GU81+GW81+GY81+HA81+HC81+HE81+HG81+HI81+HK81+HM81+HO81+HQ81+HS81+HU81+HW81+HY81+IA81+IC81+IE81+IG81+II81+IK81+IM81+IO81+IQ81</f>
        <v>0</v>
      </c>
      <c r="IT81" s="24">
        <f t="shared" ref="IT81:IT89" si="200">GL81+GN81+GP81+GR81+GT81+GV81+GX81+GZ81+HB81+HD81+HF81+HH81+HJ81+HL81+HN81+HP81+HR81+HT81+HV81+HX81+HZ81+IB81+ID81+IF81+IH81+IJ81+IL81+IN81+IP81+IR81</f>
        <v>0</v>
      </c>
      <c r="IU81" s="24"/>
      <c r="IV81" s="24"/>
      <c r="IW81" s="24"/>
      <c r="IX81" s="24"/>
      <c r="IY81" s="24"/>
      <c r="IZ81" s="24"/>
      <c r="JA81" s="24"/>
      <c r="JB81" s="24"/>
      <c r="JC81" s="24"/>
      <c r="JD81" s="24"/>
      <c r="JE81" s="24"/>
      <c r="JF81" s="24"/>
      <c r="JG81" s="24"/>
      <c r="JH81" s="24"/>
      <c r="JI81" s="24"/>
      <c r="JJ81" s="24"/>
      <c r="JK81" s="24"/>
      <c r="JL81" s="24"/>
      <c r="JM81" s="24"/>
      <c r="JN81" s="24"/>
      <c r="JO81" s="24"/>
      <c r="JP81" s="24"/>
      <c r="JQ81" s="24"/>
      <c r="JR81" s="24"/>
      <c r="JS81" s="24"/>
      <c r="JT81" s="24"/>
      <c r="JU81" s="24"/>
      <c r="JV81" s="24"/>
      <c r="JW81" s="24"/>
      <c r="JX81" s="24"/>
      <c r="JY81" s="24"/>
      <c r="JZ81" s="24"/>
      <c r="KA81" s="24"/>
      <c r="KB81" s="24"/>
      <c r="KC81" s="24"/>
      <c r="KD81" s="24"/>
      <c r="KE81" s="24"/>
      <c r="KF81" s="24"/>
      <c r="KG81" s="24"/>
      <c r="KH81" s="24"/>
      <c r="KI81" s="24"/>
      <c r="KJ81" s="24"/>
      <c r="KK81" s="24"/>
      <c r="KL81" s="24"/>
      <c r="KM81" s="24"/>
      <c r="KN81" s="24"/>
      <c r="KO81" s="24"/>
      <c r="KP81" s="24"/>
      <c r="KQ81" s="24"/>
      <c r="KR81" s="24"/>
      <c r="KS81" s="24"/>
      <c r="KT81" s="24"/>
      <c r="KU81" s="24"/>
      <c r="KV81" s="24"/>
      <c r="KW81" s="24"/>
      <c r="KX81" s="24"/>
      <c r="KY81" s="24"/>
      <c r="KZ81" s="24"/>
      <c r="LA81" s="24"/>
      <c r="LB81" s="24"/>
      <c r="LC81" s="24"/>
      <c r="LD81" s="24"/>
      <c r="LE81" s="24">
        <f t="shared" ref="LE81:LE89" si="201">IU81+IW81+IY81+JA81+JC81+JE81+JG81+JI81+JK81+JM81+JO81+JQ81+JS81+JU81+JW81+JY81+KA81+KC81+KE81+KG81+KI81+KK81+KM81+KO81+KQ81+KS81+KU81+KW81+KY81+LA81+LC81</f>
        <v>0</v>
      </c>
      <c r="LF81" s="24">
        <f t="shared" ref="LF81:LF89" si="202">IV81+IX81+IZ81+JB81+JD81+JF81+JH81+JJ81+JL81+JN81+JP81+JR81+JT81+JV81+JX81+JZ81+KB81+KD81+KF81+KH81+KJ81+KL81+KN81+KP81+KR81+KT81+KV81+KX81+KZ81+LB81+LD81</f>
        <v>0</v>
      </c>
      <c r="LG81" s="24"/>
      <c r="LH81" s="24"/>
      <c r="LI81" s="24"/>
      <c r="LJ81" s="24"/>
      <c r="LK81" s="24"/>
      <c r="LL81" s="24"/>
      <c r="LM81" s="24"/>
      <c r="LN81" s="24"/>
      <c r="LO81" s="24"/>
      <c r="LP81" s="24"/>
      <c r="LQ81" s="24"/>
      <c r="LR81" s="24"/>
      <c r="LS81" s="24"/>
      <c r="LT81" s="24"/>
      <c r="LU81" s="24"/>
      <c r="LV81" s="24"/>
      <c r="LW81" s="24"/>
      <c r="LX81" s="24"/>
      <c r="LY81" s="24"/>
      <c r="LZ81" s="24"/>
      <c r="MA81" s="24"/>
      <c r="MB81" s="24"/>
      <c r="MC81" s="24"/>
      <c r="MD81" s="24"/>
      <c r="ME81" s="24"/>
      <c r="MF81" s="24"/>
      <c r="MG81" s="24"/>
      <c r="MH81" s="24"/>
      <c r="MI81" s="24"/>
      <c r="MJ81" s="24"/>
      <c r="MK81" s="24"/>
      <c r="ML81" s="24"/>
      <c r="MM81" s="24"/>
      <c r="MN81" s="24"/>
      <c r="MO81" s="24"/>
      <c r="MP81" s="24"/>
      <c r="MQ81" s="24"/>
      <c r="MR81" s="24"/>
      <c r="MS81" s="24"/>
      <c r="MT81" s="24"/>
      <c r="MU81" s="24"/>
      <c r="MV81" s="24"/>
      <c r="MW81" s="24"/>
      <c r="MX81" s="24"/>
      <c r="MY81" s="24"/>
      <c r="MZ81" s="24"/>
      <c r="NA81" s="24"/>
      <c r="NB81" s="24"/>
      <c r="NC81" s="24"/>
      <c r="ND81" s="24"/>
      <c r="NE81" s="24"/>
      <c r="NF81" s="24"/>
      <c r="NG81" s="24"/>
      <c r="NH81" s="24"/>
      <c r="NI81" s="24"/>
      <c r="NJ81" s="24"/>
      <c r="NK81" s="24"/>
      <c r="NL81" s="24"/>
      <c r="NM81" s="24"/>
      <c r="NN81" s="24"/>
      <c r="NO81" s="24">
        <f t="shared" ref="NO81:NO89" si="203">LG81+LI81+LK81+LM81+LO81+LQ81+LS81+LU81+LW81+LY81+MA81+MC81+ME81+MG81+MI81+MK81+MM81+MO81+MQ81+MS81+MU81+MW81+MY81+NA81+NC81+NE81+NG81+NI81+NK81+NM81</f>
        <v>0</v>
      </c>
      <c r="NP81" s="24">
        <f t="shared" ref="NP81:NP89" si="204">LH81+LJ81+LL81+LN81+LP81+LR81+LT81+LV81+LX81+LZ81+MB81+MD81+MF81+MH81+MJ81+ML81+MN81+MP81+MR81+MT81+MV81+MX81+MZ81+NB81+ND81+NF81+NH81+NJ81+NL81+NN81</f>
        <v>0</v>
      </c>
      <c r="NQ81" s="24"/>
      <c r="NR81" s="24"/>
      <c r="NS81" s="24"/>
      <c r="NT81" s="24"/>
      <c r="NU81" s="24"/>
      <c r="NV81" s="24"/>
      <c r="NW81" s="24"/>
      <c r="NX81" s="24"/>
      <c r="NY81" s="24"/>
      <c r="NZ81" s="24"/>
      <c r="OA81" s="24"/>
      <c r="OB81" s="24"/>
      <c r="OC81" s="24"/>
      <c r="OD81" s="24"/>
      <c r="OE81" s="24"/>
      <c r="OF81" s="24"/>
      <c r="OG81" s="24"/>
      <c r="OH81" s="24"/>
      <c r="OI81" s="24"/>
      <c r="OJ81" s="24"/>
      <c r="OK81" s="24"/>
      <c r="OL81" s="24"/>
      <c r="OM81" s="24"/>
      <c r="ON81" s="24"/>
      <c r="OO81" s="24"/>
      <c r="OP81" s="24"/>
      <c r="OQ81" s="24"/>
      <c r="OR81" s="24"/>
      <c r="OS81" s="24"/>
      <c r="OT81" s="24"/>
      <c r="OU81" s="24"/>
      <c r="OV81" s="24"/>
      <c r="OW81" s="24"/>
      <c r="OX81" s="24"/>
      <c r="OY81" s="24"/>
      <c r="OZ81" s="24"/>
      <c r="PA81" s="24"/>
      <c r="PB81" s="24"/>
      <c r="PC81" s="24"/>
      <c r="PD81" s="24"/>
      <c r="PE81" s="24"/>
      <c r="PF81" s="24"/>
      <c r="PG81" s="24"/>
      <c r="PH81" s="24"/>
      <c r="PI81" s="24"/>
      <c r="PJ81" s="24"/>
      <c r="PK81" s="24"/>
      <c r="PL81" s="24"/>
      <c r="PM81" s="24"/>
      <c r="PN81" s="24"/>
      <c r="PO81" s="24"/>
      <c r="PP81" s="24"/>
      <c r="PQ81" s="24"/>
      <c r="PR81" s="24"/>
      <c r="PS81" s="24"/>
      <c r="PT81" s="24"/>
      <c r="PU81" s="24"/>
      <c r="PV81" s="24"/>
      <c r="PW81" s="24"/>
      <c r="PX81" s="24"/>
      <c r="PY81" s="24"/>
      <c r="PZ81" s="24"/>
      <c r="QA81" s="24">
        <f t="shared" ref="QA81:QA89" si="205">NQ81+NS81+NU81+NW81+NY81+OA81+OC81+OE81+OG81+OI81+OK81+OM81+OO81+OQ81+OS81+OU81+OW81+OY81+PA81+PC81+PE81+PG81+PI81+PK81+PM81+PO81+PQ81+PS81+PU81+PW81+PY81</f>
        <v>0</v>
      </c>
      <c r="QB81" s="24">
        <f t="shared" ref="QB81:QB89" si="206">NR81+NT81+NV81+NX81+NZ81+OB81+OD81+OF81+OH81+OJ81+OL81+ON81+OP81+OR81+OT81+OV81+OX81+OZ81+PB81+PD81+PF81+PH81+PJ81+PL81+PN81+PP81+PR81+PT81+PV81+PX81+PZ81</f>
        <v>0</v>
      </c>
      <c r="QC81" s="24"/>
      <c r="QD81" s="24"/>
      <c r="QE81" s="24"/>
      <c r="QF81" s="24"/>
      <c r="QG81" s="24"/>
      <c r="QH81" s="24"/>
      <c r="QI81" s="24"/>
      <c r="QJ81" s="24"/>
      <c r="QK81" s="24"/>
      <c r="QL81" s="24"/>
      <c r="QM81" s="24"/>
      <c r="QN81" s="24"/>
      <c r="QO81" s="24"/>
      <c r="QP81" s="24"/>
      <c r="QQ81" s="24"/>
      <c r="QR81" s="24"/>
      <c r="QS81" s="24"/>
      <c r="QT81" s="24"/>
      <c r="QU81" s="24"/>
      <c r="QV81" s="24"/>
      <c r="QW81" s="24"/>
      <c r="QX81" s="24"/>
      <c r="QY81" s="24"/>
      <c r="QZ81" s="24"/>
      <c r="RA81" s="24"/>
      <c r="RB81" s="24"/>
      <c r="RC81" s="24"/>
      <c r="RD81" s="24"/>
      <c r="RE81" s="24"/>
      <c r="RF81" s="24"/>
      <c r="RG81" s="24"/>
      <c r="RH81" s="24"/>
      <c r="RI81" s="24"/>
      <c r="RJ81" s="24"/>
      <c r="RK81" s="24"/>
      <c r="RL81" s="24"/>
      <c r="RM81" s="24"/>
      <c r="RN81" s="24"/>
      <c r="RO81" s="24"/>
      <c r="RP81" s="24"/>
      <c r="RQ81" s="24"/>
      <c r="RR81" s="24"/>
      <c r="RS81" s="24"/>
      <c r="RT81" s="24"/>
      <c r="RU81" s="24"/>
      <c r="RV81" s="24"/>
      <c r="RW81" s="24"/>
      <c r="RX81" s="24"/>
      <c r="RY81" s="24"/>
      <c r="RZ81" s="24"/>
      <c r="SA81" s="24"/>
      <c r="SB81" s="24"/>
      <c r="SC81" s="24"/>
      <c r="SD81" s="24"/>
      <c r="SE81" s="24"/>
      <c r="SF81" s="24"/>
      <c r="SG81" s="24"/>
      <c r="SH81" s="24"/>
      <c r="SI81" s="24"/>
      <c r="SJ81" s="24"/>
      <c r="SK81" s="24"/>
      <c r="SL81" s="24"/>
      <c r="SM81" s="24">
        <f t="shared" ref="SM81:SM89" si="207">QC81+QE81+QG81+QI81+QK81+QM81+QO81+QQ81+QS81+QU81+QW81+QY81+RA81+RC81+RE81+RG81+RI81+RK81+RM81+RO81+RQ81+RS81+RU81+RW81+RY81+SA81+SC81+SE81+SG81+SI81+SK81</f>
        <v>0</v>
      </c>
      <c r="SN81" s="24">
        <f t="shared" ref="SN81:SN89" si="208">QD81+QF81+QH81+QJ81+QL81+QN81+QP81+QR81+QT81+QV81+QX81+QZ81+RB81+RD81+RF81+RH81+RJ81+RL81+RN81+RP81+RR81+RT81+RV81+RX81+RZ81+SB81+SD81+SF81+SH81+SJ81+SL81</f>
        <v>0</v>
      </c>
      <c r="SO81" s="24"/>
      <c r="SP81" s="24"/>
      <c r="SQ81" s="24"/>
      <c r="SR81" s="24"/>
      <c r="SS81" s="24"/>
      <c r="ST81" s="24"/>
      <c r="SU81" s="24"/>
      <c r="SV81" s="24"/>
      <c r="SW81" s="24"/>
      <c r="SX81" s="24"/>
      <c r="SY81" s="24"/>
      <c r="SZ81" s="24"/>
      <c r="TA81" s="24"/>
      <c r="TB81" s="24"/>
      <c r="TC81" s="24"/>
      <c r="TD81" s="24"/>
      <c r="TE81" s="24"/>
      <c r="TF81" s="24"/>
      <c r="TG81" s="24"/>
      <c r="TH81" s="24"/>
      <c r="TI81" s="24"/>
      <c r="TJ81" s="24"/>
      <c r="TK81" s="24"/>
      <c r="TL81" s="24"/>
      <c r="TM81" s="24"/>
      <c r="TN81" s="24"/>
      <c r="TO81" s="24"/>
      <c r="TP81" s="24"/>
      <c r="TQ81" s="24"/>
      <c r="TR81" s="24"/>
      <c r="TS81" s="24"/>
      <c r="TT81" s="24"/>
      <c r="TU81" s="24"/>
      <c r="TV81" s="24"/>
      <c r="TW81" s="24"/>
      <c r="TX81" s="24"/>
      <c r="TY81" s="24"/>
      <c r="TZ81" s="24"/>
      <c r="UA81" s="24"/>
      <c r="UB81" s="24"/>
      <c r="UC81" s="24"/>
      <c r="UD81" s="24"/>
      <c r="UE81" s="24"/>
      <c r="UF81" s="24"/>
      <c r="UG81" s="24"/>
      <c r="UH81" s="24"/>
      <c r="UI81" s="24"/>
      <c r="UJ81" s="24"/>
      <c r="UK81" s="24"/>
      <c r="UL81" s="24"/>
      <c r="UM81" s="24"/>
      <c r="UN81" s="24"/>
      <c r="UO81" s="24"/>
      <c r="UP81" s="24"/>
      <c r="UQ81" s="24"/>
      <c r="UR81" s="24"/>
      <c r="US81" s="24"/>
      <c r="UT81" s="24"/>
      <c r="UU81" s="24"/>
      <c r="UV81" s="24"/>
      <c r="UW81" s="24">
        <f t="shared" ref="UW81:UW89" si="209">SO81+SQ81+SS81+SU81+SW81+SY81+TA81+TC81+TE81+TG81+TI81+TK81+TM81+TO81+TQ81+TS81+TU81+TW81+TY81+UA81+UC81+UE81+UG81+UI81+UK81+UM81+UO81+UQ81+US81+UU81</f>
        <v>0</v>
      </c>
      <c r="UX81" s="24">
        <f t="shared" ref="UX81:UX89" si="210">SP81+SR81+ST81+SV81+SX81+SZ81+TB81+TD81+TF81+TH81+TJ81+TL81+TN81+TP81+TR81+TT81+TV81+TX81+TZ81+UB81+UD81+UF81+UH81+UJ81+UL81+UN81+UP81+UR81+UT81+UV81</f>
        <v>0</v>
      </c>
      <c r="UY81" s="24"/>
      <c r="UZ81" s="24"/>
      <c r="VA81" s="24"/>
      <c r="VB81" s="24"/>
      <c r="VC81" s="24"/>
      <c r="VD81" s="24"/>
      <c r="VE81" s="24"/>
      <c r="VF81" s="24"/>
      <c r="VG81" s="24"/>
      <c r="VH81" s="24"/>
      <c r="VI81" s="24"/>
      <c r="VJ81" s="24"/>
      <c r="VK81" s="24"/>
      <c r="VL81" s="24"/>
      <c r="VM81" s="24"/>
      <c r="VN81" s="24"/>
      <c r="VO81" s="24"/>
      <c r="VP81" s="24"/>
      <c r="VQ81" s="24"/>
      <c r="VR81" s="24"/>
      <c r="VS81" s="24"/>
      <c r="VT81" s="24"/>
      <c r="VU81" s="24"/>
      <c r="VV81" s="24"/>
      <c r="VW81" s="24"/>
      <c r="VX81" s="24"/>
      <c r="VY81" s="24"/>
      <c r="VZ81" s="24"/>
      <c r="WA81" s="24"/>
      <c r="WB81" s="24"/>
      <c r="WC81" s="24"/>
      <c r="WD81" s="24"/>
      <c r="WE81" s="24"/>
      <c r="WF81" s="24"/>
      <c r="WG81" s="24"/>
      <c r="WH81" s="24"/>
      <c r="WI81" s="24"/>
      <c r="WJ81" s="24"/>
      <c r="WK81" s="24"/>
      <c r="WL81" s="24"/>
      <c r="WM81" s="24"/>
      <c r="WN81" s="24"/>
      <c r="WO81" s="24"/>
      <c r="WP81" s="24"/>
      <c r="WQ81" s="24"/>
      <c r="WR81" s="24"/>
      <c r="WS81" s="24"/>
      <c r="WT81" s="24"/>
      <c r="WU81" s="24"/>
      <c r="WV81" s="24"/>
      <c r="WW81" s="24"/>
      <c r="WX81" s="24"/>
      <c r="WY81" s="24"/>
      <c r="WZ81" s="24"/>
      <c r="XA81" s="24"/>
      <c r="XB81" s="24"/>
      <c r="XC81" s="24"/>
      <c r="XD81" s="24"/>
      <c r="XE81" s="24"/>
      <c r="XF81" s="24"/>
      <c r="XG81" s="24"/>
      <c r="XH81" s="24"/>
      <c r="XI81" s="24">
        <f t="shared" ref="XI81:XI89" si="211">UY81+VA81+VC81+VE81+VG81+VI81+VK81+VM81+VO81+VQ81+VS81+VU81+VW81+VY81+WA81+WC81+WE81+WG81+WI81+WK81+WM81+WO81+WQ81+WS81+WU81+WW81+WY81+XA81+XC81+XE81+XG81</f>
        <v>0</v>
      </c>
      <c r="XJ81" s="24">
        <f t="shared" ref="XJ81:XJ89" si="212">UZ81+VB81+VD81+VF81+VH81+VJ81+VL81+VN81+VP81+VR81+VT81+VV81+VX81+VZ81+WB81+WD81+WF81+WH81+WJ81+WL81+WN81+WP81+WR81+WT81+WV81+WX81+WZ81+XB81+XD81+XF81+XH81</f>
        <v>0</v>
      </c>
      <c r="XK81" s="24"/>
      <c r="XL81" s="24"/>
      <c r="XM81" s="24"/>
      <c r="XN81" s="24"/>
      <c r="XO81" s="24"/>
      <c r="XP81" s="24"/>
      <c r="XQ81" s="24"/>
      <c r="XR81" s="24"/>
      <c r="XS81" s="24"/>
      <c r="XT81" s="24"/>
      <c r="XU81" s="24"/>
      <c r="XV81" s="24"/>
      <c r="XW81" s="24"/>
      <c r="XX81" s="24"/>
      <c r="XY81" s="24"/>
      <c r="XZ81" s="24"/>
      <c r="YA81" s="24"/>
      <c r="YB81" s="24"/>
      <c r="YC81" s="24"/>
      <c r="YD81" s="24"/>
      <c r="YE81" s="24"/>
      <c r="YF81" s="24"/>
      <c r="YG81" s="24"/>
      <c r="YH81" s="24"/>
      <c r="YI81" s="24"/>
      <c r="YJ81" s="24"/>
      <c r="YK81" s="24"/>
      <c r="YL81" s="24"/>
      <c r="YM81" s="24"/>
      <c r="YN81" s="24"/>
      <c r="YO81" s="24"/>
      <c r="YP81" s="24"/>
      <c r="YQ81" s="24"/>
      <c r="YR81" s="24"/>
      <c r="YS81" s="24"/>
      <c r="YT81" s="24"/>
      <c r="YU81" s="24"/>
      <c r="YV81" s="24"/>
      <c r="YW81" s="24"/>
      <c r="YX81" s="24"/>
      <c r="YY81" s="24"/>
      <c r="YZ81" s="24"/>
      <c r="ZA81" s="24"/>
      <c r="ZB81" s="24"/>
      <c r="ZC81" s="24"/>
      <c r="ZD81" s="24"/>
      <c r="ZE81" s="24"/>
      <c r="ZF81" s="24"/>
      <c r="ZG81" s="24"/>
      <c r="ZH81" s="24"/>
      <c r="ZI81" s="24"/>
      <c r="ZJ81" s="24"/>
      <c r="ZK81" s="24"/>
      <c r="ZL81" s="24"/>
      <c r="ZM81" s="24"/>
      <c r="ZN81" s="24"/>
      <c r="ZO81" s="24"/>
      <c r="ZP81" s="24"/>
      <c r="ZQ81" s="24"/>
      <c r="ZR81" s="24"/>
      <c r="ZS81" s="24">
        <f t="shared" ref="ZS81:ZS89" si="213">XK81+XM81+XO81+XQ81+XS81+XU81+XW81+XY81+YA81+YC81+YE81+YG81+YI81+YK81+YM81+YO81+YQ81+YS81+YU81+YW81+YY81+ZA81+ZC81+ZE81+ZG81+ZI81+ZK81+ZM81+ZO81+ZQ81</f>
        <v>0</v>
      </c>
      <c r="ZT81" s="24">
        <f t="shared" ref="ZT81:ZT89" si="214">XL81+XN81+XP81+XR81+XT81+XV81+XX81+XZ81+YB81+YD81+YF81+YH81+YJ81+YL81+YN81+YP81+YR81+YT81+YV81+YX81+YZ81+ZB81+ZD81+ZF81+ZH81+ZJ81+ZL81+ZN81+ZP81+ZR81</f>
        <v>0</v>
      </c>
      <c r="ZU81" s="24"/>
      <c r="ZV81" s="24"/>
      <c r="ZW81" s="24"/>
      <c r="ZX81" s="24"/>
      <c r="ZY81" s="24"/>
      <c r="ZZ81" s="24"/>
      <c r="AAA81" s="24"/>
      <c r="AAB81" s="24"/>
      <c r="AAC81" s="24"/>
      <c r="AAD81" s="24"/>
      <c r="AAE81" s="24"/>
      <c r="AAF81" s="24"/>
      <c r="AAG81" s="24"/>
      <c r="AAH81" s="24"/>
      <c r="AAI81" s="24"/>
      <c r="AAJ81" s="24"/>
      <c r="AAK81" s="24"/>
      <c r="AAL81" s="24"/>
      <c r="AAM81" s="24"/>
      <c r="AAN81" s="24"/>
      <c r="AAO81" s="24"/>
      <c r="AAP81" s="24"/>
      <c r="AAQ81" s="24"/>
      <c r="AAR81" s="24"/>
      <c r="AAS81" s="24"/>
      <c r="AAT81" s="24"/>
      <c r="AAU81" s="24"/>
      <c r="AAV81" s="24"/>
      <c r="AAW81" s="24"/>
      <c r="AAX81" s="24"/>
      <c r="AAY81" s="24"/>
      <c r="AAZ81" s="24"/>
      <c r="ABA81" s="24"/>
      <c r="ABB81" s="24"/>
      <c r="ABC81" s="24"/>
      <c r="ABD81" s="24"/>
      <c r="ABE81" s="24"/>
      <c r="ABF81" s="24"/>
      <c r="ABG81" s="24"/>
      <c r="ABH81" s="24"/>
      <c r="ABI81" s="24"/>
      <c r="ABJ81" s="24"/>
      <c r="ABK81" s="24"/>
      <c r="ABL81" s="24"/>
      <c r="ABM81" s="24"/>
      <c r="ABN81" s="24"/>
      <c r="ABO81" s="24"/>
      <c r="ABP81" s="24"/>
      <c r="ABQ81" s="24"/>
      <c r="ABR81" s="24"/>
      <c r="ABS81" s="24"/>
      <c r="ABT81" s="24"/>
      <c r="ABU81" s="24"/>
      <c r="ABV81" s="24"/>
      <c r="ABW81" s="24"/>
      <c r="ABX81" s="24"/>
      <c r="ABY81" s="24"/>
      <c r="ABZ81" s="24"/>
      <c r="ACA81" s="24"/>
      <c r="ACB81" s="24"/>
      <c r="ACC81" s="24"/>
      <c r="ACD81" s="24"/>
      <c r="ACE81" s="24">
        <f t="shared" ref="ACE81:ACE89" si="215">ZU81+ZW81+ZY81+AAA81+AAC81+AAE81+AAG81+AAI81+AAK81+AAM81+AAO81+AAQ81+AAS81+AAU81+AAW81+AAY81+ABA81+ABC81+ABE81+ABG81+ABI81+ABK81+ABM81+ABO81+ABQ81+ABS81+ABU81+ABW81+ABY81+ACA81+ACC81</f>
        <v>0</v>
      </c>
      <c r="ACF81" s="24"/>
      <c r="ACG81" s="24">
        <f t="shared" ref="ACG81:ACG89" si="216">BO81+DW81+GI81+IS81+LE81+NO81+QA81+SM81+UW81+XI81+ZS81+ACE81</f>
        <v>0</v>
      </c>
      <c r="ACH81" s="25"/>
      <c r="ACI81" s="71" t="s">
        <v>230</v>
      </c>
      <c r="ACJ81" s="71" t="s">
        <v>100</v>
      </c>
    </row>
    <row r="82" spans="1:764" x14ac:dyDescent="0.25">
      <c r="A82" s="162"/>
      <c r="B82" s="152"/>
      <c r="C82" s="155"/>
      <c r="D82" s="50" t="s">
        <v>4</v>
      </c>
      <c r="E82" s="74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24" cm="1">
        <f t="array" ref="BO82">SUMPRODUCT(E82:BM82,--(E$2:BM$2=BO$2))</f>
        <v>0</v>
      </c>
      <c r="BP82" s="24" cm="1">
        <f t="array" ref="BP82">SUMPRODUCT(F82:BN82,--(F$2:BN$2=BP$2))</f>
        <v>0</v>
      </c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 cm="1">
        <f t="array" ref="DW82">SUMPRODUCT(BQ82:DU82,--(BQ$2:DU$2=DW$2))</f>
        <v>0</v>
      </c>
      <c r="DX82" s="24" cm="1">
        <f t="array" ref="DX82">SUMPRODUCT(BR82:DV82,--(BR$2:DV$2=DX$2))</f>
        <v>0</v>
      </c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  <c r="FU82" s="24"/>
      <c r="FV82" s="24"/>
      <c r="FW82" s="24"/>
      <c r="FX82" s="24"/>
      <c r="FY82" s="24"/>
      <c r="FZ82" s="24"/>
      <c r="GA82" s="24"/>
      <c r="GB82" s="24"/>
      <c r="GC82" s="24"/>
      <c r="GD82" s="24"/>
      <c r="GE82" s="24"/>
      <c r="GF82" s="24"/>
      <c r="GG82" s="24"/>
      <c r="GH82" s="24"/>
      <c r="GI82" s="24" cm="1">
        <f t="array" ref="GI82">SUMPRODUCT(DY82:GG82,--(DY$2:GG$2=GI$2))</f>
        <v>0</v>
      </c>
      <c r="GJ82" s="24" cm="1">
        <f t="array" ref="GJ82">SUMPRODUCT(DZ82:GH82,--(DZ$2:GH$2=GJ$2))</f>
        <v>0</v>
      </c>
      <c r="GK82" s="24"/>
      <c r="GL82" s="24"/>
      <c r="GM82" s="24"/>
      <c r="GN82" s="24"/>
      <c r="GO82" s="24"/>
      <c r="GP82" s="24"/>
      <c r="GQ82" s="24"/>
      <c r="GR82" s="24"/>
      <c r="GS82" s="24"/>
      <c r="GT82" s="24"/>
      <c r="GU82" s="24"/>
      <c r="GV82" s="24"/>
      <c r="GW82" s="24"/>
      <c r="GX82" s="24"/>
      <c r="GY82" s="24"/>
      <c r="GZ82" s="24"/>
      <c r="HA82" s="24"/>
      <c r="HB82" s="24"/>
      <c r="HC82" s="24"/>
      <c r="HD82" s="24"/>
      <c r="HE82" s="24"/>
      <c r="HF82" s="24"/>
      <c r="HG82" s="24"/>
      <c r="HH82" s="24"/>
      <c r="HI82" s="24"/>
      <c r="HJ82" s="24"/>
      <c r="HK82" s="24"/>
      <c r="HL82" s="24"/>
      <c r="HM82" s="24"/>
      <c r="HN82" s="24"/>
      <c r="HO82" s="24"/>
      <c r="HP82" s="24"/>
      <c r="HQ82" s="24"/>
      <c r="HR82" s="24"/>
      <c r="HS82" s="24"/>
      <c r="HT82" s="24"/>
      <c r="HU82" s="24"/>
      <c r="HV82" s="24"/>
      <c r="HW82" s="24"/>
      <c r="HX82" s="24"/>
      <c r="HY82" s="24"/>
      <c r="HZ82" s="24"/>
      <c r="IA82" s="24"/>
      <c r="IB82" s="24"/>
      <c r="IC82" s="24"/>
      <c r="ID82" s="24"/>
      <c r="IE82" s="24"/>
      <c r="IF82" s="24"/>
      <c r="IG82" s="24"/>
      <c r="IH82" s="24"/>
      <c r="II82" s="24"/>
      <c r="IJ82" s="24"/>
      <c r="IK82" s="24"/>
      <c r="IL82" s="24"/>
      <c r="IM82" s="24"/>
      <c r="IN82" s="24"/>
      <c r="IO82" s="24"/>
      <c r="IP82" s="24"/>
      <c r="IQ82" s="24"/>
      <c r="IR82" s="24"/>
      <c r="IS82" s="24">
        <f t="shared" si="199"/>
        <v>0</v>
      </c>
      <c r="IT82" s="24">
        <f t="shared" si="200"/>
        <v>0</v>
      </c>
      <c r="IU82" s="24"/>
      <c r="IV82" s="24"/>
      <c r="IW82" s="24"/>
      <c r="IX82" s="24"/>
      <c r="IY82" s="24"/>
      <c r="IZ82" s="24"/>
      <c r="JA82" s="24"/>
      <c r="JB82" s="24"/>
      <c r="JC82" s="24"/>
      <c r="JD82" s="24"/>
      <c r="JE82" s="24"/>
      <c r="JF82" s="24"/>
      <c r="JG82" s="24"/>
      <c r="JH82" s="24"/>
      <c r="JI82" s="24"/>
      <c r="JJ82" s="24"/>
      <c r="JK82" s="24"/>
      <c r="JL82" s="24"/>
      <c r="JM82" s="24"/>
      <c r="JN82" s="24"/>
      <c r="JO82" s="24"/>
      <c r="JP82" s="24"/>
      <c r="JQ82" s="24"/>
      <c r="JR82" s="24"/>
      <c r="JS82" s="24"/>
      <c r="JT82" s="24"/>
      <c r="JU82" s="24"/>
      <c r="JV82" s="24"/>
      <c r="JW82" s="24"/>
      <c r="JX82" s="24"/>
      <c r="JY82" s="24"/>
      <c r="JZ82" s="24"/>
      <c r="KA82" s="24"/>
      <c r="KB82" s="24"/>
      <c r="KC82" s="24"/>
      <c r="KD82" s="24"/>
      <c r="KE82" s="24"/>
      <c r="KF82" s="24"/>
      <c r="KG82" s="24"/>
      <c r="KH82" s="24"/>
      <c r="KI82" s="24"/>
      <c r="KJ82" s="24"/>
      <c r="KK82" s="24"/>
      <c r="KL82" s="24"/>
      <c r="KM82" s="24"/>
      <c r="KN82" s="24"/>
      <c r="KO82" s="24"/>
      <c r="KP82" s="24"/>
      <c r="KQ82" s="24"/>
      <c r="KR82" s="24"/>
      <c r="KS82" s="24"/>
      <c r="KT82" s="24"/>
      <c r="KU82" s="24"/>
      <c r="KV82" s="24"/>
      <c r="KW82" s="24"/>
      <c r="KX82" s="24"/>
      <c r="KY82" s="24"/>
      <c r="KZ82" s="24"/>
      <c r="LA82" s="24"/>
      <c r="LB82" s="24"/>
      <c r="LC82" s="24"/>
      <c r="LD82" s="24"/>
      <c r="LE82" s="24">
        <f t="shared" si="201"/>
        <v>0</v>
      </c>
      <c r="LF82" s="24">
        <f t="shared" si="202"/>
        <v>0</v>
      </c>
      <c r="LG82" s="24"/>
      <c r="LH82" s="24"/>
      <c r="LI82" s="24"/>
      <c r="LJ82" s="24"/>
      <c r="LK82" s="24"/>
      <c r="LL82" s="24"/>
      <c r="LM82" s="24"/>
      <c r="LN82" s="24"/>
      <c r="LO82" s="24"/>
      <c r="LP82" s="24"/>
      <c r="LQ82" s="24"/>
      <c r="LR82" s="24"/>
      <c r="LS82" s="24"/>
      <c r="LT82" s="24"/>
      <c r="LU82" s="24"/>
      <c r="LV82" s="24"/>
      <c r="LW82" s="24"/>
      <c r="LX82" s="24"/>
      <c r="LY82" s="24"/>
      <c r="LZ82" s="24"/>
      <c r="MA82" s="24"/>
      <c r="MB82" s="24"/>
      <c r="MC82" s="24"/>
      <c r="MD82" s="24"/>
      <c r="ME82" s="24"/>
      <c r="MF82" s="24"/>
      <c r="MG82" s="24"/>
      <c r="MH82" s="24"/>
      <c r="MI82" s="24"/>
      <c r="MJ82" s="24"/>
      <c r="MK82" s="24"/>
      <c r="ML82" s="24"/>
      <c r="MM82" s="24"/>
      <c r="MN82" s="24"/>
      <c r="MO82" s="24"/>
      <c r="MP82" s="24"/>
      <c r="MQ82" s="24"/>
      <c r="MR82" s="24"/>
      <c r="MS82" s="24"/>
      <c r="MT82" s="24"/>
      <c r="MU82" s="24"/>
      <c r="MV82" s="24"/>
      <c r="MW82" s="24"/>
      <c r="MX82" s="24"/>
      <c r="MY82" s="24"/>
      <c r="MZ82" s="24"/>
      <c r="NA82" s="24"/>
      <c r="NB82" s="24"/>
      <c r="NC82" s="24"/>
      <c r="ND82" s="24"/>
      <c r="NE82" s="24"/>
      <c r="NF82" s="24"/>
      <c r="NG82" s="24"/>
      <c r="NH82" s="24"/>
      <c r="NI82" s="24"/>
      <c r="NJ82" s="24"/>
      <c r="NK82" s="24"/>
      <c r="NL82" s="24"/>
      <c r="NM82" s="24"/>
      <c r="NN82" s="24"/>
      <c r="NO82" s="24">
        <f t="shared" si="203"/>
        <v>0</v>
      </c>
      <c r="NP82" s="24">
        <f t="shared" si="204"/>
        <v>0</v>
      </c>
      <c r="NQ82" s="24"/>
      <c r="NR82" s="24"/>
      <c r="NS82" s="24"/>
      <c r="NT82" s="24"/>
      <c r="NU82" s="24"/>
      <c r="NV82" s="24"/>
      <c r="NW82" s="24"/>
      <c r="NX82" s="24"/>
      <c r="NY82" s="24"/>
      <c r="NZ82" s="24"/>
      <c r="OA82" s="24"/>
      <c r="OB82" s="24"/>
      <c r="OC82" s="24"/>
      <c r="OD82" s="24"/>
      <c r="OE82" s="24"/>
      <c r="OF82" s="24"/>
      <c r="OG82" s="24"/>
      <c r="OH82" s="24"/>
      <c r="OI82" s="24"/>
      <c r="OJ82" s="24"/>
      <c r="OK82" s="24"/>
      <c r="OL82" s="24"/>
      <c r="OM82" s="24"/>
      <c r="ON82" s="24"/>
      <c r="OO82" s="24"/>
      <c r="OP82" s="24"/>
      <c r="OQ82" s="24"/>
      <c r="OR82" s="24"/>
      <c r="OS82" s="24"/>
      <c r="OT82" s="24"/>
      <c r="OU82" s="24"/>
      <c r="OV82" s="24"/>
      <c r="OW82" s="24"/>
      <c r="OX82" s="24"/>
      <c r="OY82" s="24"/>
      <c r="OZ82" s="24"/>
      <c r="PA82" s="24"/>
      <c r="PB82" s="24"/>
      <c r="PC82" s="24"/>
      <c r="PD82" s="24"/>
      <c r="PE82" s="24"/>
      <c r="PF82" s="24"/>
      <c r="PG82" s="24"/>
      <c r="PH82" s="24"/>
      <c r="PI82" s="24"/>
      <c r="PJ82" s="24"/>
      <c r="PK82" s="24"/>
      <c r="PL82" s="24"/>
      <c r="PM82" s="24"/>
      <c r="PN82" s="24"/>
      <c r="PO82" s="24"/>
      <c r="PP82" s="24"/>
      <c r="PQ82" s="24"/>
      <c r="PR82" s="24"/>
      <c r="PS82" s="24"/>
      <c r="PT82" s="24"/>
      <c r="PU82" s="24"/>
      <c r="PV82" s="24"/>
      <c r="PW82" s="24"/>
      <c r="PX82" s="24"/>
      <c r="PY82" s="24"/>
      <c r="PZ82" s="24"/>
      <c r="QA82" s="24">
        <f t="shared" si="205"/>
        <v>0</v>
      </c>
      <c r="QB82" s="24">
        <f t="shared" si="206"/>
        <v>0</v>
      </c>
      <c r="QC82" s="24"/>
      <c r="QD82" s="24"/>
      <c r="QE82" s="24"/>
      <c r="QF82" s="24"/>
      <c r="QG82" s="24"/>
      <c r="QH82" s="24"/>
      <c r="QI82" s="24"/>
      <c r="QJ82" s="24"/>
      <c r="QK82" s="24"/>
      <c r="QL82" s="24"/>
      <c r="QM82" s="24"/>
      <c r="QN82" s="24"/>
      <c r="QO82" s="24"/>
      <c r="QP82" s="24"/>
      <c r="QQ82" s="24"/>
      <c r="QR82" s="24"/>
      <c r="QS82" s="24"/>
      <c r="QT82" s="24"/>
      <c r="QU82" s="24"/>
      <c r="QV82" s="24"/>
      <c r="QW82" s="24"/>
      <c r="QX82" s="24"/>
      <c r="QY82" s="24"/>
      <c r="QZ82" s="24"/>
      <c r="RA82" s="24"/>
      <c r="RB82" s="24"/>
      <c r="RC82" s="24"/>
      <c r="RD82" s="24"/>
      <c r="RE82" s="24"/>
      <c r="RF82" s="24"/>
      <c r="RG82" s="24"/>
      <c r="RH82" s="24"/>
      <c r="RI82" s="24"/>
      <c r="RJ82" s="24"/>
      <c r="RK82" s="24"/>
      <c r="RL82" s="24"/>
      <c r="RM82" s="24"/>
      <c r="RN82" s="24"/>
      <c r="RO82" s="24"/>
      <c r="RP82" s="24"/>
      <c r="RQ82" s="24"/>
      <c r="RR82" s="24"/>
      <c r="RS82" s="24"/>
      <c r="RT82" s="24"/>
      <c r="RU82" s="24"/>
      <c r="RV82" s="24"/>
      <c r="RW82" s="24"/>
      <c r="RX82" s="24"/>
      <c r="RY82" s="24"/>
      <c r="RZ82" s="24"/>
      <c r="SA82" s="24"/>
      <c r="SB82" s="24"/>
      <c r="SC82" s="24"/>
      <c r="SD82" s="24"/>
      <c r="SE82" s="24"/>
      <c r="SF82" s="24"/>
      <c r="SG82" s="24"/>
      <c r="SH82" s="24"/>
      <c r="SI82" s="24"/>
      <c r="SJ82" s="24"/>
      <c r="SK82" s="24"/>
      <c r="SL82" s="24"/>
      <c r="SM82" s="24">
        <f t="shared" si="207"/>
        <v>0</v>
      </c>
      <c r="SN82" s="24">
        <f t="shared" si="208"/>
        <v>0</v>
      </c>
      <c r="SO82" s="24"/>
      <c r="SP82" s="24"/>
      <c r="SQ82" s="24"/>
      <c r="SR82" s="24"/>
      <c r="SS82" s="24"/>
      <c r="ST82" s="24"/>
      <c r="SU82" s="24"/>
      <c r="SV82" s="24"/>
      <c r="SW82" s="24"/>
      <c r="SX82" s="24"/>
      <c r="SY82" s="24"/>
      <c r="SZ82" s="24"/>
      <c r="TA82" s="24"/>
      <c r="TB82" s="24"/>
      <c r="TC82" s="24"/>
      <c r="TD82" s="24"/>
      <c r="TE82" s="24"/>
      <c r="TF82" s="24"/>
      <c r="TG82" s="24"/>
      <c r="TH82" s="24"/>
      <c r="TI82" s="24"/>
      <c r="TJ82" s="24"/>
      <c r="TK82" s="24"/>
      <c r="TL82" s="24"/>
      <c r="TM82" s="24"/>
      <c r="TN82" s="24"/>
      <c r="TO82" s="24"/>
      <c r="TP82" s="24"/>
      <c r="TQ82" s="24"/>
      <c r="TR82" s="24"/>
      <c r="TS82" s="24"/>
      <c r="TT82" s="24"/>
      <c r="TU82" s="24"/>
      <c r="TV82" s="24"/>
      <c r="TW82" s="24"/>
      <c r="TX82" s="24"/>
      <c r="TY82" s="24"/>
      <c r="TZ82" s="24"/>
      <c r="UA82" s="24"/>
      <c r="UB82" s="24"/>
      <c r="UC82" s="24"/>
      <c r="UD82" s="24"/>
      <c r="UE82" s="24"/>
      <c r="UF82" s="24"/>
      <c r="UG82" s="24"/>
      <c r="UH82" s="24"/>
      <c r="UI82" s="24"/>
      <c r="UJ82" s="24"/>
      <c r="UK82" s="24"/>
      <c r="UL82" s="24"/>
      <c r="UM82" s="24"/>
      <c r="UN82" s="24"/>
      <c r="UO82" s="24"/>
      <c r="UP82" s="24"/>
      <c r="UQ82" s="24"/>
      <c r="UR82" s="24"/>
      <c r="US82" s="24"/>
      <c r="UT82" s="24"/>
      <c r="UU82" s="24"/>
      <c r="UV82" s="24"/>
      <c r="UW82" s="24">
        <f t="shared" si="209"/>
        <v>0</v>
      </c>
      <c r="UX82" s="24">
        <f t="shared" si="210"/>
        <v>0</v>
      </c>
      <c r="UY82" s="24"/>
      <c r="UZ82" s="24"/>
      <c r="VA82" s="24"/>
      <c r="VB82" s="24"/>
      <c r="VC82" s="24"/>
      <c r="VD82" s="24"/>
      <c r="VE82" s="24"/>
      <c r="VF82" s="24"/>
      <c r="VG82" s="24"/>
      <c r="VH82" s="24"/>
      <c r="VI82" s="24"/>
      <c r="VJ82" s="24"/>
      <c r="VK82" s="24"/>
      <c r="VL82" s="24"/>
      <c r="VM82" s="24"/>
      <c r="VN82" s="24"/>
      <c r="VO82" s="24"/>
      <c r="VP82" s="24"/>
      <c r="VQ82" s="24"/>
      <c r="VR82" s="24"/>
      <c r="VS82" s="24"/>
      <c r="VT82" s="24"/>
      <c r="VU82" s="24"/>
      <c r="VV82" s="24"/>
      <c r="VW82" s="24"/>
      <c r="VX82" s="24"/>
      <c r="VY82" s="24"/>
      <c r="VZ82" s="24"/>
      <c r="WA82" s="24"/>
      <c r="WB82" s="24"/>
      <c r="WC82" s="24"/>
      <c r="WD82" s="24"/>
      <c r="WE82" s="24"/>
      <c r="WF82" s="24"/>
      <c r="WG82" s="24"/>
      <c r="WH82" s="24"/>
      <c r="WI82" s="24"/>
      <c r="WJ82" s="24"/>
      <c r="WK82" s="24"/>
      <c r="WL82" s="24"/>
      <c r="WM82" s="24"/>
      <c r="WN82" s="24"/>
      <c r="WO82" s="24"/>
      <c r="WP82" s="24"/>
      <c r="WQ82" s="24"/>
      <c r="WR82" s="24"/>
      <c r="WS82" s="24"/>
      <c r="WT82" s="24"/>
      <c r="WU82" s="24"/>
      <c r="WV82" s="24"/>
      <c r="WW82" s="24"/>
      <c r="WX82" s="24"/>
      <c r="WY82" s="24"/>
      <c r="WZ82" s="24"/>
      <c r="XA82" s="24"/>
      <c r="XB82" s="24"/>
      <c r="XC82" s="24"/>
      <c r="XD82" s="24"/>
      <c r="XE82" s="24"/>
      <c r="XF82" s="24"/>
      <c r="XG82" s="24"/>
      <c r="XH82" s="24"/>
      <c r="XI82" s="24">
        <f t="shared" si="211"/>
        <v>0</v>
      </c>
      <c r="XJ82" s="24">
        <f t="shared" si="212"/>
        <v>0</v>
      </c>
      <c r="XK82" s="24"/>
      <c r="XL82" s="24"/>
      <c r="XM82" s="24"/>
      <c r="XN82" s="24"/>
      <c r="XO82" s="24"/>
      <c r="XP82" s="24"/>
      <c r="XQ82" s="24"/>
      <c r="XR82" s="24"/>
      <c r="XS82" s="24"/>
      <c r="XT82" s="24"/>
      <c r="XU82" s="24"/>
      <c r="XV82" s="24"/>
      <c r="XW82" s="24"/>
      <c r="XX82" s="24"/>
      <c r="XY82" s="24"/>
      <c r="XZ82" s="24"/>
      <c r="YA82" s="24"/>
      <c r="YB82" s="24"/>
      <c r="YC82" s="24"/>
      <c r="YD82" s="24"/>
      <c r="YE82" s="24"/>
      <c r="YF82" s="24"/>
      <c r="YG82" s="24"/>
      <c r="YH82" s="24"/>
      <c r="YI82" s="24"/>
      <c r="YJ82" s="24"/>
      <c r="YK82" s="24"/>
      <c r="YL82" s="24"/>
      <c r="YM82" s="24"/>
      <c r="YN82" s="24"/>
      <c r="YO82" s="24"/>
      <c r="YP82" s="24"/>
      <c r="YQ82" s="24"/>
      <c r="YR82" s="24"/>
      <c r="YS82" s="24"/>
      <c r="YT82" s="24"/>
      <c r="YU82" s="24"/>
      <c r="YV82" s="24"/>
      <c r="YW82" s="24"/>
      <c r="YX82" s="24"/>
      <c r="YY82" s="24"/>
      <c r="YZ82" s="24"/>
      <c r="ZA82" s="24"/>
      <c r="ZB82" s="24"/>
      <c r="ZC82" s="24"/>
      <c r="ZD82" s="24"/>
      <c r="ZE82" s="24"/>
      <c r="ZF82" s="24"/>
      <c r="ZG82" s="24"/>
      <c r="ZH82" s="24"/>
      <c r="ZI82" s="24"/>
      <c r="ZJ82" s="24"/>
      <c r="ZK82" s="24"/>
      <c r="ZL82" s="24"/>
      <c r="ZM82" s="24"/>
      <c r="ZN82" s="24"/>
      <c r="ZO82" s="24"/>
      <c r="ZP82" s="24"/>
      <c r="ZQ82" s="24"/>
      <c r="ZR82" s="24"/>
      <c r="ZS82" s="24">
        <f t="shared" si="213"/>
        <v>0</v>
      </c>
      <c r="ZT82" s="24">
        <f t="shared" si="214"/>
        <v>0</v>
      </c>
      <c r="ZU82" s="24"/>
      <c r="ZV82" s="24"/>
      <c r="ZW82" s="24"/>
      <c r="ZX82" s="24"/>
      <c r="ZY82" s="24"/>
      <c r="ZZ82" s="24"/>
      <c r="AAA82" s="24"/>
      <c r="AAB82" s="24"/>
      <c r="AAC82" s="24"/>
      <c r="AAD82" s="24"/>
      <c r="AAE82" s="24"/>
      <c r="AAF82" s="24"/>
      <c r="AAG82" s="24"/>
      <c r="AAH82" s="24"/>
      <c r="AAI82" s="24"/>
      <c r="AAJ82" s="24"/>
      <c r="AAK82" s="24"/>
      <c r="AAL82" s="24"/>
      <c r="AAM82" s="24"/>
      <c r="AAN82" s="24"/>
      <c r="AAO82" s="24"/>
      <c r="AAP82" s="24"/>
      <c r="AAQ82" s="24"/>
      <c r="AAR82" s="24"/>
      <c r="AAS82" s="24"/>
      <c r="AAT82" s="24"/>
      <c r="AAU82" s="24"/>
      <c r="AAV82" s="24"/>
      <c r="AAW82" s="24"/>
      <c r="AAX82" s="24"/>
      <c r="AAY82" s="24"/>
      <c r="AAZ82" s="24"/>
      <c r="ABA82" s="24"/>
      <c r="ABB82" s="24"/>
      <c r="ABC82" s="24"/>
      <c r="ABD82" s="24"/>
      <c r="ABE82" s="24"/>
      <c r="ABF82" s="24"/>
      <c r="ABG82" s="24"/>
      <c r="ABH82" s="24"/>
      <c r="ABI82" s="24"/>
      <c r="ABJ82" s="24"/>
      <c r="ABK82" s="24"/>
      <c r="ABL82" s="24"/>
      <c r="ABM82" s="24"/>
      <c r="ABN82" s="24"/>
      <c r="ABO82" s="24"/>
      <c r="ABP82" s="24"/>
      <c r="ABQ82" s="24"/>
      <c r="ABR82" s="24"/>
      <c r="ABS82" s="24"/>
      <c r="ABT82" s="24"/>
      <c r="ABU82" s="24"/>
      <c r="ABV82" s="24"/>
      <c r="ABW82" s="24"/>
      <c r="ABX82" s="24"/>
      <c r="ABY82" s="24"/>
      <c r="ABZ82" s="24"/>
      <c r="ACA82" s="24"/>
      <c r="ACB82" s="24"/>
      <c r="ACC82" s="24"/>
      <c r="ACD82" s="24"/>
      <c r="ACE82" s="24">
        <f t="shared" si="215"/>
        <v>0</v>
      </c>
      <c r="ACF82" s="24"/>
      <c r="ACG82" s="24">
        <f t="shared" si="216"/>
        <v>0</v>
      </c>
      <c r="ACH82" s="25"/>
      <c r="ACI82" s="71" t="s">
        <v>231</v>
      </c>
      <c r="ACJ82" s="71" t="s">
        <v>100</v>
      </c>
    </row>
    <row r="83" spans="1:764" x14ac:dyDescent="0.25">
      <c r="A83" s="162"/>
      <c r="B83" s="152"/>
      <c r="C83" s="155"/>
      <c r="D83" s="50" t="s">
        <v>8</v>
      </c>
      <c r="E83" s="74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>
        <v>22.76</v>
      </c>
      <c r="V83" s="75">
        <v>22.76</v>
      </c>
      <c r="W83" s="75">
        <v>48.019999999999996</v>
      </c>
      <c r="X83" s="75">
        <v>48.879999999999995</v>
      </c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>
        <v>28.8</v>
      </c>
      <c r="AP83" s="75">
        <v>28.76</v>
      </c>
      <c r="AQ83" s="75"/>
      <c r="AR83" s="75"/>
      <c r="AS83" s="75">
        <v>22.8</v>
      </c>
      <c r="AT83" s="75">
        <v>22.84</v>
      </c>
      <c r="AU83" s="75">
        <v>21.78</v>
      </c>
      <c r="AV83" s="75">
        <v>22.22</v>
      </c>
      <c r="AW83" s="75">
        <v>83.28</v>
      </c>
      <c r="AX83" s="75">
        <v>83.88</v>
      </c>
      <c r="AY83" s="75"/>
      <c r="AZ83" s="75"/>
      <c r="BA83" s="75">
        <v>86.12</v>
      </c>
      <c r="BB83" s="75">
        <v>85.38</v>
      </c>
      <c r="BC83" s="75">
        <v>28.98</v>
      </c>
      <c r="BD83" s="75">
        <v>29.16</v>
      </c>
      <c r="BE83" s="75">
        <v>55.019999999999996</v>
      </c>
      <c r="BF83" s="75">
        <v>54.92</v>
      </c>
      <c r="BG83" s="75">
        <v>26.98</v>
      </c>
      <c r="BH83" s="75">
        <v>27</v>
      </c>
      <c r="BI83" s="75"/>
      <c r="BJ83" s="75"/>
      <c r="BK83" s="75"/>
      <c r="BL83" s="75"/>
      <c r="BM83" s="75">
        <v>47.92</v>
      </c>
      <c r="BN83" s="75">
        <v>56.22</v>
      </c>
      <c r="BO83" s="24" cm="1">
        <f t="array" ref="BO83">SUMPRODUCT(E83:BM83,--(E$2:BM$2=BO$2))</f>
        <v>472.46000000000004</v>
      </c>
      <c r="BP83" s="24" cm="1">
        <f t="array" ref="BP83">SUMPRODUCT(F83:BN83,--(F$2:BN$2=BP$2))</f>
        <v>482.0200000000001</v>
      </c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>
        <v>24.4</v>
      </c>
      <c r="CF83" s="24">
        <v>24.44</v>
      </c>
      <c r="CG83" s="24"/>
      <c r="CH83" s="24"/>
      <c r="CI83" s="24">
        <v>18.52</v>
      </c>
      <c r="CJ83" s="24">
        <v>18.600000000000001</v>
      </c>
      <c r="CK83" s="24">
        <v>43.739999999999995</v>
      </c>
      <c r="CL83" s="24">
        <v>43.66</v>
      </c>
      <c r="CM83" s="24">
        <v>72.64</v>
      </c>
      <c r="CN83" s="24">
        <v>72.760000000000005</v>
      </c>
      <c r="CO83" s="24">
        <v>53.14</v>
      </c>
      <c r="CP83" s="24">
        <v>53.18</v>
      </c>
      <c r="CQ83" s="24">
        <v>48.120000000000005</v>
      </c>
      <c r="CR83" s="24">
        <v>48.28</v>
      </c>
      <c r="CS83" s="24">
        <v>22.84</v>
      </c>
      <c r="CT83" s="24">
        <v>22.82</v>
      </c>
      <c r="CU83" s="24">
        <v>24</v>
      </c>
      <c r="CV83" s="24">
        <v>24.1</v>
      </c>
      <c r="CW83" s="24">
        <v>27.46</v>
      </c>
      <c r="CX83" s="24">
        <v>27.88</v>
      </c>
      <c r="CY83" s="24">
        <v>22.14</v>
      </c>
      <c r="CZ83" s="24">
        <v>22.08</v>
      </c>
      <c r="DA83" s="24">
        <v>31.86</v>
      </c>
      <c r="DB83" s="24">
        <v>31.78</v>
      </c>
      <c r="DC83" s="24">
        <v>27.32</v>
      </c>
      <c r="DD83" s="24">
        <v>27.2</v>
      </c>
      <c r="DE83" s="24">
        <v>26.5</v>
      </c>
      <c r="DF83" s="24">
        <v>26.42</v>
      </c>
      <c r="DG83" s="24"/>
      <c r="DH83" s="24"/>
      <c r="DI83" s="24">
        <v>28.92</v>
      </c>
      <c r="DJ83" s="24">
        <v>28.9</v>
      </c>
      <c r="DK83" s="24">
        <v>28.8</v>
      </c>
      <c r="DL83" s="24">
        <v>28.76</v>
      </c>
      <c r="DM83" s="24"/>
      <c r="DN83" s="24"/>
      <c r="DO83" s="24">
        <v>29.28</v>
      </c>
      <c r="DP83" s="24">
        <v>29.06</v>
      </c>
      <c r="DQ83" s="24"/>
      <c r="DR83" s="24"/>
      <c r="DS83" s="24">
        <v>126.12</v>
      </c>
      <c r="DT83" s="24">
        <v>126.82</v>
      </c>
      <c r="DU83" s="24">
        <v>32.200000000000003</v>
      </c>
      <c r="DV83" s="24">
        <v>32.18</v>
      </c>
      <c r="DW83" s="24" cm="1">
        <f t="array" ref="DW83">SUMPRODUCT(BQ83:DU83,--(BQ$2:DU$2=DW$2))</f>
        <v>688</v>
      </c>
      <c r="DX83" s="24" cm="1">
        <f t="array" ref="DX83">SUMPRODUCT(BR83:DV83,--(BR$2:DV$2=DX$2))</f>
        <v>688.92</v>
      </c>
      <c r="DY83" s="24">
        <v>92.36</v>
      </c>
      <c r="DZ83" s="24">
        <v>92.259999999999991</v>
      </c>
      <c r="EA83" s="24">
        <v>27.09</v>
      </c>
      <c r="EB83" s="24">
        <v>27</v>
      </c>
      <c r="EC83" s="24">
        <v>50.22</v>
      </c>
      <c r="ED83" s="24">
        <v>50.18</v>
      </c>
      <c r="EE83" s="24">
        <v>26.96</v>
      </c>
      <c r="EF83" s="24">
        <v>26.94</v>
      </c>
      <c r="EG83" s="24">
        <v>55.72</v>
      </c>
      <c r="EH83" s="24">
        <v>55.72</v>
      </c>
      <c r="EI83" s="24">
        <v>28.82</v>
      </c>
      <c r="EJ83" s="24">
        <v>28.88</v>
      </c>
      <c r="EK83" s="24"/>
      <c r="EL83" s="24"/>
      <c r="EM83" s="24">
        <v>55.86</v>
      </c>
      <c r="EN83" s="24">
        <v>55.72</v>
      </c>
      <c r="EO83" s="24">
        <v>27.7</v>
      </c>
      <c r="EP83" s="24">
        <v>27.98</v>
      </c>
      <c r="EQ83" s="24"/>
      <c r="ER83" s="24"/>
      <c r="ES83" s="24">
        <v>25.2</v>
      </c>
      <c r="ET83" s="24">
        <v>25.38</v>
      </c>
      <c r="EU83" s="24">
        <v>83.88</v>
      </c>
      <c r="EV83" s="24">
        <v>84.240000000000009</v>
      </c>
      <c r="EW83" s="24">
        <v>27.66</v>
      </c>
      <c r="EX83" s="24">
        <v>27.54</v>
      </c>
      <c r="EY83" s="24">
        <v>59.68</v>
      </c>
      <c r="EZ83" s="24">
        <v>59.64</v>
      </c>
      <c r="FA83" s="24">
        <v>103.04</v>
      </c>
      <c r="FB83" s="24">
        <v>102.9</v>
      </c>
      <c r="FC83" s="24"/>
      <c r="FD83" s="24"/>
      <c r="FE83" s="24">
        <v>30.74</v>
      </c>
      <c r="FF83" s="24">
        <v>30.74</v>
      </c>
      <c r="FG83" s="24">
        <v>31.38</v>
      </c>
      <c r="FH83" s="24">
        <v>31.24</v>
      </c>
      <c r="FI83" s="24">
        <v>28.92</v>
      </c>
      <c r="FJ83" s="24">
        <v>28.96</v>
      </c>
      <c r="FK83" s="24">
        <v>91.62</v>
      </c>
      <c r="FL83" s="24">
        <v>91.28</v>
      </c>
      <c r="FM83" s="24">
        <v>36.04</v>
      </c>
      <c r="FN83" s="24">
        <v>34.36</v>
      </c>
      <c r="FO83" s="24"/>
      <c r="FP83" s="24"/>
      <c r="FQ83" s="24"/>
      <c r="FR83" s="24"/>
      <c r="FS83" s="24">
        <v>24.8</v>
      </c>
      <c r="FT83" s="24">
        <v>24.76</v>
      </c>
      <c r="FU83" s="24">
        <v>59.4</v>
      </c>
      <c r="FV83" s="24">
        <v>59.44</v>
      </c>
      <c r="FW83" s="24"/>
      <c r="FX83" s="24"/>
      <c r="FY83" s="24">
        <v>67.34</v>
      </c>
      <c r="FZ83" s="24">
        <v>67.22</v>
      </c>
      <c r="GA83" s="24"/>
      <c r="GB83" s="24"/>
      <c r="GC83" s="24">
        <v>30.88</v>
      </c>
      <c r="GD83" s="24">
        <v>22.62</v>
      </c>
      <c r="GE83" s="24">
        <v>61.42</v>
      </c>
      <c r="GF83" s="24">
        <v>61.46</v>
      </c>
      <c r="GG83" s="24">
        <v>23.28</v>
      </c>
      <c r="GH83" s="24">
        <v>23.18</v>
      </c>
      <c r="GI83" s="24" cm="1">
        <f t="array" ref="GI83">SUMPRODUCT(DY83:GG83,--(DY$2:GG$2=GI$2))</f>
        <v>1150.01</v>
      </c>
      <c r="GJ83" s="24" cm="1">
        <f t="array" ref="GJ83">SUMPRODUCT(DZ83:GH83,--(DZ$2:GH$2=GJ$2))</f>
        <v>1139.6400000000001</v>
      </c>
      <c r="GK83" s="24"/>
      <c r="GL83" s="24"/>
      <c r="GM83" s="24">
        <v>29.96</v>
      </c>
      <c r="GN83" s="24">
        <v>29.92</v>
      </c>
      <c r="GO83" s="24">
        <v>121.14</v>
      </c>
      <c r="GP83" s="24">
        <v>121.2</v>
      </c>
      <c r="GQ83" s="24">
        <v>61.019999999999996</v>
      </c>
      <c r="GR83" s="24">
        <v>61.16</v>
      </c>
      <c r="GS83" s="24"/>
      <c r="GT83" s="24"/>
      <c r="GU83" s="24"/>
      <c r="GV83" s="24"/>
      <c r="GW83" s="24"/>
      <c r="GX83" s="24"/>
      <c r="GY83" s="24">
        <v>28.3</v>
      </c>
      <c r="GZ83" s="24">
        <v>28.24</v>
      </c>
      <c r="HA83" s="24">
        <v>57.3</v>
      </c>
      <c r="HB83" s="24">
        <v>57.16</v>
      </c>
      <c r="HC83" s="24">
        <v>29.86</v>
      </c>
      <c r="HD83" s="24">
        <v>29.8</v>
      </c>
      <c r="HE83" s="24"/>
      <c r="HF83" s="24"/>
      <c r="HG83" s="24"/>
      <c r="HH83" s="24"/>
      <c r="HI83" s="24">
        <v>55.150000000000006</v>
      </c>
      <c r="HJ83" s="24">
        <v>54.980000000000004</v>
      </c>
      <c r="HK83" s="24">
        <v>26.66</v>
      </c>
      <c r="HL83" s="24">
        <v>26.58</v>
      </c>
      <c r="HM83" s="24">
        <v>30.76</v>
      </c>
      <c r="HN83" s="24">
        <v>30.68</v>
      </c>
      <c r="HO83" s="24"/>
      <c r="HP83" s="24"/>
      <c r="HQ83" s="24"/>
      <c r="HR83" s="24"/>
      <c r="HS83" s="24">
        <v>28.26</v>
      </c>
      <c r="HT83" s="24">
        <v>28.2</v>
      </c>
      <c r="HU83" s="24"/>
      <c r="HV83" s="24"/>
      <c r="HW83" s="24">
        <v>27.24</v>
      </c>
      <c r="HX83" s="24">
        <v>27.4</v>
      </c>
      <c r="HY83" s="24">
        <v>55.78</v>
      </c>
      <c r="HZ83" s="24">
        <v>55.66</v>
      </c>
      <c r="IA83" s="24"/>
      <c r="IB83" s="24"/>
      <c r="IC83" s="24">
        <v>29.66</v>
      </c>
      <c r="ID83" s="24">
        <v>29.54</v>
      </c>
      <c r="IE83" s="24"/>
      <c r="IF83" s="24"/>
      <c r="IG83" s="24"/>
      <c r="IH83" s="24"/>
      <c r="II83" s="24">
        <v>115.62</v>
      </c>
      <c r="IJ83" s="24">
        <v>115.76</v>
      </c>
      <c r="IK83" s="24"/>
      <c r="IL83" s="24"/>
      <c r="IM83" s="24"/>
      <c r="IN83" s="24"/>
      <c r="IO83" s="24"/>
      <c r="IP83" s="24"/>
      <c r="IQ83" s="24"/>
      <c r="IR83" s="24"/>
      <c r="IS83" s="24">
        <f t="shared" si="199"/>
        <v>696.71</v>
      </c>
      <c r="IT83" s="24">
        <f t="shared" si="200"/>
        <v>696.28</v>
      </c>
      <c r="IU83" s="24"/>
      <c r="IV83" s="24"/>
      <c r="IW83" s="24">
        <v>27.28</v>
      </c>
      <c r="IX83" s="24">
        <v>27.2</v>
      </c>
      <c r="IY83" s="24">
        <v>25.46</v>
      </c>
      <c r="IZ83" s="24">
        <v>25.64</v>
      </c>
      <c r="JA83" s="24">
        <v>56</v>
      </c>
      <c r="JB83" s="24">
        <v>55.980000000000004</v>
      </c>
      <c r="JC83" s="24"/>
      <c r="JD83" s="24"/>
      <c r="JE83" s="24"/>
      <c r="JF83" s="24"/>
      <c r="JG83" s="24">
        <v>28.48</v>
      </c>
      <c r="JH83" s="24">
        <v>28.44</v>
      </c>
      <c r="JI83" s="24">
        <v>28.52</v>
      </c>
      <c r="JJ83" s="24">
        <v>28.4</v>
      </c>
      <c r="JK83" s="24"/>
      <c r="JL83" s="24"/>
      <c r="JM83" s="24"/>
      <c r="JN83" s="24"/>
      <c r="JO83" s="24">
        <v>26.16</v>
      </c>
      <c r="JP83" s="24">
        <v>26.04</v>
      </c>
      <c r="JQ83" s="24"/>
      <c r="JR83" s="24"/>
      <c r="JS83" s="24">
        <v>57.980000000000004</v>
      </c>
      <c r="JT83" s="24">
        <v>57.84</v>
      </c>
      <c r="JU83" s="24"/>
      <c r="JV83" s="24"/>
      <c r="JW83" s="24"/>
      <c r="JX83" s="24"/>
      <c r="JY83" s="24"/>
      <c r="JZ83" s="24"/>
      <c r="KA83" s="24"/>
      <c r="KB83" s="24"/>
      <c r="KC83" s="24"/>
      <c r="KD83" s="24"/>
      <c r="KE83" s="24"/>
      <c r="KF83" s="24"/>
      <c r="KG83" s="24"/>
      <c r="KH83" s="24"/>
      <c r="KI83" s="24"/>
      <c r="KJ83" s="24"/>
      <c r="KK83" s="24"/>
      <c r="KL83" s="24"/>
      <c r="KM83" s="24"/>
      <c r="KN83" s="24"/>
      <c r="KO83" s="24"/>
      <c r="KP83" s="24"/>
      <c r="KQ83" s="24"/>
      <c r="KR83" s="24"/>
      <c r="KS83" s="24"/>
      <c r="KT83" s="24"/>
      <c r="KU83" s="24"/>
      <c r="KV83" s="24"/>
      <c r="KW83" s="24"/>
      <c r="KX83" s="24"/>
      <c r="KY83" s="24"/>
      <c r="KZ83" s="24"/>
      <c r="LA83" s="24"/>
      <c r="LB83" s="24"/>
      <c r="LC83" s="24"/>
      <c r="LD83" s="24"/>
      <c r="LE83" s="24">
        <f t="shared" si="201"/>
        <v>249.88</v>
      </c>
      <c r="LF83" s="24">
        <f t="shared" si="202"/>
        <v>249.54000000000002</v>
      </c>
      <c r="LG83" s="24"/>
      <c r="LH83" s="24"/>
      <c r="LI83" s="24"/>
      <c r="LJ83" s="24"/>
      <c r="LK83" s="24"/>
      <c r="LL83" s="24"/>
      <c r="LM83" s="24"/>
      <c r="LN83" s="24"/>
      <c r="LO83" s="24"/>
      <c r="LP83" s="24"/>
      <c r="LQ83" s="24"/>
      <c r="LR83" s="24"/>
      <c r="LS83" s="24"/>
      <c r="LT83" s="24"/>
      <c r="LU83" s="24"/>
      <c r="LV83" s="24"/>
      <c r="LW83" s="24"/>
      <c r="LX83" s="24"/>
      <c r="LY83" s="24"/>
      <c r="LZ83" s="24"/>
      <c r="MA83" s="24"/>
      <c r="MB83" s="24"/>
      <c r="MC83" s="24"/>
      <c r="MD83" s="24"/>
      <c r="ME83" s="24"/>
      <c r="MF83" s="24"/>
      <c r="MG83" s="24"/>
      <c r="MH83" s="24"/>
      <c r="MI83" s="24"/>
      <c r="MJ83" s="24"/>
      <c r="MK83" s="24"/>
      <c r="ML83" s="24"/>
      <c r="MM83" s="24"/>
      <c r="MN83" s="24"/>
      <c r="MO83" s="24"/>
      <c r="MP83" s="24"/>
      <c r="MQ83" s="24"/>
      <c r="MR83" s="24"/>
      <c r="MS83" s="24"/>
      <c r="MT83" s="24"/>
      <c r="MU83" s="24"/>
      <c r="MV83" s="24"/>
      <c r="MW83" s="24"/>
      <c r="MX83" s="24"/>
      <c r="MY83" s="24"/>
      <c r="MZ83" s="24"/>
      <c r="NA83" s="24"/>
      <c r="NB83" s="24"/>
      <c r="NC83" s="24"/>
      <c r="ND83" s="24"/>
      <c r="NE83" s="24"/>
      <c r="NF83" s="24"/>
      <c r="NG83" s="24"/>
      <c r="NH83" s="24"/>
      <c r="NI83" s="24"/>
      <c r="NJ83" s="24"/>
      <c r="NK83" s="24"/>
      <c r="NL83" s="24"/>
      <c r="NM83" s="24"/>
      <c r="NN83" s="24"/>
      <c r="NO83" s="24">
        <f t="shared" si="203"/>
        <v>0</v>
      </c>
      <c r="NP83" s="24">
        <f t="shared" si="204"/>
        <v>0</v>
      </c>
      <c r="NQ83" s="24"/>
      <c r="NR83" s="24"/>
      <c r="NS83" s="24"/>
      <c r="NT83" s="24"/>
      <c r="NU83" s="24"/>
      <c r="NV83" s="24"/>
      <c r="NW83" s="24"/>
      <c r="NX83" s="24"/>
      <c r="NY83" s="24"/>
      <c r="NZ83" s="24"/>
      <c r="OA83" s="24"/>
      <c r="OB83" s="24"/>
      <c r="OC83" s="24"/>
      <c r="OD83" s="24"/>
      <c r="OE83" s="24"/>
      <c r="OF83" s="24"/>
      <c r="OG83" s="24"/>
      <c r="OH83" s="24"/>
      <c r="OI83" s="24"/>
      <c r="OJ83" s="24"/>
      <c r="OK83" s="24"/>
      <c r="OL83" s="24"/>
      <c r="OM83" s="24"/>
      <c r="ON83" s="24"/>
      <c r="OO83" s="24"/>
      <c r="OP83" s="24"/>
      <c r="OQ83" s="24"/>
      <c r="OR83" s="24"/>
      <c r="OS83" s="24"/>
      <c r="OT83" s="24"/>
      <c r="OU83" s="24"/>
      <c r="OV83" s="24"/>
      <c r="OW83" s="24"/>
      <c r="OX83" s="24"/>
      <c r="OY83" s="24"/>
      <c r="OZ83" s="24"/>
      <c r="PA83" s="24"/>
      <c r="PB83" s="24"/>
      <c r="PC83" s="24"/>
      <c r="PD83" s="24"/>
      <c r="PE83" s="24"/>
      <c r="PF83" s="24"/>
      <c r="PG83" s="24"/>
      <c r="PH83" s="24"/>
      <c r="PI83" s="24"/>
      <c r="PJ83" s="24"/>
      <c r="PK83" s="24"/>
      <c r="PL83" s="24"/>
      <c r="PM83" s="24"/>
      <c r="PN83" s="24"/>
      <c r="PO83" s="24"/>
      <c r="PP83" s="24"/>
      <c r="PQ83" s="24"/>
      <c r="PR83" s="24"/>
      <c r="PS83" s="24"/>
      <c r="PT83" s="24"/>
      <c r="PU83" s="24"/>
      <c r="PV83" s="24"/>
      <c r="PW83" s="24"/>
      <c r="PX83" s="24"/>
      <c r="PY83" s="24"/>
      <c r="PZ83" s="24"/>
      <c r="QA83" s="24">
        <f t="shared" si="205"/>
        <v>0</v>
      </c>
      <c r="QB83" s="24">
        <f t="shared" si="206"/>
        <v>0</v>
      </c>
      <c r="QC83" s="24"/>
      <c r="QD83" s="24"/>
      <c r="QE83" s="24"/>
      <c r="QF83" s="24"/>
      <c r="QG83" s="24"/>
      <c r="QH83" s="24"/>
      <c r="QI83" s="24"/>
      <c r="QJ83" s="24"/>
      <c r="QK83" s="24"/>
      <c r="QL83" s="24"/>
      <c r="QM83" s="24"/>
      <c r="QN83" s="24"/>
      <c r="QO83" s="24"/>
      <c r="QP83" s="24"/>
      <c r="QQ83" s="24"/>
      <c r="QR83" s="24"/>
      <c r="QS83" s="24"/>
      <c r="QT83" s="24"/>
      <c r="QU83" s="24"/>
      <c r="QV83" s="24"/>
      <c r="QW83" s="24"/>
      <c r="QX83" s="24"/>
      <c r="QY83" s="24"/>
      <c r="QZ83" s="24"/>
      <c r="RA83" s="24"/>
      <c r="RB83" s="24"/>
      <c r="RC83" s="24"/>
      <c r="RD83" s="24"/>
      <c r="RE83" s="24"/>
      <c r="RF83" s="24"/>
      <c r="RG83" s="24"/>
      <c r="RH83" s="24"/>
      <c r="RI83" s="24"/>
      <c r="RJ83" s="24"/>
      <c r="RK83" s="24"/>
      <c r="RL83" s="24"/>
      <c r="RM83" s="24"/>
      <c r="RN83" s="24"/>
      <c r="RO83" s="24"/>
      <c r="RP83" s="24"/>
      <c r="RQ83" s="24"/>
      <c r="RR83" s="24"/>
      <c r="RS83" s="24"/>
      <c r="RT83" s="24"/>
      <c r="RU83" s="24"/>
      <c r="RV83" s="24"/>
      <c r="RW83" s="24"/>
      <c r="RX83" s="24"/>
      <c r="RY83" s="24"/>
      <c r="RZ83" s="24"/>
      <c r="SA83" s="24"/>
      <c r="SB83" s="24"/>
      <c r="SC83" s="24"/>
      <c r="SD83" s="24"/>
      <c r="SE83" s="24"/>
      <c r="SF83" s="24"/>
      <c r="SG83" s="24"/>
      <c r="SH83" s="24"/>
      <c r="SI83" s="24"/>
      <c r="SJ83" s="24"/>
      <c r="SK83" s="24"/>
      <c r="SL83" s="24"/>
      <c r="SM83" s="24">
        <f t="shared" si="207"/>
        <v>0</v>
      </c>
      <c r="SN83" s="24">
        <f t="shared" si="208"/>
        <v>0</v>
      </c>
      <c r="SO83" s="24"/>
      <c r="SP83" s="24"/>
      <c r="SQ83" s="24"/>
      <c r="SR83" s="24"/>
      <c r="SS83" s="24"/>
      <c r="ST83" s="24"/>
      <c r="SU83" s="24"/>
      <c r="SV83" s="24"/>
      <c r="SW83" s="24"/>
      <c r="SX83" s="24"/>
      <c r="SY83" s="24"/>
      <c r="SZ83" s="24"/>
      <c r="TA83" s="24"/>
      <c r="TB83" s="24"/>
      <c r="TC83" s="24"/>
      <c r="TD83" s="24"/>
      <c r="TE83" s="24"/>
      <c r="TF83" s="24"/>
      <c r="TG83" s="24"/>
      <c r="TH83" s="24"/>
      <c r="TI83" s="24"/>
      <c r="TJ83" s="24"/>
      <c r="TK83" s="24"/>
      <c r="TL83" s="24"/>
      <c r="TM83" s="24"/>
      <c r="TN83" s="24"/>
      <c r="TO83" s="24"/>
      <c r="TP83" s="24"/>
      <c r="TQ83" s="24"/>
      <c r="TR83" s="24"/>
      <c r="TS83" s="24"/>
      <c r="TT83" s="24"/>
      <c r="TU83" s="24"/>
      <c r="TV83" s="24"/>
      <c r="TW83" s="24"/>
      <c r="TX83" s="24"/>
      <c r="TY83" s="24"/>
      <c r="TZ83" s="24"/>
      <c r="UA83" s="24"/>
      <c r="UB83" s="24"/>
      <c r="UC83" s="24"/>
      <c r="UD83" s="24"/>
      <c r="UE83" s="24"/>
      <c r="UF83" s="24"/>
      <c r="UG83" s="24"/>
      <c r="UH83" s="24"/>
      <c r="UI83" s="24"/>
      <c r="UJ83" s="24"/>
      <c r="UK83" s="24"/>
      <c r="UL83" s="24"/>
      <c r="UM83" s="24"/>
      <c r="UN83" s="24"/>
      <c r="UO83" s="24"/>
      <c r="UP83" s="24"/>
      <c r="UQ83" s="24"/>
      <c r="UR83" s="24"/>
      <c r="US83" s="24"/>
      <c r="UT83" s="24"/>
      <c r="UU83" s="24"/>
      <c r="UV83" s="24"/>
      <c r="UW83" s="24">
        <f t="shared" si="209"/>
        <v>0</v>
      </c>
      <c r="UX83" s="24">
        <f t="shared" si="210"/>
        <v>0</v>
      </c>
      <c r="UY83" s="24"/>
      <c r="UZ83" s="24"/>
      <c r="VA83" s="24"/>
      <c r="VB83" s="24"/>
      <c r="VC83" s="24"/>
      <c r="VD83" s="24"/>
      <c r="VE83" s="24"/>
      <c r="VF83" s="24"/>
      <c r="VG83" s="24"/>
      <c r="VH83" s="24"/>
      <c r="VI83" s="24"/>
      <c r="VJ83" s="24"/>
      <c r="VK83" s="24"/>
      <c r="VL83" s="24"/>
      <c r="VM83" s="24"/>
      <c r="VN83" s="24"/>
      <c r="VO83" s="24"/>
      <c r="VP83" s="24"/>
      <c r="VQ83" s="24"/>
      <c r="VR83" s="24"/>
      <c r="VS83" s="24"/>
      <c r="VT83" s="24"/>
      <c r="VU83" s="24"/>
      <c r="VV83" s="24"/>
      <c r="VW83" s="24"/>
      <c r="VX83" s="24"/>
      <c r="VY83" s="24"/>
      <c r="VZ83" s="24"/>
      <c r="WA83" s="24"/>
      <c r="WB83" s="24"/>
      <c r="WC83" s="24"/>
      <c r="WD83" s="24"/>
      <c r="WE83" s="24"/>
      <c r="WF83" s="24"/>
      <c r="WG83" s="24"/>
      <c r="WH83" s="24"/>
      <c r="WI83" s="24"/>
      <c r="WJ83" s="24"/>
      <c r="WK83" s="24"/>
      <c r="WL83" s="24"/>
      <c r="WM83" s="24"/>
      <c r="WN83" s="24"/>
      <c r="WO83" s="24"/>
      <c r="WP83" s="24"/>
      <c r="WQ83" s="24"/>
      <c r="WR83" s="24"/>
      <c r="WS83" s="24"/>
      <c r="WT83" s="24"/>
      <c r="WU83" s="24"/>
      <c r="WV83" s="24"/>
      <c r="WW83" s="24"/>
      <c r="WX83" s="24"/>
      <c r="WY83" s="24"/>
      <c r="WZ83" s="24"/>
      <c r="XA83" s="24"/>
      <c r="XB83" s="24"/>
      <c r="XC83" s="24"/>
      <c r="XD83" s="24"/>
      <c r="XE83" s="24"/>
      <c r="XF83" s="24"/>
      <c r="XG83" s="24"/>
      <c r="XH83" s="24"/>
      <c r="XI83" s="24">
        <f t="shared" si="211"/>
        <v>0</v>
      </c>
      <c r="XJ83" s="24">
        <f t="shared" si="212"/>
        <v>0</v>
      </c>
      <c r="XK83" s="24"/>
      <c r="XL83" s="24"/>
      <c r="XM83" s="24"/>
      <c r="XN83" s="24"/>
      <c r="XO83" s="24"/>
      <c r="XP83" s="24"/>
      <c r="XQ83" s="24"/>
      <c r="XR83" s="24"/>
      <c r="XS83" s="24"/>
      <c r="XT83" s="24"/>
      <c r="XU83" s="24"/>
      <c r="XV83" s="24"/>
      <c r="XW83" s="24"/>
      <c r="XX83" s="24"/>
      <c r="XY83" s="24"/>
      <c r="XZ83" s="24"/>
      <c r="YA83" s="24"/>
      <c r="YB83" s="24"/>
      <c r="YC83" s="24"/>
      <c r="YD83" s="24"/>
      <c r="YE83" s="24"/>
      <c r="YF83" s="24"/>
      <c r="YG83" s="24"/>
      <c r="YH83" s="24"/>
      <c r="YI83" s="24"/>
      <c r="YJ83" s="24"/>
      <c r="YK83" s="24"/>
      <c r="YL83" s="24"/>
      <c r="YM83" s="24"/>
      <c r="YN83" s="24"/>
      <c r="YO83" s="24"/>
      <c r="YP83" s="24"/>
      <c r="YQ83" s="24"/>
      <c r="YR83" s="24"/>
      <c r="YS83" s="24"/>
      <c r="YT83" s="24"/>
      <c r="YU83" s="24"/>
      <c r="YV83" s="24"/>
      <c r="YW83" s="24"/>
      <c r="YX83" s="24"/>
      <c r="YY83" s="24"/>
      <c r="YZ83" s="24"/>
      <c r="ZA83" s="24"/>
      <c r="ZB83" s="24"/>
      <c r="ZC83" s="24"/>
      <c r="ZD83" s="24"/>
      <c r="ZE83" s="24"/>
      <c r="ZF83" s="24"/>
      <c r="ZG83" s="24"/>
      <c r="ZH83" s="24"/>
      <c r="ZI83" s="24"/>
      <c r="ZJ83" s="24"/>
      <c r="ZK83" s="24"/>
      <c r="ZL83" s="24"/>
      <c r="ZM83" s="24"/>
      <c r="ZN83" s="24"/>
      <c r="ZO83" s="24"/>
      <c r="ZP83" s="24"/>
      <c r="ZQ83" s="24"/>
      <c r="ZR83" s="24"/>
      <c r="ZS83" s="24">
        <f t="shared" si="213"/>
        <v>0</v>
      </c>
      <c r="ZT83" s="24">
        <f t="shared" si="214"/>
        <v>0</v>
      </c>
      <c r="ZU83" s="24"/>
      <c r="ZV83" s="24"/>
      <c r="ZW83" s="24"/>
      <c r="ZX83" s="24"/>
      <c r="ZY83" s="24"/>
      <c r="ZZ83" s="24"/>
      <c r="AAA83" s="24"/>
      <c r="AAB83" s="24"/>
      <c r="AAC83" s="24"/>
      <c r="AAD83" s="24"/>
      <c r="AAE83" s="24"/>
      <c r="AAF83" s="24"/>
      <c r="AAG83" s="24"/>
      <c r="AAH83" s="24"/>
      <c r="AAI83" s="24"/>
      <c r="AAJ83" s="24"/>
      <c r="AAK83" s="24"/>
      <c r="AAL83" s="24"/>
      <c r="AAM83" s="24"/>
      <c r="AAN83" s="24"/>
      <c r="AAO83" s="24"/>
      <c r="AAP83" s="24"/>
      <c r="AAQ83" s="24"/>
      <c r="AAR83" s="24"/>
      <c r="AAS83" s="24"/>
      <c r="AAT83" s="24"/>
      <c r="AAU83" s="24"/>
      <c r="AAV83" s="24"/>
      <c r="AAW83" s="24"/>
      <c r="AAX83" s="24"/>
      <c r="AAY83" s="24"/>
      <c r="AAZ83" s="24"/>
      <c r="ABA83" s="24"/>
      <c r="ABB83" s="24"/>
      <c r="ABC83" s="24"/>
      <c r="ABD83" s="24"/>
      <c r="ABE83" s="24"/>
      <c r="ABF83" s="24"/>
      <c r="ABG83" s="24"/>
      <c r="ABH83" s="24"/>
      <c r="ABI83" s="24"/>
      <c r="ABJ83" s="24"/>
      <c r="ABK83" s="24"/>
      <c r="ABL83" s="24"/>
      <c r="ABM83" s="24"/>
      <c r="ABN83" s="24"/>
      <c r="ABO83" s="24"/>
      <c r="ABP83" s="24"/>
      <c r="ABQ83" s="24"/>
      <c r="ABR83" s="24"/>
      <c r="ABS83" s="24"/>
      <c r="ABT83" s="24"/>
      <c r="ABU83" s="24"/>
      <c r="ABV83" s="24"/>
      <c r="ABW83" s="24"/>
      <c r="ABX83" s="24"/>
      <c r="ABY83" s="24"/>
      <c r="ABZ83" s="24"/>
      <c r="ACA83" s="24"/>
      <c r="ACB83" s="24"/>
      <c r="ACC83" s="24"/>
      <c r="ACD83" s="24"/>
      <c r="ACE83" s="24">
        <f t="shared" si="215"/>
        <v>0</v>
      </c>
      <c r="ACF83" s="24"/>
      <c r="ACG83" s="24">
        <f t="shared" si="216"/>
        <v>3257.0600000000004</v>
      </c>
      <c r="ACH83" s="25"/>
      <c r="ACI83" s="71" t="s">
        <v>232</v>
      </c>
      <c r="ACJ83" s="71" t="s">
        <v>100</v>
      </c>
    </row>
    <row r="84" spans="1:764" x14ac:dyDescent="0.25">
      <c r="A84" s="162"/>
      <c r="B84" s="152"/>
      <c r="C84" s="156"/>
      <c r="D84" s="51" t="s">
        <v>9</v>
      </c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24" cm="1">
        <f t="array" ref="BO84">SUMPRODUCT(E84:BM84,--(E$2:BM$2=BO$2))</f>
        <v>0</v>
      </c>
      <c r="BP84" s="24" cm="1">
        <f t="array" ref="BP84">SUMPRODUCT(F84:BN84,--(F$2:BN$2=BP$2))</f>
        <v>0</v>
      </c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4"/>
      <c r="DC84" s="24"/>
      <c r="DD84" s="24"/>
      <c r="DE84" s="24"/>
      <c r="DF84" s="24"/>
      <c r="DG84" s="24"/>
      <c r="DH84" s="24"/>
      <c r="DI84" s="24"/>
      <c r="DJ84" s="24"/>
      <c r="DK84" s="24"/>
      <c r="DL84" s="24"/>
      <c r="DM84" s="24"/>
      <c r="DN84" s="24"/>
      <c r="DO84" s="24"/>
      <c r="DP84" s="24"/>
      <c r="DQ84" s="24"/>
      <c r="DR84" s="24"/>
      <c r="DS84" s="24"/>
      <c r="DT84" s="24"/>
      <c r="DU84" s="24"/>
      <c r="DV84" s="24"/>
      <c r="DW84" s="24" cm="1">
        <f t="array" ref="DW84">SUMPRODUCT(BQ84:DU84,--(BQ$2:DU$2=DW$2))</f>
        <v>0</v>
      </c>
      <c r="DX84" s="24" cm="1">
        <f t="array" ref="DX84">SUMPRODUCT(BR84:DV84,--(BR$2:DV$2=DX$2))</f>
        <v>0</v>
      </c>
      <c r="DY84" s="24"/>
      <c r="DZ84" s="24"/>
      <c r="EA84" s="24"/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  <c r="FC84" s="24"/>
      <c r="FD84" s="24"/>
      <c r="FE84" s="24"/>
      <c r="FF84" s="24"/>
      <c r="FG84" s="24"/>
      <c r="FH84" s="24"/>
      <c r="FI84" s="24"/>
      <c r="FJ84" s="24"/>
      <c r="FK84" s="24"/>
      <c r="FL84" s="24"/>
      <c r="FM84" s="24"/>
      <c r="FN84" s="24"/>
      <c r="FO84" s="24"/>
      <c r="FP84" s="24"/>
      <c r="FQ84" s="24"/>
      <c r="FR84" s="24"/>
      <c r="FS84" s="24"/>
      <c r="FT84" s="24"/>
      <c r="FU84" s="24"/>
      <c r="FV84" s="24"/>
      <c r="FW84" s="24"/>
      <c r="FX84" s="24"/>
      <c r="FY84" s="24"/>
      <c r="FZ84" s="24"/>
      <c r="GA84" s="24"/>
      <c r="GB84" s="24"/>
      <c r="GC84" s="24"/>
      <c r="GD84" s="24"/>
      <c r="GE84" s="24"/>
      <c r="GF84" s="24"/>
      <c r="GG84" s="24"/>
      <c r="GH84" s="24"/>
      <c r="GI84" s="24" cm="1">
        <f t="array" ref="GI84">SUMPRODUCT(DY84:GG84,--(DY$2:GG$2=GI$2))</f>
        <v>0</v>
      </c>
      <c r="GJ84" s="24" cm="1">
        <f t="array" ref="GJ84">SUMPRODUCT(DZ84:GH84,--(DZ$2:GH$2=GJ$2))</f>
        <v>0</v>
      </c>
      <c r="GK84" s="24"/>
      <c r="GL84" s="24"/>
      <c r="GM84" s="24"/>
      <c r="GN84" s="24"/>
      <c r="GO84" s="24"/>
      <c r="GP84" s="24"/>
      <c r="GQ84" s="24"/>
      <c r="GR84" s="24"/>
      <c r="GS84" s="24"/>
      <c r="GT84" s="24"/>
      <c r="GU84" s="24"/>
      <c r="GV84" s="24"/>
      <c r="GW84" s="24"/>
      <c r="GX84" s="24"/>
      <c r="GY84" s="24"/>
      <c r="GZ84" s="24"/>
      <c r="HA84" s="24"/>
      <c r="HB84" s="24"/>
      <c r="HC84" s="24"/>
      <c r="HD84" s="24"/>
      <c r="HE84" s="24"/>
      <c r="HF84" s="24"/>
      <c r="HG84" s="24"/>
      <c r="HH84" s="24"/>
      <c r="HI84" s="24"/>
      <c r="HJ84" s="24"/>
      <c r="HK84" s="24"/>
      <c r="HL84" s="24"/>
      <c r="HM84" s="24"/>
      <c r="HN84" s="24"/>
      <c r="HO84" s="24"/>
      <c r="HP84" s="24"/>
      <c r="HQ84" s="24"/>
      <c r="HR84" s="24"/>
      <c r="HS84" s="24"/>
      <c r="HT84" s="24"/>
      <c r="HU84" s="24"/>
      <c r="HV84" s="24"/>
      <c r="HW84" s="24"/>
      <c r="HX84" s="24"/>
      <c r="HY84" s="24"/>
      <c r="HZ84" s="24"/>
      <c r="IA84" s="24"/>
      <c r="IB84" s="24"/>
      <c r="IC84" s="24"/>
      <c r="ID84" s="24"/>
      <c r="IE84" s="24"/>
      <c r="IF84" s="24"/>
      <c r="IG84" s="24"/>
      <c r="IH84" s="24"/>
      <c r="II84" s="24"/>
      <c r="IJ84" s="24"/>
      <c r="IK84" s="24"/>
      <c r="IL84" s="24"/>
      <c r="IM84" s="24"/>
      <c r="IN84" s="24"/>
      <c r="IO84" s="24"/>
      <c r="IP84" s="24"/>
      <c r="IQ84" s="24"/>
      <c r="IR84" s="24"/>
      <c r="IS84" s="24">
        <f t="shared" si="199"/>
        <v>0</v>
      </c>
      <c r="IT84" s="24">
        <f t="shared" si="200"/>
        <v>0</v>
      </c>
      <c r="IU84" s="24"/>
      <c r="IV84" s="24"/>
      <c r="IW84" s="24"/>
      <c r="IX84" s="24"/>
      <c r="IY84" s="24"/>
      <c r="IZ84" s="24"/>
      <c r="JA84" s="24"/>
      <c r="JB84" s="24"/>
      <c r="JC84" s="24"/>
      <c r="JD84" s="24"/>
      <c r="JE84" s="24"/>
      <c r="JF84" s="24"/>
      <c r="JG84" s="24"/>
      <c r="JH84" s="24"/>
      <c r="JI84" s="24"/>
      <c r="JJ84" s="24"/>
      <c r="JK84" s="24"/>
      <c r="JL84" s="24"/>
      <c r="JM84" s="24"/>
      <c r="JN84" s="24"/>
      <c r="JO84" s="24"/>
      <c r="JP84" s="24"/>
      <c r="JQ84" s="24"/>
      <c r="JR84" s="24"/>
      <c r="JS84" s="24"/>
      <c r="JT84" s="24"/>
      <c r="JU84" s="24"/>
      <c r="JV84" s="24"/>
      <c r="JW84" s="24"/>
      <c r="JX84" s="24"/>
      <c r="JY84" s="24"/>
      <c r="JZ84" s="24"/>
      <c r="KA84" s="24"/>
      <c r="KB84" s="24"/>
      <c r="KC84" s="24"/>
      <c r="KD84" s="24"/>
      <c r="KE84" s="24"/>
      <c r="KF84" s="24"/>
      <c r="KG84" s="24"/>
      <c r="KH84" s="24"/>
      <c r="KI84" s="24"/>
      <c r="KJ84" s="24"/>
      <c r="KK84" s="24"/>
      <c r="KL84" s="24"/>
      <c r="KM84" s="24"/>
      <c r="KN84" s="24"/>
      <c r="KO84" s="24"/>
      <c r="KP84" s="24"/>
      <c r="KQ84" s="24"/>
      <c r="KR84" s="24"/>
      <c r="KS84" s="24"/>
      <c r="KT84" s="24"/>
      <c r="KU84" s="24"/>
      <c r="KV84" s="24"/>
      <c r="KW84" s="24"/>
      <c r="KX84" s="24"/>
      <c r="KY84" s="24"/>
      <c r="KZ84" s="24"/>
      <c r="LA84" s="24"/>
      <c r="LB84" s="24"/>
      <c r="LC84" s="24"/>
      <c r="LD84" s="24"/>
      <c r="LE84" s="24">
        <f t="shared" si="201"/>
        <v>0</v>
      </c>
      <c r="LF84" s="24">
        <f t="shared" si="202"/>
        <v>0</v>
      </c>
      <c r="LG84" s="24"/>
      <c r="LH84" s="24"/>
      <c r="LI84" s="24"/>
      <c r="LJ84" s="24"/>
      <c r="LK84" s="24"/>
      <c r="LL84" s="24"/>
      <c r="LM84" s="24"/>
      <c r="LN84" s="24"/>
      <c r="LO84" s="24"/>
      <c r="LP84" s="24"/>
      <c r="LQ84" s="24"/>
      <c r="LR84" s="24"/>
      <c r="LS84" s="24"/>
      <c r="LT84" s="24"/>
      <c r="LU84" s="24"/>
      <c r="LV84" s="24"/>
      <c r="LW84" s="24"/>
      <c r="LX84" s="24"/>
      <c r="LY84" s="24"/>
      <c r="LZ84" s="24"/>
      <c r="MA84" s="24"/>
      <c r="MB84" s="24"/>
      <c r="MC84" s="24"/>
      <c r="MD84" s="24"/>
      <c r="ME84" s="24"/>
      <c r="MF84" s="24"/>
      <c r="MG84" s="24"/>
      <c r="MH84" s="24"/>
      <c r="MI84" s="24"/>
      <c r="MJ84" s="24"/>
      <c r="MK84" s="24"/>
      <c r="ML84" s="24"/>
      <c r="MM84" s="24"/>
      <c r="MN84" s="24"/>
      <c r="MO84" s="24"/>
      <c r="MP84" s="24"/>
      <c r="MQ84" s="24"/>
      <c r="MR84" s="24"/>
      <c r="MS84" s="24"/>
      <c r="MT84" s="24"/>
      <c r="MU84" s="24"/>
      <c r="MV84" s="24"/>
      <c r="MW84" s="24"/>
      <c r="MX84" s="24"/>
      <c r="MY84" s="24"/>
      <c r="MZ84" s="24"/>
      <c r="NA84" s="24"/>
      <c r="NB84" s="24"/>
      <c r="NC84" s="24"/>
      <c r="ND84" s="24"/>
      <c r="NE84" s="24"/>
      <c r="NF84" s="24"/>
      <c r="NG84" s="24"/>
      <c r="NH84" s="24"/>
      <c r="NI84" s="24"/>
      <c r="NJ84" s="24"/>
      <c r="NK84" s="24"/>
      <c r="NL84" s="24"/>
      <c r="NM84" s="24"/>
      <c r="NN84" s="24"/>
      <c r="NO84" s="24">
        <f t="shared" si="203"/>
        <v>0</v>
      </c>
      <c r="NP84" s="24">
        <f t="shared" si="204"/>
        <v>0</v>
      </c>
      <c r="NQ84" s="24"/>
      <c r="NR84" s="24"/>
      <c r="NS84" s="24"/>
      <c r="NT84" s="24"/>
      <c r="NU84" s="24"/>
      <c r="NV84" s="24"/>
      <c r="NW84" s="24"/>
      <c r="NX84" s="24"/>
      <c r="NY84" s="24"/>
      <c r="NZ84" s="24"/>
      <c r="OA84" s="24"/>
      <c r="OB84" s="24"/>
      <c r="OC84" s="24"/>
      <c r="OD84" s="24"/>
      <c r="OE84" s="24"/>
      <c r="OF84" s="24"/>
      <c r="OG84" s="24"/>
      <c r="OH84" s="24"/>
      <c r="OI84" s="24"/>
      <c r="OJ84" s="24"/>
      <c r="OK84" s="24"/>
      <c r="OL84" s="24"/>
      <c r="OM84" s="24"/>
      <c r="ON84" s="24"/>
      <c r="OO84" s="24"/>
      <c r="OP84" s="24"/>
      <c r="OQ84" s="24"/>
      <c r="OR84" s="24"/>
      <c r="OS84" s="24"/>
      <c r="OT84" s="24"/>
      <c r="OU84" s="24"/>
      <c r="OV84" s="24"/>
      <c r="OW84" s="24"/>
      <c r="OX84" s="24"/>
      <c r="OY84" s="24"/>
      <c r="OZ84" s="24"/>
      <c r="PA84" s="24"/>
      <c r="PB84" s="24"/>
      <c r="PC84" s="24"/>
      <c r="PD84" s="24"/>
      <c r="PE84" s="24"/>
      <c r="PF84" s="24"/>
      <c r="PG84" s="24"/>
      <c r="PH84" s="24"/>
      <c r="PI84" s="24"/>
      <c r="PJ84" s="24"/>
      <c r="PK84" s="24"/>
      <c r="PL84" s="24"/>
      <c r="PM84" s="24"/>
      <c r="PN84" s="24"/>
      <c r="PO84" s="24"/>
      <c r="PP84" s="24"/>
      <c r="PQ84" s="24"/>
      <c r="PR84" s="24"/>
      <c r="PS84" s="24"/>
      <c r="PT84" s="24"/>
      <c r="PU84" s="24"/>
      <c r="PV84" s="24"/>
      <c r="PW84" s="24"/>
      <c r="PX84" s="24"/>
      <c r="PY84" s="24"/>
      <c r="PZ84" s="24"/>
      <c r="QA84" s="24">
        <f t="shared" si="205"/>
        <v>0</v>
      </c>
      <c r="QB84" s="24">
        <f t="shared" si="206"/>
        <v>0</v>
      </c>
      <c r="QC84" s="24"/>
      <c r="QD84" s="24"/>
      <c r="QE84" s="24"/>
      <c r="QF84" s="24"/>
      <c r="QG84" s="24"/>
      <c r="QH84" s="24"/>
      <c r="QI84" s="24"/>
      <c r="QJ84" s="24"/>
      <c r="QK84" s="24"/>
      <c r="QL84" s="24"/>
      <c r="QM84" s="24"/>
      <c r="QN84" s="24"/>
      <c r="QO84" s="24"/>
      <c r="QP84" s="24"/>
      <c r="QQ84" s="24"/>
      <c r="QR84" s="24"/>
      <c r="QS84" s="24"/>
      <c r="QT84" s="24"/>
      <c r="QU84" s="24"/>
      <c r="QV84" s="24"/>
      <c r="QW84" s="24"/>
      <c r="QX84" s="24"/>
      <c r="QY84" s="24"/>
      <c r="QZ84" s="24"/>
      <c r="RA84" s="24"/>
      <c r="RB84" s="24"/>
      <c r="RC84" s="24"/>
      <c r="RD84" s="24"/>
      <c r="RE84" s="24"/>
      <c r="RF84" s="24"/>
      <c r="RG84" s="24"/>
      <c r="RH84" s="24"/>
      <c r="RI84" s="24"/>
      <c r="RJ84" s="24"/>
      <c r="RK84" s="24"/>
      <c r="RL84" s="24"/>
      <c r="RM84" s="24"/>
      <c r="RN84" s="24"/>
      <c r="RO84" s="24"/>
      <c r="RP84" s="24"/>
      <c r="RQ84" s="24"/>
      <c r="RR84" s="24"/>
      <c r="RS84" s="24"/>
      <c r="RT84" s="24"/>
      <c r="RU84" s="24"/>
      <c r="RV84" s="24"/>
      <c r="RW84" s="24"/>
      <c r="RX84" s="24"/>
      <c r="RY84" s="24"/>
      <c r="RZ84" s="24"/>
      <c r="SA84" s="24"/>
      <c r="SB84" s="24"/>
      <c r="SC84" s="24"/>
      <c r="SD84" s="24"/>
      <c r="SE84" s="24"/>
      <c r="SF84" s="24"/>
      <c r="SG84" s="24"/>
      <c r="SH84" s="24"/>
      <c r="SI84" s="24"/>
      <c r="SJ84" s="24"/>
      <c r="SK84" s="24"/>
      <c r="SL84" s="24"/>
      <c r="SM84" s="24">
        <f t="shared" si="207"/>
        <v>0</v>
      </c>
      <c r="SN84" s="24">
        <f t="shared" si="208"/>
        <v>0</v>
      </c>
      <c r="SO84" s="24"/>
      <c r="SP84" s="24"/>
      <c r="SQ84" s="24"/>
      <c r="SR84" s="24"/>
      <c r="SS84" s="24"/>
      <c r="ST84" s="24"/>
      <c r="SU84" s="24"/>
      <c r="SV84" s="24"/>
      <c r="SW84" s="24"/>
      <c r="SX84" s="24"/>
      <c r="SY84" s="24"/>
      <c r="SZ84" s="24"/>
      <c r="TA84" s="24"/>
      <c r="TB84" s="24"/>
      <c r="TC84" s="24"/>
      <c r="TD84" s="24"/>
      <c r="TE84" s="24"/>
      <c r="TF84" s="24"/>
      <c r="TG84" s="24"/>
      <c r="TH84" s="24"/>
      <c r="TI84" s="24"/>
      <c r="TJ84" s="24"/>
      <c r="TK84" s="24"/>
      <c r="TL84" s="24"/>
      <c r="TM84" s="24"/>
      <c r="TN84" s="24"/>
      <c r="TO84" s="24"/>
      <c r="TP84" s="24"/>
      <c r="TQ84" s="24"/>
      <c r="TR84" s="24"/>
      <c r="TS84" s="24"/>
      <c r="TT84" s="24"/>
      <c r="TU84" s="24"/>
      <c r="TV84" s="24"/>
      <c r="TW84" s="24"/>
      <c r="TX84" s="24"/>
      <c r="TY84" s="24"/>
      <c r="TZ84" s="24"/>
      <c r="UA84" s="24"/>
      <c r="UB84" s="24"/>
      <c r="UC84" s="24"/>
      <c r="UD84" s="24"/>
      <c r="UE84" s="24"/>
      <c r="UF84" s="24"/>
      <c r="UG84" s="24"/>
      <c r="UH84" s="24"/>
      <c r="UI84" s="24"/>
      <c r="UJ84" s="24"/>
      <c r="UK84" s="24"/>
      <c r="UL84" s="24"/>
      <c r="UM84" s="24"/>
      <c r="UN84" s="24"/>
      <c r="UO84" s="24"/>
      <c r="UP84" s="24"/>
      <c r="UQ84" s="24"/>
      <c r="UR84" s="24"/>
      <c r="US84" s="24"/>
      <c r="UT84" s="24"/>
      <c r="UU84" s="24"/>
      <c r="UV84" s="24"/>
      <c r="UW84" s="24">
        <f t="shared" si="209"/>
        <v>0</v>
      </c>
      <c r="UX84" s="24">
        <f t="shared" si="210"/>
        <v>0</v>
      </c>
      <c r="UY84" s="24"/>
      <c r="UZ84" s="24"/>
      <c r="VA84" s="24"/>
      <c r="VB84" s="24"/>
      <c r="VC84" s="24"/>
      <c r="VD84" s="24"/>
      <c r="VE84" s="24"/>
      <c r="VF84" s="24"/>
      <c r="VG84" s="24"/>
      <c r="VH84" s="24"/>
      <c r="VI84" s="24"/>
      <c r="VJ84" s="24"/>
      <c r="VK84" s="24"/>
      <c r="VL84" s="24"/>
      <c r="VM84" s="24"/>
      <c r="VN84" s="24"/>
      <c r="VO84" s="24"/>
      <c r="VP84" s="24"/>
      <c r="VQ84" s="24"/>
      <c r="VR84" s="24"/>
      <c r="VS84" s="24"/>
      <c r="VT84" s="24"/>
      <c r="VU84" s="24"/>
      <c r="VV84" s="24"/>
      <c r="VW84" s="24"/>
      <c r="VX84" s="24"/>
      <c r="VY84" s="24"/>
      <c r="VZ84" s="24"/>
      <c r="WA84" s="24"/>
      <c r="WB84" s="24"/>
      <c r="WC84" s="24"/>
      <c r="WD84" s="24"/>
      <c r="WE84" s="24"/>
      <c r="WF84" s="24"/>
      <c r="WG84" s="24"/>
      <c r="WH84" s="24"/>
      <c r="WI84" s="24"/>
      <c r="WJ84" s="24"/>
      <c r="WK84" s="24"/>
      <c r="WL84" s="24"/>
      <c r="WM84" s="24"/>
      <c r="WN84" s="24"/>
      <c r="WO84" s="24"/>
      <c r="WP84" s="24"/>
      <c r="WQ84" s="24"/>
      <c r="WR84" s="24"/>
      <c r="WS84" s="24"/>
      <c r="WT84" s="24"/>
      <c r="WU84" s="24"/>
      <c r="WV84" s="24"/>
      <c r="WW84" s="24"/>
      <c r="WX84" s="24"/>
      <c r="WY84" s="24"/>
      <c r="WZ84" s="24"/>
      <c r="XA84" s="24"/>
      <c r="XB84" s="24"/>
      <c r="XC84" s="24"/>
      <c r="XD84" s="24"/>
      <c r="XE84" s="24"/>
      <c r="XF84" s="24"/>
      <c r="XG84" s="24"/>
      <c r="XH84" s="24"/>
      <c r="XI84" s="24">
        <f t="shared" si="211"/>
        <v>0</v>
      </c>
      <c r="XJ84" s="24">
        <f t="shared" si="212"/>
        <v>0</v>
      </c>
      <c r="XK84" s="24"/>
      <c r="XL84" s="24"/>
      <c r="XM84" s="24"/>
      <c r="XN84" s="24"/>
      <c r="XO84" s="24"/>
      <c r="XP84" s="24"/>
      <c r="XQ84" s="24"/>
      <c r="XR84" s="24"/>
      <c r="XS84" s="24"/>
      <c r="XT84" s="24"/>
      <c r="XU84" s="24"/>
      <c r="XV84" s="24"/>
      <c r="XW84" s="24"/>
      <c r="XX84" s="24"/>
      <c r="XY84" s="24"/>
      <c r="XZ84" s="24"/>
      <c r="YA84" s="24"/>
      <c r="YB84" s="24"/>
      <c r="YC84" s="24"/>
      <c r="YD84" s="24"/>
      <c r="YE84" s="24"/>
      <c r="YF84" s="24"/>
      <c r="YG84" s="24"/>
      <c r="YH84" s="24"/>
      <c r="YI84" s="24"/>
      <c r="YJ84" s="24"/>
      <c r="YK84" s="24"/>
      <c r="YL84" s="24"/>
      <c r="YM84" s="24"/>
      <c r="YN84" s="24"/>
      <c r="YO84" s="24"/>
      <c r="YP84" s="24"/>
      <c r="YQ84" s="24"/>
      <c r="YR84" s="24"/>
      <c r="YS84" s="24"/>
      <c r="YT84" s="24"/>
      <c r="YU84" s="24"/>
      <c r="YV84" s="24"/>
      <c r="YW84" s="24"/>
      <c r="YX84" s="24"/>
      <c r="YY84" s="24"/>
      <c r="YZ84" s="24"/>
      <c r="ZA84" s="24"/>
      <c r="ZB84" s="24"/>
      <c r="ZC84" s="24"/>
      <c r="ZD84" s="24"/>
      <c r="ZE84" s="24"/>
      <c r="ZF84" s="24"/>
      <c r="ZG84" s="24"/>
      <c r="ZH84" s="24"/>
      <c r="ZI84" s="24"/>
      <c r="ZJ84" s="24"/>
      <c r="ZK84" s="24"/>
      <c r="ZL84" s="24"/>
      <c r="ZM84" s="24"/>
      <c r="ZN84" s="24"/>
      <c r="ZO84" s="24"/>
      <c r="ZP84" s="24"/>
      <c r="ZQ84" s="24"/>
      <c r="ZR84" s="24"/>
      <c r="ZS84" s="24">
        <f t="shared" si="213"/>
        <v>0</v>
      </c>
      <c r="ZT84" s="24">
        <f t="shared" si="214"/>
        <v>0</v>
      </c>
      <c r="ZU84" s="24"/>
      <c r="ZV84" s="24"/>
      <c r="ZW84" s="24"/>
      <c r="ZX84" s="24"/>
      <c r="ZY84" s="24"/>
      <c r="ZZ84" s="24"/>
      <c r="AAA84" s="24"/>
      <c r="AAB84" s="24"/>
      <c r="AAC84" s="24"/>
      <c r="AAD84" s="24"/>
      <c r="AAE84" s="24"/>
      <c r="AAF84" s="24"/>
      <c r="AAG84" s="24"/>
      <c r="AAH84" s="24"/>
      <c r="AAI84" s="24"/>
      <c r="AAJ84" s="24"/>
      <c r="AAK84" s="24"/>
      <c r="AAL84" s="24"/>
      <c r="AAM84" s="24"/>
      <c r="AAN84" s="24"/>
      <c r="AAO84" s="24"/>
      <c r="AAP84" s="24"/>
      <c r="AAQ84" s="24"/>
      <c r="AAR84" s="24"/>
      <c r="AAS84" s="24"/>
      <c r="AAT84" s="24"/>
      <c r="AAU84" s="24"/>
      <c r="AAV84" s="24"/>
      <c r="AAW84" s="24"/>
      <c r="AAX84" s="24"/>
      <c r="AAY84" s="24"/>
      <c r="AAZ84" s="24"/>
      <c r="ABA84" s="24"/>
      <c r="ABB84" s="24"/>
      <c r="ABC84" s="24"/>
      <c r="ABD84" s="24"/>
      <c r="ABE84" s="24"/>
      <c r="ABF84" s="24"/>
      <c r="ABG84" s="24"/>
      <c r="ABH84" s="24"/>
      <c r="ABI84" s="24"/>
      <c r="ABJ84" s="24"/>
      <c r="ABK84" s="24"/>
      <c r="ABL84" s="24"/>
      <c r="ABM84" s="24"/>
      <c r="ABN84" s="24"/>
      <c r="ABO84" s="24"/>
      <c r="ABP84" s="24"/>
      <c r="ABQ84" s="24"/>
      <c r="ABR84" s="24"/>
      <c r="ABS84" s="24"/>
      <c r="ABT84" s="24"/>
      <c r="ABU84" s="24"/>
      <c r="ABV84" s="24"/>
      <c r="ABW84" s="24"/>
      <c r="ABX84" s="24"/>
      <c r="ABY84" s="24"/>
      <c r="ABZ84" s="24"/>
      <c r="ACA84" s="24"/>
      <c r="ACB84" s="24"/>
      <c r="ACC84" s="24"/>
      <c r="ACD84" s="24"/>
      <c r="ACE84" s="24">
        <f t="shared" si="215"/>
        <v>0</v>
      </c>
      <c r="ACF84" s="24"/>
      <c r="ACG84" s="24">
        <f t="shared" si="216"/>
        <v>0</v>
      </c>
      <c r="ACH84" s="25"/>
      <c r="ACI84" s="71" t="s">
        <v>233</v>
      </c>
      <c r="ACJ84" s="71" t="s">
        <v>100</v>
      </c>
    </row>
    <row r="85" spans="1:764" x14ac:dyDescent="0.25">
      <c r="A85" s="162"/>
      <c r="B85" s="152"/>
      <c r="C85" s="157" t="s">
        <v>2</v>
      </c>
      <c r="D85" s="50" t="s">
        <v>6</v>
      </c>
      <c r="E85" s="74">
        <v>127.36000000000001</v>
      </c>
      <c r="F85" s="75">
        <v>127.23999999999998</v>
      </c>
      <c r="G85" s="75">
        <v>90.86</v>
      </c>
      <c r="H85" s="75">
        <v>94.47999999999999</v>
      </c>
      <c r="I85" s="75">
        <v>85.259999999999991</v>
      </c>
      <c r="J85" s="75">
        <v>85.34</v>
      </c>
      <c r="K85" s="75">
        <v>61.24</v>
      </c>
      <c r="L85" s="75">
        <v>60.92</v>
      </c>
      <c r="M85" s="75">
        <v>62.319999999999993</v>
      </c>
      <c r="N85" s="75">
        <v>62.68</v>
      </c>
      <c r="O85" s="75">
        <v>126</v>
      </c>
      <c r="P85" s="75">
        <v>124.76000000000002</v>
      </c>
      <c r="Q85" s="75">
        <v>162.22</v>
      </c>
      <c r="R85" s="75">
        <v>162.23999999999998</v>
      </c>
      <c r="S85" s="75">
        <v>90.94</v>
      </c>
      <c r="T85" s="75">
        <v>90.16</v>
      </c>
      <c r="U85" s="75">
        <v>92.399999999999991</v>
      </c>
      <c r="V85" s="75">
        <v>92.94</v>
      </c>
      <c r="W85" s="75">
        <v>162.12</v>
      </c>
      <c r="X85" s="75">
        <v>162.32</v>
      </c>
      <c r="Y85" s="75">
        <v>83.94</v>
      </c>
      <c r="Z85" s="75">
        <v>84.72</v>
      </c>
      <c r="AA85" s="75">
        <v>146.47999999999999</v>
      </c>
      <c r="AB85" s="75">
        <v>147.12</v>
      </c>
      <c r="AC85" s="75">
        <v>80.8</v>
      </c>
      <c r="AD85" s="75">
        <v>80.42</v>
      </c>
      <c r="AE85" s="75">
        <v>49.400000000000006</v>
      </c>
      <c r="AF85" s="75">
        <v>49.44</v>
      </c>
      <c r="AG85" s="75">
        <v>53.64</v>
      </c>
      <c r="AH85" s="75">
        <v>54.6</v>
      </c>
      <c r="AI85" s="75"/>
      <c r="AJ85" s="75"/>
      <c r="AK85" s="75">
        <v>24.88</v>
      </c>
      <c r="AL85" s="75">
        <v>26.06</v>
      </c>
      <c r="AM85" s="75">
        <v>84.88</v>
      </c>
      <c r="AN85" s="75">
        <v>85.14</v>
      </c>
      <c r="AO85" s="75">
        <v>25.48</v>
      </c>
      <c r="AP85" s="75">
        <v>25.52</v>
      </c>
      <c r="AQ85" s="75"/>
      <c r="AR85" s="75"/>
      <c r="AS85" s="75">
        <v>42.94</v>
      </c>
      <c r="AT85" s="75">
        <v>42.9</v>
      </c>
      <c r="AU85" s="75">
        <v>144.58000000000001</v>
      </c>
      <c r="AV85" s="75">
        <v>145.26</v>
      </c>
      <c r="AW85" s="75"/>
      <c r="AX85" s="75"/>
      <c r="AY85" s="75">
        <v>27.08</v>
      </c>
      <c r="AZ85" s="75">
        <v>27.14</v>
      </c>
      <c r="BA85" s="75">
        <v>64.78</v>
      </c>
      <c r="BB85" s="75">
        <v>65.06</v>
      </c>
      <c r="BC85" s="75">
        <v>52.24</v>
      </c>
      <c r="BD85" s="75">
        <v>52.4</v>
      </c>
      <c r="BE85" s="75">
        <v>29.22</v>
      </c>
      <c r="BF85" s="75">
        <v>29.38</v>
      </c>
      <c r="BG85" s="75">
        <v>74.88</v>
      </c>
      <c r="BH85" s="75">
        <v>75.02000000000001</v>
      </c>
      <c r="BI85" s="75">
        <v>151.34</v>
      </c>
      <c r="BJ85" s="75">
        <v>151.62</v>
      </c>
      <c r="BK85" s="75">
        <v>55.22</v>
      </c>
      <c r="BL85" s="75">
        <v>55.46</v>
      </c>
      <c r="BM85" s="75">
        <v>25.52</v>
      </c>
      <c r="BN85" s="75">
        <v>25.56</v>
      </c>
      <c r="BO85" s="24" cm="1">
        <f t="array" ref="BO85">SUMPRODUCT(E85:BM85,--(E$2:BM$2=BO$2))</f>
        <v>2278.02</v>
      </c>
      <c r="BP85" s="24" cm="1">
        <f t="array" ref="BP85">SUMPRODUCT(F85:BN85,--(F$2:BN$2=BP$2))</f>
        <v>2285.9000000000005</v>
      </c>
      <c r="BQ85" s="24"/>
      <c r="BR85" s="24"/>
      <c r="BS85" s="24">
        <v>61.64</v>
      </c>
      <c r="BT85" s="24">
        <v>60.980000000000004</v>
      </c>
      <c r="BU85" s="24">
        <v>106.68</v>
      </c>
      <c r="BV85" s="24">
        <v>106.06</v>
      </c>
      <c r="BW85" s="24">
        <v>26.5</v>
      </c>
      <c r="BX85" s="24">
        <v>26.44</v>
      </c>
      <c r="BY85" s="24">
        <v>51.82</v>
      </c>
      <c r="BZ85" s="24">
        <v>51.879999999999995</v>
      </c>
      <c r="CA85" s="24"/>
      <c r="CB85" s="24"/>
      <c r="CC85" s="24">
        <v>28.44</v>
      </c>
      <c r="CD85" s="24">
        <v>28.5</v>
      </c>
      <c r="CE85" s="24">
        <v>55.28</v>
      </c>
      <c r="CF85" s="24">
        <v>55.42</v>
      </c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>
        <v>30.1</v>
      </c>
      <c r="CT85" s="24">
        <v>30.22</v>
      </c>
      <c r="CU85" s="24"/>
      <c r="CV85" s="24"/>
      <c r="CW85" s="24"/>
      <c r="CX85" s="24"/>
      <c r="CY85" s="24">
        <v>29.46</v>
      </c>
      <c r="CZ85" s="24">
        <v>29.38</v>
      </c>
      <c r="DA85" s="24">
        <v>28.72</v>
      </c>
      <c r="DB85" s="24">
        <v>28.9</v>
      </c>
      <c r="DC85" s="24"/>
      <c r="DD85" s="24"/>
      <c r="DE85" s="24">
        <v>24.36</v>
      </c>
      <c r="DF85" s="24">
        <v>24.42</v>
      </c>
      <c r="DG85" s="24">
        <v>22.32</v>
      </c>
      <c r="DH85" s="24">
        <v>22.42</v>
      </c>
      <c r="DI85" s="24">
        <v>25.6</v>
      </c>
      <c r="DJ85" s="24">
        <v>25.6</v>
      </c>
      <c r="DK85" s="24">
        <v>26.96</v>
      </c>
      <c r="DL85" s="24">
        <v>27.1</v>
      </c>
      <c r="DM85" s="24">
        <v>27.32</v>
      </c>
      <c r="DN85" s="24">
        <v>27.36</v>
      </c>
      <c r="DO85" s="24">
        <v>98.14</v>
      </c>
      <c r="DP85" s="24">
        <v>98.38</v>
      </c>
      <c r="DQ85" s="24"/>
      <c r="DR85" s="24"/>
      <c r="DS85" s="24">
        <v>63.92</v>
      </c>
      <c r="DT85" s="24">
        <v>63.86</v>
      </c>
      <c r="DU85" s="24">
        <v>30.34</v>
      </c>
      <c r="DV85" s="24">
        <v>30.38</v>
      </c>
      <c r="DW85" s="24" cm="1">
        <f t="array" ref="DW85">SUMPRODUCT(BQ85:DU85,--(BQ$2:DU$2=DW$2))</f>
        <v>737.6</v>
      </c>
      <c r="DX85" s="24" cm="1">
        <f t="array" ref="DX85">SUMPRODUCT(BR85:DV85,--(BR$2:DV$2=DX$2))</f>
        <v>737.30000000000007</v>
      </c>
      <c r="DY85" s="24">
        <v>82.32</v>
      </c>
      <c r="DZ85" s="24">
        <v>82.2</v>
      </c>
      <c r="EA85" s="24">
        <v>78.03</v>
      </c>
      <c r="EB85" s="24">
        <v>78.34</v>
      </c>
      <c r="EC85" s="24">
        <v>24.84</v>
      </c>
      <c r="ED85" s="24">
        <v>24.8</v>
      </c>
      <c r="EE85" s="24">
        <v>93.600000000000009</v>
      </c>
      <c r="EF85" s="24">
        <v>93.44</v>
      </c>
      <c r="EG85" s="24">
        <v>56.16</v>
      </c>
      <c r="EH85" s="24">
        <v>56.18</v>
      </c>
      <c r="EI85" s="24">
        <v>29.9</v>
      </c>
      <c r="EJ85" s="24">
        <v>30</v>
      </c>
      <c r="EK85" s="24">
        <v>56.760000000000005</v>
      </c>
      <c r="EL85" s="24">
        <v>56.8</v>
      </c>
      <c r="EM85" s="24"/>
      <c r="EN85" s="24"/>
      <c r="EO85" s="24">
        <v>53.5</v>
      </c>
      <c r="EP85" s="24">
        <v>53.42</v>
      </c>
      <c r="EQ85" s="24">
        <v>76.639999999999986</v>
      </c>
      <c r="ER85" s="24">
        <v>76.680000000000007</v>
      </c>
      <c r="ES85" s="24">
        <v>30.4</v>
      </c>
      <c r="ET85" s="24">
        <v>30.54</v>
      </c>
      <c r="EU85" s="24">
        <v>82.48</v>
      </c>
      <c r="EV85" s="24">
        <v>82.44</v>
      </c>
      <c r="EW85" s="24">
        <v>61.72</v>
      </c>
      <c r="EX85" s="24">
        <v>61.760000000000005</v>
      </c>
      <c r="EY85" s="24">
        <v>98.38</v>
      </c>
      <c r="EZ85" s="24">
        <v>98.48</v>
      </c>
      <c r="FA85" s="24">
        <v>36.520000000000003</v>
      </c>
      <c r="FB85" s="24">
        <v>36.61</v>
      </c>
      <c r="FC85" s="24">
        <v>69.259999999999991</v>
      </c>
      <c r="FD85" s="24">
        <v>69.14</v>
      </c>
      <c r="FE85" s="24">
        <v>63.68</v>
      </c>
      <c r="FF85" s="24">
        <v>63.3</v>
      </c>
      <c r="FG85" s="24">
        <v>36.14</v>
      </c>
      <c r="FH85" s="24">
        <v>36.07</v>
      </c>
      <c r="FI85" s="24">
        <v>61.3</v>
      </c>
      <c r="FJ85" s="24">
        <v>61.36</v>
      </c>
      <c r="FK85" s="24"/>
      <c r="FL85" s="24"/>
      <c r="FM85" s="24">
        <v>34</v>
      </c>
      <c r="FN85" s="24">
        <v>33.96</v>
      </c>
      <c r="FO85" s="24"/>
      <c r="FP85" s="24"/>
      <c r="FQ85" s="24">
        <v>27.28</v>
      </c>
      <c r="FR85" s="24">
        <v>27.28</v>
      </c>
      <c r="FS85" s="24">
        <v>26.84</v>
      </c>
      <c r="FT85" s="24">
        <v>26.88</v>
      </c>
      <c r="FU85" s="24">
        <v>125.76</v>
      </c>
      <c r="FV85" s="24">
        <v>125.81</v>
      </c>
      <c r="FW85" s="24">
        <v>62.480000000000004</v>
      </c>
      <c r="FX85" s="24">
        <v>62.74</v>
      </c>
      <c r="FY85" s="24">
        <v>59.980000000000004</v>
      </c>
      <c r="FZ85" s="24">
        <v>59.92</v>
      </c>
      <c r="GA85" s="24">
        <v>31.92</v>
      </c>
      <c r="GB85" s="24">
        <v>31.91</v>
      </c>
      <c r="GC85" s="24"/>
      <c r="GD85" s="24"/>
      <c r="GE85" s="24"/>
      <c r="GF85" s="24"/>
      <c r="GG85" s="24"/>
      <c r="GH85" s="24"/>
      <c r="GI85" s="24" cm="1">
        <f t="array" ref="GI85">SUMPRODUCT(DY85:GG85,--(DY$2:GG$2=GI$2))</f>
        <v>1459.8899999999999</v>
      </c>
      <c r="GJ85" s="24" cm="1">
        <f t="array" ref="GJ85">SUMPRODUCT(DZ85:GH85,--(DZ$2:GH$2=GJ$2))</f>
        <v>1460.0600000000002</v>
      </c>
      <c r="GK85" s="24">
        <v>93</v>
      </c>
      <c r="GL85" s="24">
        <v>93.089999999999989</v>
      </c>
      <c r="GM85" s="24">
        <v>29.36</v>
      </c>
      <c r="GN85" s="24">
        <v>29.32</v>
      </c>
      <c r="GO85" s="24">
        <v>29.34</v>
      </c>
      <c r="GP85" s="24">
        <v>29.5</v>
      </c>
      <c r="GQ85" s="24">
        <v>32.020000000000003</v>
      </c>
      <c r="GR85" s="24">
        <v>32.130000000000003</v>
      </c>
      <c r="GS85" s="24">
        <v>31.54</v>
      </c>
      <c r="GT85" s="24">
        <v>31.54</v>
      </c>
      <c r="GU85" s="24">
        <v>54.7</v>
      </c>
      <c r="GV85" s="24">
        <v>54.86</v>
      </c>
      <c r="GW85" s="24">
        <v>55.01</v>
      </c>
      <c r="GX85" s="24">
        <v>54.9</v>
      </c>
      <c r="GY85" s="24">
        <v>87.14</v>
      </c>
      <c r="GZ85" s="24">
        <v>87.18</v>
      </c>
      <c r="HA85" s="24">
        <v>85.94</v>
      </c>
      <c r="HB85" s="24">
        <v>86.02</v>
      </c>
      <c r="HC85" s="24">
        <v>26.26</v>
      </c>
      <c r="HD85" s="24">
        <v>26.34</v>
      </c>
      <c r="HE85" s="24">
        <v>86.58</v>
      </c>
      <c r="HF85" s="24">
        <v>86.38</v>
      </c>
      <c r="HG85" s="24">
        <v>86.58</v>
      </c>
      <c r="HH85" s="24">
        <v>86.58</v>
      </c>
      <c r="HI85" s="24"/>
      <c r="HJ85" s="24"/>
      <c r="HK85" s="24">
        <v>30.2</v>
      </c>
      <c r="HL85" s="24">
        <v>30.36</v>
      </c>
      <c r="HM85" s="24">
        <v>59.18</v>
      </c>
      <c r="HN85" s="24">
        <v>59.620000000000005</v>
      </c>
      <c r="HO85" s="24">
        <v>84.83</v>
      </c>
      <c r="HP85" s="24">
        <v>84.84</v>
      </c>
      <c r="HQ85" s="24">
        <v>30.88</v>
      </c>
      <c r="HR85" s="24">
        <v>30.56</v>
      </c>
      <c r="HS85" s="24">
        <v>61.78</v>
      </c>
      <c r="HT85" s="24">
        <v>62.04</v>
      </c>
      <c r="HU85" s="24">
        <v>30.87</v>
      </c>
      <c r="HV85" s="24">
        <v>30.88</v>
      </c>
      <c r="HW85" s="24">
        <v>61.22</v>
      </c>
      <c r="HX85" s="24">
        <v>61.32</v>
      </c>
      <c r="HY85" s="24">
        <v>83.18</v>
      </c>
      <c r="HZ85" s="24">
        <v>83.06</v>
      </c>
      <c r="IA85" s="24">
        <v>59.44</v>
      </c>
      <c r="IB85" s="24">
        <v>59.64</v>
      </c>
      <c r="IC85" s="24">
        <v>61.32</v>
      </c>
      <c r="ID85" s="24">
        <v>61.42</v>
      </c>
      <c r="IE85" s="24">
        <v>90</v>
      </c>
      <c r="IF85" s="24">
        <v>90.14</v>
      </c>
      <c r="IG85" s="24">
        <v>85.1</v>
      </c>
      <c r="IH85" s="24">
        <v>85.82</v>
      </c>
      <c r="II85" s="24">
        <v>63.42</v>
      </c>
      <c r="IJ85" s="24">
        <v>63.449999999999996</v>
      </c>
      <c r="IK85" s="24"/>
      <c r="IL85" s="24"/>
      <c r="IM85" s="24"/>
      <c r="IN85" s="24"/>
      <c r="IO85" s="24"/>
      <c r="IP85" s="24"/>
      <c r="IQ85" s="24"/>
      <c r="IR85" s="24"/>
      <c r="IS85" s="24">
        <f t="shared" si="199"/>
        <v>1498.89</v>
      </c>
      <c r="IT85" s="24">
        <f t="shared" si="200"/>
        <v>1500.9900000000002</v>
      </c>
      <c r="IU85" s="24">
        <v>24.48</v>
      </c>
      <c r="IV85" s="24">
        <v>24.48</v>
      </c>
      <c r="IW85" s="24">
        <v>56.68</v>
      </c>
      <c r="IX85" s="24">
        <v>56.8</v>
      </c>
      <c r="IY85" s="24">
        <v>82.34</v>
      </c>
      <c r="IZ85" s="24">
        <v>82.28</v>
      </c>
      <c r="JA85" s="24">
        <v>28.94</v>
      </c>
      <c r="JB85" s="24">
        <v>28.98</v>
      </c>
      <c r="JC85" s="24">
        <v>25.46</v>
      </c>
      <c r="JD85" s="24">
        <v>25.52</v>
      </c>
      <c r="JE85" s="24">
        <v>26.94</v>
      </c>
      <c r="JF85" s="24">
        <v>26.96</v>
      </c>
      <c r="JG85" s="24">
        <v>55.760000000000005</v>
      </c>
      <c r="JH85" s="24">
        <v>55.96</v>
      </c>
      <c r="JI85" s="24">
        <v>60.18</v>
      </c>
      <c r="JJ85" s="24">
        <v>60.400000000000006</v>
      </c>
      <c r="JK85" s="24"/>
      <c r="JL85" s="24"/>
      <c r="JM85" s="24">
        <v>61.739999999999995</v>
      </c>
      <c r="JN85" s="24">
        <v>62.08</v>
      </c>
      <c r="JO85" s="24">
        <v>25.28</v>
      </c>
      <c r="JP85" s="24">
        <v>25.26</v>
      </c>
      <c r="JQ85" s="24"/>
      <c r="JR85" s="24"/>
      <c r="JS85" s="24">
        <v>29.42</v>
      </c>
      <c r="JT85" s="24">
        <v>29.42</v>
      </c>
      <c r="JU85" s="24"/>
      <c r="JV85" s="24"/>
      <c r="JW85" s="24"/>
      <c r="JX85" s="24"/>
      <c r="JY85" s="24"/>
      <c r="JZ85" s="24"/>
      <c r="KA85" s="24"/>
      <c r="KB85" s="24"/>
      <c r="KC85" s="24"/>
      <c r="KD85" s="24"/>
      <c r="KE85" s="24"/>
      <c r="KF85" s="24"/>
      <c r="KG85" s="24"/>
      <c r="KH85" s="24"/>
      <c r="KI85" s="24"/>
      <c r="KJ85" s="24"/>
      <c r="KK85" s="24"/>
      <c r="KL85" s="24"/>
      <c r="KM85" s="24"/>
      <c r="KN85" s="24"/>
      <c r="KO85" s="24"/>
      <c r="KP85" s="24"/>
      <c r="KQ85" s="24"/>
      <c r="KR85" s="24"/>
      <c r="KS85" s="24"/>
      <c r="KT85" s="24"/>
      <c r="KU85" s="24"/>
      <c r="KV85" s="24"/>
      <c r="KW85" s="24"/>
      <c r="KX85" s="24"/>
      <c r="KY85" s="24"/>
      <c r="KZ85" s="24"/>
      <c r="LA85" s="24"/>
      <c r="LB85" s="24"/>
      <c r="LC85" s="24"/>
      <c r="LD85" s="24"/>
      <c r="LE85" s="24">
        <f t="shared" si="201"/>
        <v>477.22000000000008</v>
      </c>
      <c r="LF85" s="24">
        <f t="shared" si="202"/>
        <v>478.14</v>
      </c>
      <c r="LG85" s="24"/>
      <c r="LH85" s="24"/>
      <c r="LI85" s="24"/>
      <c r="LJ85" s="24"/>
      <c r="LK85" s="24"/>
      <c r="LL85" s="24"/>
      <c r="LM85" s="24"/>
      <c r="LN85" s="24"/>
      <c r="LO85" s="24"/>
      <c r="LP85" s="24"/>
      <c r="LQ85" s="24"/>
      <c r="LR85" s="24"/>
      <c r="LS85" s="24"/>
      <c r="LT85" s="24"/>
      <c r="LU85" s="24"/>
      <c r="LV85" s="24"/>
      <c r="LW85" s="24"/>
      <c r="LX85" s="24"/>
      <c r="LY85" s="24"/>
      <c r="LZ85" s="24"/>
      <c r="MA85" s="24"/>
      <c r="MB85" s="24"/>
      <c r="MC85" s="24"/>
      <c r="MD85" s="24"/>
      <c r="ME85" s="24"/>
      <c r="MF85" s="24"/>
      <c r="MG85" s="24"/>
      <c r="MH85" s="24"/>
      <c r="MI85" s="24"/>
      <c r="MJ85" s="24"/>
      <c r="MK85" s="24"/>
      <c r="ML85" s="24"/>
      <c r="MM85" s="24"/>
      <c r="MN85" s="24"/>
      <c r="MO85" s="24"/>
      <c r="MP85" s="24"/>
      <c r="MQ85" s="24"/>
      <c r="MR85" s="24"/>
      <c r="MS85" s="24"/>
      <c r="MT85" s="24"/>
      <c r="MU85" s="24"/>
      <c r="MV85" s="24"/>
      <c r="MW85" s="24"/>
      <c r="MX85" s="24"/>
      <c r="MY85" s="24"/>
      <c r="MZ85" s="24"/>
      <c r="NA85" s="24"/>
      <c r="NB85" s="24"/>
      <c r="NC85" s="24"/>
      <c r="ND85" s="24"/>
      <c r="NE85" s="24"/>
      <c r="NF85" s="24"/>
      <c r="NG85" s="24"/>
      <c r="NH85" s="24"/>
      <c r="NI85" s="24"/>
      <c r="NJ85" s="24"/>
      <c r="NK85" s="24"/>
      <c r="NL85" s="24"/>
      <c r="NM85" s="24"/>
      <c r="NN85" s="24"/>
      <c r="NO85" s="24">
        <f t="shared" si="203"/>
        <v>0</v>
      </c>
      <c r="NP85" s="24">
        <f t="shared" si="204"/>
        <v>0</v>
      </c>
      <c r="NQ85" s="24"/>
      <c r="NR85" s="24"/>
      <c r="NS85" s="24"/>
      <c r="NT85" s="24"/>
      <c r="NU85" s="24"/>
      <c r="NV85" s="24"/>
      <c r="NW85" s="24"/>
      <c r="NX85" s="24"/>
      <c r="NY85" s="24"/>
      <c r="NZ85" s="24"/>
      <c r="OA85" s="24"/>
      <c r="OB85" s="24"/>
      <c r="OC85" s="24"/>
      <c r="OD85" s="24"/>
      <c r="OE85" s="24"/>
      <c r="OF85" s="24"/>
      <c r="OG85" s="24"/>
      <c r="OH85" s="24"/>
      <c r="OI85" s="24"/>
      <c r="OJ85" s="24"/>
      <c r="OK85" s="24"/>
      <c r="OL85" s="24"/>
      <c r="OM85" s="24"/>
      <c r="ON85" s="24"/>
      <c r="OO85" s="24"/>
      <c r="OP85" s="24"/>
      <c r="OQ85" s="24"/>
      <c r="OR85" s="24"/>
      <c r="OS85" s="24"/>
      <c r="OT85" s="24"/>
      <c r="OU85" s="24"/>
      <c r="OV85" s="24"/>
      <c r="OW85" s="24"/>
      <c r="OX85" s="24"/>
      <c r="OY85" s="24"/>
      <c r="OZ85" s="24"/>
      <c r="PA85" s="24"/>
      <c r="PB85" s="24"/>
      <c r="PC85" s="24"/>
      <c r="PD85" s="24"/>
      <c r="PE85" s="24"/>
      <c r="PF85" s="24"/>
      <c r="PG85" s="24"/>
      <c r="PH85" s="24"/>
      <c r="PI85" s="24"/>
      <c r="PJ85" s="24"/>
      <c r="PK85" s="24"/>
      <c r="PL85" s="24"/>
      <c r="PM85" s="24"/>
      <c r="PN85" s="24"/>
      <c r="PO85" s="24"/>
      <c r="PP85" s="24"/>
      <c r="PQ85" s="24"/>
      <c r="PR85" s="24"/>
      <c r="PS85" s="24"/>
      <c r="PT85" s="24"/>
      <c r="PU85" s="24"/>
      <c r="PV85" s="24"/>
      <c r="PW85" s="24"/>
      <c r="PX85" s="24"/>
      <c r="PY85" s="24"/>
      <c r="PZ85" s="24"/>
      <c r="QA85" s="24">
        <f t="shared" si="205"/>
        <v>0</v>
      </c>
      <c r="QB85" s="24">
        <f t="shared" si="206"/>
        <v>0</v>
      </c>
      <c r="QC85" s="24"/>
      <c r="QD85" s="24"/>
      <c r="QE85" s="24"/>
      <c r="QF85" s="24"/>
      <c r="QG85" s="24"/>
      <c r="QH85" s="24"/>
      <c r="QI85" s="24"/>
      <c r="QJ85" s="24"/>
      <c r="QK85" s="24"/>
      <c r="QL85" s="24"/>
      <c r="QM85" s="24"/>
      <c r="QN85" s="24"/>
      <c r="QO85" s="24"/>
      <c r="QP85" s="24"/>
      <c r="QQ85" s="24"/>
      <c r="QR85" s="24"/>
      <c r="QS85" s="24"/>
      <c r="QT85" s="24"/>
      <c r="QU85" s="24"/>
      <c r="QV85" s="24"/>
      <c r="QW85" s="24"/>
      <c r="QX85" s="24"/>
      <c r="QY85" s="24"/>
      <c r="QZ85" s="24"/>
      <c r="RA85" s="24"/>
      <c r="RB85" s="24"/>
      <c r="RC85" s="24"/>
      <c r="RD85" s="24"/>
      <c r="RE85" s="24"/>
      <c r="RF85" s="24"/>
      <c r="RG85" s="24"/>
      <c r="RH85" s="24"/>
      <c r="RI85" s="24"/>
      <c r="RJ85" s="24"/>
      <c r="RK85" s="24"/>
      <c r="RL85" s="24"/>
      <c r="RM85" s="24"/>
      <c r="RN85" s="24"/>
      <c r="RO85" s="24"/>
      <c r="RP85" s="24"/>
      <c r="RQ85" s="24"/>
      <c r="RR85" s="24"/>
      <c r="RS85" s="24"/>
      <c r="RT85" s="24"/>
      <c r="RU85" s="24"/>
      <c r="RV85" s="24"/>
      <c r="RW85" s="24"/>
      <c r="RX85" s="24"/>
      <c r="RY85" s="24"/>
      <c r="RZ85" s="24"/>
      <c r="SA85" s="24"/>
      <c r="SB85" s="24"/>
      <c r="SC85" s="24"/>
      <c r="SD85" s="24"/>
      <c r="SE85" s="24"/>
      <c r="SF85" s="24"/>
      <c r="SG85" s="24"/>
      <c r="SH85" s="24"/>
      <c r="SI85" s="24"/>
      <c r="SJ85" s="24"/>
      <c r="SK85" s="24"/>
      <c r="SL85" s="24"/>
      <c r="SM85" s="24">
        <f t="shared" si="207"/>
        <v>0</v>
      </c>
      <c r="SN85" s="24">
        <f t="shared" si="208"/>
        <v>0</v>
      </c>
      <c r="SO85" s="24"/>
      <c r="SP85" s="24"/>
      <c r="SQ85" s="24"/>
      <c r="SR85" s="24"/>
      <c r="SS85" s="24"/>
      <c r="ST85" s="24"/>
      <c r="SU85" s="24"/>
      <c r="SV85" s="24"/>
      <c r="SW85" s="24"/>
      <c r="SX85" s="24"/>
      <c r="SY85" s="24"/>
      <c r="SZ85" s="24"/>
      <c r="TA85" s="24"/>
      <c r="TB85" s="24"/>
      <c r="TC85" s="24"/>
      <c r="TD85" s="24"/>
      <c r="TE85" s="24"/>
      <c r="TF85" s="24"/>
      <c r="TG85" s="24"/>
      <c r="TH85" s="24"/>
      <c r="TI85" s="24"/>
      <c r="TJ85" s="24"/>
      <c r="TK85" s="24"/>
      <c r="TL85" s="24"/>
      <c r="TM85" s="24"/>
      <c r="TN85" s="24"/>
      <c r="TO85" s="24"/>
      <c r="TP85" s="24"/>
      <c r="TQ85" s="24"/>
      <c r="TR85" s="24"/>
      <c r="TS85" s="24"/>
      <c r="TT85" s="24"/>
      <c r="TU85" s="24"/>
      <c r="TV85" s="24"/>
      <c r="TW85" s="24"/>
      <c r="TX85" s="24"/>
      <c r="TY85" s="24"/>
      <c r="TZ85" s="24"/>
      <c r="UA85" s="24"/>
      <c r="UB85" s="24"/>
      <c r="UC85" s="24"/>
      <c r="UD85" s="24"/>
      <c r="UE85" s="24"/>
      <c r="UF85" s="24"/>
      <c r="UG85" s="24"/>
      <c r="UH85" s="24"/>
      <c r="UI85" s="24"/>
      <c r="UJ85" s="24"/>
      <c r="UK85" s="24"/>
      <c r="UL85" s="24"/>
      <c r="UM85" s="24"/>
      <c r="UN85" s="24"/>
      <c r="UO85" s="24"/>
      <c r="UP85" s="24"/>
      <c r="UQ85" s="24"/>
      <c r="UR85" s="24"/>
      <c r="US85" s="24"/>
      <c r="UT85" s="24"/>
      <c r="UU85" s="24"/>
      <c r="UV85" s="24"/>
      <c r="UW85" s="24">
        <f t="shared" si="209"/>
        <v>0</v>
      </c>
      <c r="UX85" s="24">
        <f t="shared" si="210"/>
        <v>0</v>
      </c>
      <c r="UY85" s="24"/>
      <c r="UZ85" s="24"/>
      <c r="VA85" s="24"/>
      <c r="VB85" s="24"/>
      <c r="VC85" s="24"/>
      <c r="VD85" s="24"/>
      <c r="VE85" s="24"/>
      <c r="VF85" s="24"/>
      <c r="VG85" s="24"/>
      <c r="VH85" s="24"/>
      <c r="VI85" s="24"/>
      <c r="VJ85" s="24"/>
      <c r="VK85" s="24"/>
      <c r="VL85" s="24"/>
      <c r="VM85" s="24"/>
      <c r="VN85" s="24"/>
      <c r="VO85" s="24"/>
      <c r="VP85" s="24"/>
      <c r="VQ85" s="24"/>
      <c r="VR85" s="24"/>
      <c r="VS85" s="24"/>
      <c r="VT85" s="24"/>
      <c r="VU85" s="24"/>
      <c r="VV85" s="24"/>
      <c r="VW85" s="24"/>
      <c r="VX85" s="24"/>
      <c r="VY85" s="24"/>
      <c r="VZ85" s="24"/>
      <c r="WA85" s="24"/>
      <c r="WB85" s="24"/>
      <c r="WC85" s="24"/>
      <c r="WD85" s="24"/>
      <c r="WE85" s="24"/>
      <c r="WF85" s="24"/>
      <c r="WG85" s="24"/>
      <c r="WH85" s="24"/>
      <c r="WI85" s="24"/>
      <c r="WJ85" s="24"/>
      <c r="WK85" s="24"/>
      <c r="WL85" s="24"/>
      <c r="WM85" s="24"/>
      <c r="WN85" s="24"/>
      <c r="WO85" s="24"/>
      <c r="WP85" s="24"/>
      <c r="WQ85" s="24"/>
      <c r="WR85" s="24"/>
      <c r="WS85" s="24"/>
      <c r="WT85" s="24"/>
      <c r="WU85" s="24"/>
      <c r="WV85" s="24"/>
      <c r="WW85" s="24"/>
      <c r="WX85" s="24"/>
      <c r="WY85" s="24"/>
      <c r="WZ85" s="24"/>
      <c r="XA85" s="24"/>
      <c r="XB85" s="24"/>
      <c r="XC85" s="24"/>
      <c r="XD85" s="24"/>
      <c r="XE85" s="24"/>
      <c r="XF85" s="24"/>
      <c r="XG85" s="24"/>
      <c r="XH85" s="24"/>
      <c r="XI85" s="24">
        <f t="shared" si="211"/>
        <v>0</v>
      </c>
      <c r="XJ85" s="24">
        <f t="shared" si="212"/>
        <v>0</v>
      </c>
      <c r="XK85" s="24"/>
      <c r="XL85" s="24"/>
      <c r="XM85" s="24"/>
      <c r="XN85" s="24"/>
      <c r="XO85" s="24"/>
      <c r="XP85" s="24"/>
      <c r="XQ85" s="24"/>
      <c r="XR85" s="24"/>
      <c r="XS85" s="24"/>
      <c r="XT85" s="24"/>
      <c r="XU85" s="24"/>
      <c r="XV85" s="24"/>
      <c r="XW85" s="24"/>
      <c r="XX85" s="24"/>
      <c r="XY85" s="24"/>
      <c r="XZ85" s="24"/>
      <c r="YA85" s="24"/>
      <c r="YB85" s="24"/>
      <c r="YC85" s="24"/>
      <c r="YD85" s="24"/>
      <c r="YE85" s="24"/>
      <c r="YF85" s="24"/>
      <c r="YG85" s="24"/>
      <c r="YH85" s="24"/>
      <c r="YI85" s="24"/>
      <c r="YJ85" s="24"/>
      <c r="YK85" s="24"/>
      <c r="YL85" s="24"/>
      <c r="YM85" s="24"/>
      <c r="YN85" s="24"/>
      <c r="YO85" s="24"/>
      <c r="YP85" s="24"/>
      <c r="YQ85" s="24"/>
      <c r="YR85" s="24"/>
      <c r="YS85" s="24"/>
      <c r="YT85" s="24"/>
      <c r="YU85" s="24"/>
      <c r="YV85" s="24"/>
      <c r="YW85" s="24"/>
      <c r="YX85" s="24"/>
      <c r="YY85" s="24"/>
      <c r="YZ85" s="24"/>
      <c r="ZA85" s="24"/>
      <c r="ZB85" s="24"/>
      <c r="ZC85" s="24"/>
      <c r="ZD85" s="24"/>
      <c r="ZE85" s="24"/>
      <c r="ZF85" s="24"/>
      <c r="ZG85" s="24"/>
      <c r="ZH85" s="24"/>
      <c r="ZI85" s="24"/>
      <c r="ZJ85" s="24"/>
      <c r="ZK85" s="24"/>
      <c r="ZL85" s="24"/>
      <c r="ZM85" s="24"/>
      <c r="ZN85" s="24"/>
      <c r="ZO85" s="24"/>
      <c r="ZP85" s="24"/>
      <c r="ZQ85" s="24"/>
      <c r="ZR85" s="24"/>
      <c r="ZS85" s="24">
        <f t="shared" si="213"/>
        <v>0</v>
      </c>
      <c r="ZT85" s="24">
        <f t="shared" si="214"/>
        <v>0</v>
      </c>
      <c r="ZU85" s="24"/>
      <c r="ZV85" s="24"/>
      <c r="ZW85" s="24"/>
      <c r="ZX85" s="24"/>
      <c r="ZY85" s="24"/>
      <c r="ZZ85" s="24"/>
      <c r="AAA85" s="24"/>
      <c r="AAB85" s="24"/>
      <c r="AAC85" s="24"/>
      <c r="AAD85" s="24"/>
      <c r="AAE85" s="24"/>
      <c r="AAF85" s="24"/>
      <c r="AAG85" s="24"/>
      <c r="AAH85" s="24"/>
      <c r="AAI85" s="24"/>
      <c r="AAJ85" s="24"/>
      <c r="AAK85" s="24"/>
      <c r="AAL85" s="24"/>
      <c r="AAM85" s="24"/>
      <c r="AAN85" s="24"/>
      <c r="AAO85" s="24"/>
      <c r="AAP85" s="24"/>
      <c r="AAQ85" s="24"/>
      <c r="AAR85" s="24"/>
      <c r="AAS85" s="24"/>
      <c r="AAT85" s="24"/>
      <c r="AAU85" s="24"/>
      <c r="AAV85" s="24"/>
      <c r="AAW85" s="24"/>
      <c r="AAX85" s="24"/>
      <c r="AAY85" s="24"/>
      <c r="AAZ85" s="24"/>
      <c r="ABA85" s="24"/>
      <c r="ABB85" s="24"/>
      <c r="ABC85" s="24"/>
      <c r="ABD85" s="24"/>
      <c r="ABE85" s="24"/>
      <c r="ABF85" s="24"/>
      <c r="ABG85" s="24"/>
      <c r="ABH85" s="24"/>
      <c r="ABI85" s="24"/>
      <c r="ABJ85" s="24"/>
      <c r="ABK85" s="24"/>
      <c r="ABL85" s="24"/>
      <c r="ABM85" s="24"/>
      <c r="ABN85" s="24"/>
      <c r="ABO85" s="24"/>
      <c r="ABP85" s="24"/>
      <c r="ABQ85" s="24"/>
      <c r="ABR85" s="24"/>
      <c r="ABS85" s="24"/>
      <c r="ABT85" s="24"/>
      <c r="ABU85" s="24"/>
      <c r="ABV85" s="24"/>
      <c r="ABW85" s="24"/>
      <c r="ABX85" s="24"/>
      <c r="ABY85" s="24"/>
      <c r="ABZ85" s="24"/>
      <c r="ACA85" s="24"/>
      <c r="ACB85" s="24"/>
      <c r="ACC85" s="24"/>
      <c r="ACD85" s="24"/>
      <c r="ACE85" s="24">
        <f t="shared" si="215"/>
        <v>0</v>
      </c>
      <c r="ACF85" s="24"/>
      <c r="ACG85" s="24">
        <f t="shared" si="216"/>
        <v>6451.6200000000008</v>
      </c>
      <c r="ACH85" s="25"/>
      <c r="ACI85" s="71" t="s">
        <v>182</v>
      </c>
      <c r="ACJ85" s="71" t="s">
        <v>100</v>
      </c>
    </row>
    <row r="86" spans="1:764" x14ac:dyDescent="0.25">
      <c r="A86" s="162"/>
      <c r="B86" s="152"/>
      <c r="C86" s="155"/>
      <c r="D86" s="50" t="s">
        <v>7</v>
      </c>
      <c r="E86" s="74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24" cm="1">
        <f t="array" ref="BO86">SUMPRODUCT(E86:BM86,--(E$2:BM$2=BO$2))</f>
        <v>0</v>
      </c>
      <c r="BP86" s="24" cm="1">
        <f t="array" ref="BP86">SUMPRODUCT(F86:BN86,--(F$2:BN$2=BP$2))</f>
        <v>0</v>
      </c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4"/>
      <c r="CY86" s="24"/>
      <c r="CZ86" s="24"/>
      <c r="DA86" s="24"/>
      <c r="DB86" s="24"/>
      <c r="DC86" s="24"/>
      <c r="DD86" s="24"/>
      <c r="DE86" s="24"/>
      <c r="DF86" s="24"/>
      <c r="DG86" s="24"/>
      <c r="DH86" s="24"/>
      <c r="DI86" s="24"/>
      <c r="DJ86" s="24"/>
      <c r="DK86" s="24"/>
      <c r="DL86" s="24"/>
      <c r="DM86" s="24"/>
      <c r="DN86" s="24"/>
      <c r="DO86" s="24"/>
      <c r="DP86" s="24"/>
      <c r="DQ86" s="24"/>
      <c r="DR86" s="24"/>
      <c r="DS86" s="24"/>
      <c r="DT86" s="24"/>
      <c r="DU86" s="24"/>
      <c r="DV86" s="24"/>
      <c r="DW86" s="24" cm="1">
        <f t="array" ref="DW86">SUMPRODUCT(BQ86:DU86,--(BQ$2:DU$2=DW$2))</f>
        <v>0</v>
      </c>
      <c r="DX86" s="24" cm="1">
        <f t="array" ref="DX86">SUMPRODUCT(BR86:DV86,--(BR$2:DV$2=DX$2))</f>
        <v>0</v>
      </c>
      <c r="DY86" s="24"/>
      <c r="DZ86" s="24"/>
      <c r="EA86" s="24"/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  <c r="ES86" s="24"/>
      <c r="ET86" s="24"/>
      <c r="EU86" s="24"/>
      <c r="EV86" s="24"/>
      <c r="EW86" s="24"/>
      <c r="EX86" s="24"/>
      <c r="EY86" s="24"/>
      <c r="EZ86" s="24"/>
      <c r="FA86" s="24"/>
      <c r="FB86" s="24"/>
      <c r="FC86" s="24"/>
      <c r="FD86" s="24"/>
      <c r="FE86" s="24"/>
      <c r="FF86" s="24"/>
      <c r="FG86" s="24"/>
      <c r="FH86" s="24"/>
      <c r="FI86" s="24"/>
      <c r="FJ86" s="24"/>
      <c r="FK86" s="24"/>
      <c r="FL86" s="24"/>
      <c r="FM86" s="24"/>
      <c r="FN86" s="24"/>
      <c r="FO86" s="24"/>
      <c r="FP86" s="24"/>
      <c r="FQ86" s="24"/>
      <c r="FR86" s="24"/>
      <c r="FS86" s="24"/>
      <c r="FT86" s="24"/>
      <c r="FU86" s="24"/>
      <c r="FV86" s="24"/>
      <c r="FW86" s="24"/>
      <c r="FX86" s="24"/>
      <c r="FY86" s="24"/>
      <c r="FZ86" s="24"/>
      <c r="GA86" s="24"/>
      <c r="GB86" s="24"/>
      <c r="GC86" s="24"/>
      <c r="GD86" s="24"/>
      <c r="GE86" s="24"/>
      <c r="GF86" s="24"/>
      <c r="GG86" s="24"/>
      <c r="GH86" s="24"/>
      <c r="GI86" s="24" cm="1">
        <f t="array" ref="GI86">SUMPRODUCT(DY86:GG86,--(DY$2:GG$2=GI$2))</f>
        <v>0</v>
      </c>
      <c r="GJ86" s="24" cm="1">
        <f t="array" ref="GJ86">SUMPRODUCT(DZ86:GH86,--(DZ$2:GH$2=GJ$2))</f>
        <v>0</v>
      </c>
      <c r="GK86" s="24"/>
      <c r="GL86" s="24"/>
      <c r="GM86" s="24"/>
      <c r="GN86" s="24"/>
      <c r="GO86" s="24"/>
      <c r="GP86" s="24"/>
      <c r="GQ86" s="24"/>
      <c r="GR86" s="24"/>
      <c r="GS86" s="24"/>
      <c r="GT86" s="24"/>
      <c r="GU86" s="24"/>
      <c r="GV86" s="24"/>
      <c r="GW86" s="24"/>
      <c r="GX86" s="24"/>
      <c r="GY86" s="24"/>
      <c r="GZ86" s="24"/>
      <c r="HA86" s="24"/>
      <c r="HB86" s="24"/>
      <c r="HC86" s="24"/>
      <c r="HD86" s="24"/>
      <c r="HE86" s="24"/>
      <c r="HF86" s="24"/>
      <c r="HG86" s="24"/>
      <c r="HH86" s="24"/>
      <c r="HI86" s="24"/>
      <c r="HJ86" s="24"/>
      <c r="HK86" s="24"/>
      <c r="HL86" s="24"/>
      <c r="HM86" s="24"/>
      <c r="HN86" s="24"/>
      <c r="HO86" s="24"/>
      <c r="HP86" s="24"/>
      <c r="HQ86" s="24"/>
      <c r="HR86" s="24"/>
      <c r="HS86" s="24"/>
      <c r="HT86" s="24"/>
      <c r="HU86" s="24"/>
      <c r="HV86" s="24"/>
      <c r="HW86" s="24"/>
      <c r="HX86" s="24"/>
      <c r="HY86" s="24"/>
      <c r="HZ86" s="24"/>
      <c r="IA86" s="24"/>
      <c r="IB86" s="24"/>
      <c r="IC86" s="24"/>
      <c r="ID86" s="24"/>
      <c r="IE86" s="24"/>
      <c r="IF86" s="24"/>
      <c r="IG86" s="24"/>
      <c r="IH86" s="24"/>
      <c r="II86" s="24"/>
      <c r="IJ86" s="24"/>
      <c r="IK86" s="24"/>
      <c r="IL86" s="24"/>
      <c r="IM86" s="24"/>
      <c r="IN86" s="24"/>
      <c r="IO86" s="24"/>
      <c r="IP86" s="24"/>
      <c r="IQ86" s="24"/>
      <c r="IR86" s="24"/>
      <c r="IS86" s="24">
        <f t="shared" si="199"/>
        <v>0</v>
      </c>
      <c r="IT86" s="24">
        <f t="shared" si="200"/>
        <v>0</v>
      </c>
      <c r="IU86" s="24"/>
      <c r="IV86" s="24"/>
      <c r="IW86" s="24"/>
      <c r="IX86" s="24"/>
      <c r="IY86" s="24"/>
      <c r="IZ86" s="24"/>
      <c r="JA86" s="24"/>
      <c r="JB86" s="24"/>
      <c r="JC86" s="24"/>
      <c r="JD86" s="24"/>
      <c r="JE86" s="24"/>
      <c r="JF86" s="24"/>
      <c r="JG86" s="24"/>
      <c r="JH86" s="24"/>
      <c r="JI86" s="24"/>
      <c r="JJ86" s="24"/>
      <c r="JK86" s="24"/>
      <c r="JL86" s="24"/>
      <c r="JM86" s="24"/>
      <c r="JN86" s="24"/>
      <c r="JO86" s="24"/>
      <c r="JP86" s="24"/>
      <c r="JQ86" s="24"/>
      <c r="JR86" s="24"/>
      <c r="JS86" s="24"/>
      <c r="JT86" s="24"/>
      <c r="JU86" s="24"/>
      <c r="JV86" s="24"/>
      <c r="JW86" s="24"/>
      <c r="JX86" s="24"/>
      <c r="JY86" s="24"/>
      <c r="JZ86" s="24"/>
      <c r="KA86" s="24"/>
      <c r="KB86" s="24"/>
      <c r="KC86" s="24"/>
      <c r="KD86" s="24"/>
      <c r="KE86" s="24"/>
      <c r="KF86" s="24"/>
      <c r="KG86" s="24"/>
      <c r="KH86" s="24"/>
      <c r="KI86" s="24"/>
      <c r="KJ86" s="24"/>
      <c r="KK86" s="24"/>
      <c r="KL86" s="24"/>
      <c r="KM86" s="24"/>
      <c r="KN86" s="24"/>
      <c r="KO86" s="24"/>
      <c r="KP86" s="24"/>
      <c r="KQ86" s="24"/>
      <c r="KR86" s="24"/>
      <c r="KS86" s="24"/>
      <c r="KT86" s="24"/>
      <c r="KU86" s="24"/>
      <c r="KV86" s="24"/>
      <c r="KW86" s="24"/>
      <c r="KX86" s="24"/>
      <c r="KY86" s="24"/>
      <c r="KZ86" s="24"/>
      <c r="LA86" s="24"/>
      <c r="LB86" s="24"/>
      <c r="LC86" s="24"/>
      <c r="LD86" s="24"/>
      <c r="LE86" s="24">
        <f t="shared" si="201"/>
        <v>0</v>
      </c>
      <c r="LF86" s="24">
        <f t="shared" si="202"/>
        <v>0</v>
      </c>
      <c r="LG86" s="24"/>
      <c r="LH86" s="24"/>
      <c r="LI86" s="24"/>
      <c r="LJ86" s="24"/>
      <c r="LK86" s="24"/>
      <c r="LL86" s="24"/>
      <c r="LM86" s="24"/>
      <c r="LN86" s="24"/>
      <c r="LO86" s="24"/>
      <c r="LP86" s="24"/>
      <c r="LQ86" s="24"/>
      <c r="LR86" s="24"/>
      <c r="LS86" s="24"/>
      <c r="LT86" s="24"/>
      <c r="LU86" s="24"/>
      <c r="LV86" s="24"/>
      <c r="LW86" s="24"/>
      <c r="LX86" s="24"/>
      <c r="LY86" s="24"/>
      <c r="LZ86" s="24"/>
      <c r="MA86" s="24"/>
      <c r="MB86" s="24"/>
      <c r="MC86" s="24"/>
      <c r="MD86" s="24"/>
      <c r="ME86" s="24"/>
      <c r="MF86" s="24"/>
      <c r="MG86" s="24"/>
      <c r="MH86" s="24"/>
      <c r="MI86" s="24"/>
      <c r="MJ86" s="24"/>
      <c r="MK86" s="24"/>
      <c r="ML86" s="24"/>
      <c r="MM86" s="24"/>
      <c r="MN86" s="24"/>
      <c r="MO86" s="24"/>
      <c r="MP86" s="24"/>
      <c r="MQ86" s="24"/>
      <c r="MR86" s="24"/>
      <c r="MS86" s="24"/>
      <c r="MT86" s="24"/>
      <c r="MU86" s="24"/>
      <c r="MV86" s="24"/>
      <c r="MW86" s="24"/>
      <c r="MX86" s="24"/>
      <c r="MY86" s="24"/>
      <c r="MZ86" s="24"/>
      <c r="NA86" s="24"/>
      <c r="NB86" s="24"/>
      <c r="NC86" s="24"/>
      <c r="ND86" s="24"/>
      <c r="NE86" s="24"/>
      <c r="NF86" s="24"/>
      <c r="NG86" s="24"/>
      <c r="NH86" s="24"/>
      <c r="NI86" s="24"/>
      <c r="NJ86" s="24"/>
      <c r="NK86" s="24"/>
      <c r="NL86" s="24"/>
      <c r="NM86" s="24"/>
      <c r="NN86" s="24"/>
      <c r="NO86" s="24">
        <f t="shared" si="203"/>
        <v>0</v>
      </c>
      <c r="NP86" s="24">
        <f t="shared" si="204"/>
        <v>0</v>
      </c>
      <c r="NQ86" s="24"/>
      <c r="NR86" s="24"/>
      <c r="NS86" s="24"/>
      <c r="NT86" s="24"/>
      <c r="NU86" s="24"/>
      <c r="NV86" s="24"/>
      <c r="NW86" s="24"/>
      <c r="NX86" s="24"/>
      <c r="NY86" s="24"/>
      <c r="NZ86" s="24"/>
      <c r="OA86" s="24"/>
      <c r="OB86" s="24"/>
      <c r="OC86" s="24"/>
      <c r="OD86" s="24"/>
      <c r="OE86" s="24"/>
      <c r="OF86" s="24"/>
      <c r="OG86" s="24"/>
      <c r="OH86" s="24"/>
      <c r="OI86" s="24"/>
      <c r="OJ86" s="24"/>
      <c r="OK86" s="24"/>
      <c r="OL86" s="24"/>
      <c r="OM86" s="24"/>
      <c r="ON86" s="24"/>
      <c r="OO86" s="24"/>
      <c r="OP86" s="24"/>
      <c r="OQ86" s="24"/>
      <c r="OR86" s="24"/>
      <c r="OS86" s="24"/>
      <c r="OT86" s="24"/>
      <c r="OU86" s="24"/>
      <c r="OV86" s="24"/>
      <c r="OW86" s="24"/>
      <c r="OX86" s="24"/>
      <c r="OY86" s="24"/>
      <c r="OZ86" s="24"/>
      <c r="PA86" s="24"/>
      <c r="PB86" s="24"/>
      <c r="PC86" s="24"/>
      <c r="PD86" s="24"/>
      <c r="PE86" s="24"/>
      <c r="PF86" s="24"/>
      <c r="PG86" s="24"/>
      <c r="PH86" s="24"/>
      <c r="PI86" s="24"/>
      <c r="PJ86" s="24"/>
      <c r="PK86" s="24"/>
      <c r="PL86" s="24"/>
      <c r="PM86" s="24"/>
      <c r="PN86" s="24"/>
      <c r="PO86" s="24"/>
      <c r="PP86" s="24"/>
      <c r="PQ86" s="24"/>
      <c r="PR86" s="24"/>
      <c r="PS86" s="24"/>
      <c r="PT86" s="24"/>
      <c r="PU86" s="24"/>
      <c r="PV86" s="24"/>
      <c r="PW86" s="24"/>
      <c r="PX86" s="24"/>
      <c r="PY86" s="24"/>
      <c r="PZ86" s="24"/>
      <c r="QA86" s="24">
        <f t="shared" si="205"/>
        <v>0</v>
      </c>
      <c r="QB86" s="24">
        <f t="shared" si="206"/>
        <v>0</v>
      </c>
      <c r="QC86" s="24"/>
      <c r="QD86" s="24"/>
      <c r="QE86" s="24"/>
      <c r="QF86" s="24"/>
      <c r="QG86" s="24"/>
      <c r="QH86" s="24"/>
      <c r="QI86" s="24"/>
      <c r="QJ86" s="24"/>
      <c r="QK86" s="24"/>
      <c r="QL86" s="24"/>
      <c r="QM86" s="24"/>
      <c r="QN86" s="24"/>
      <c r="QO86" s="24"/>
      <c r="QP86" s="24"/>
      <c r="QQ86" s="24"/>
      <c r="QR86" s="24"/>
      <c r="QS86" s="24"/>
      <c r="QT86" s="24"/>
      <c r="QU86" s="24"/>
      <c r="QV86" s="24"/>
      <c r="QW86" s="24"/>
      <c r="QX86" s="24"/>
      <c r="QY86" s="24"/>
      <c r="QZ86" s="24"/>
      <c r="RA86" s="24"/>
      <c r="RB86" s="24"/>
      <c r="RC86" s="24"/>
      <c r="RD86" s="24"/>
      <c r="RE86" s="24"/>
      <c r="RF86" s="24"/>
      <c r="RG86" s="24"/>
      <c r="RH86" s="24"/>
      <c r="RI86" s="24"/>
      <c r="RJ86" s="24"/>
      <c r="RK86" s="24"/>
      <c r="RL86" s="24"/>
      <c r="RM86" s="24"/>
      <c r="RN86" s="24"/>
      <c r="RO86" s="24"/>
      <c r="RP86" s="24"/>
      <c r="RQ86" s="24"/>
      <c r="RR86" s="24"/>
      <c r="RS86" s="24"/>
      <c r="RT86" s="24"/>
      <c r="RU86" s="24"/>
      <c r="RV86" s="24"/>
      <c r="RW86" s="24"/>
      <c r="RX86" s="24"/>
      <c r="RY86" s="24"/>
      <c r="RZ86" s="24"/>
      <c r="SA86" s="24"/>
      <c r="SB86" s="24"/>
      <c r="SC86" s="24"/>
      <c r="SD86" s="24"/>
      <c r="SE86" s="24"/>
      <c r="SF86" s="24"/>
      <c r="SG86" s="24"/>
      <c r="SH86" s="24"/>
      <c r="SI86" s="24"/>
      <c r="SJ86" s="24"/>
      <c r="SK86" s="24"/>
      <c r="SL86" s="24"/>
      <c r="SM86" s="24">
        <f t="shared" si="207"/>
        <v>0</v>
      </c>
      <c r="SN86" s="24">
        <f t="shared" si="208"/>
        <v>0</v>
      </c>
      <c r="SO86" s="24"/>
      <c r="SP86" s="24"/>
      <c r="SQ86" s="24"/>
      <c r="SR86" s="24"/>
      <c r="SS86" s="24"/>
      <c r="ST86" s="24"/>
      <c r="SU86" s="24"/>
      <c r="SV86" s="24"/>
      <c r="SW86" s="24"/>
      <c r="SX86" s="24"/>
      <c r="SY86" s="24"/>
      <c r="SZ86" s="24"/>
      <c r="TA86" s="24"/>
      <c r="TB86" s="24"/>
      <c r="TC86" s="24"/>
      <c r="TD86" s="24"/>
      <c r="TE86" s="24"/>
      <c r="TF86" s="24"/>
      <c r="TG86" s="24"/>
      <c r="TH86" s="24"/>
      <c r="TI86" s="24"/>
      <c r="TJ86" s="24"/>
      <c r="TK86" s="24"/>
      <c r="TL86" s="24"/>
      <c r="TM86" s="24"/>
      <c r="TN86" s="24"/>
      <c r="TO86" s="24"/>
      <c r="TP86" s="24"/>
      <c r="TQ86" s="24"/>
      <c r="TR86" s="24"/>
      <c r="TS86" s="24"/>
      <c r="TT86" s="24"/>
      <c r="TU86" s="24"/>
      <c r="TV86" s="24"/>
      <c r="TW86" s="24"/>
      <c r="TX86" s="24"/>
      <c r="TY86" s="24"/>
      <c r="TZ86" s="24"/>
      <c r="UA86" s="24"/>
      <c r="UB86" s="24"/>
      <c r="UC86" s="24"/>
      <c r="UD86" s="24"/>
      <c r="UE86" s="24"/>
      <c r="UF86" s="24"/>
      <c r="UG86" s="24"/>
      <c r="UH86" s="24"/>
      <c r="UI86" s="24"/>
      <c r="UJ86" s="24"/>
      <c r="UK86" s="24"/>
      <c r="UL86" s="24"/>
      <c r="UM86" s="24"/>
      <c r="UN86" s="24"/>
      <c r="UO86" s="24"/>
      <c r="UP86" s="24"/>
      <c r="UQ86" s="24"/>
      <c r="UR86" s="24"/>
      <c r="US86" s="24"/>
      <c r="UT86" s="24"/>
      <c r="UU86" s="24"/>
      <c r="UV86" s="24"/>
      <c r="UW86" s="24">
        <f t="shared" si="209"/>
        <v>0</v>
      </c>
      <c r="UX86" s="24">
        <f t="shared" si="210"/>
        <v>0</v>
      </c>
      <c r="UY86" s="24"/>
      <c r="UZ86" s="24"/>
      <c r="VA86" s="24"/>
      <c r="VB86" s="24"/>
      <c r="VC86" s="24"/>
      <c r="VD86" s="24"/>
      <c r="VE86" s="24"/>
      <c r="VF86" s="24"/>
      <c r="VG86" s="24"/>
      <c r="VH86" s="24"/>
      <c r="VI86" s="24"/>
      <c r="VJ86" s="24"/>
      <c r="VK86" s="24"/>
      <c r="VL86" s="24"/>
      <c r="VM86" s="24"/>
      <c r="VN86" s="24"/>
      <c r="VO86" s="24"/>
      <c r="VP86" s="24"/>
      <c r="VQ86" s="24"/>
      <c r="VR86" s="24"/>
      <c r="VS86" s="24"/>
      <c r="VT86" s="24"/>
      <c r="VU86" s="24"/>
      <c r="VV86" s="24"/>
      <c r="VW86" s="24"/>
      <c r="VX86" s="24"/>
      <c r="VY86" s="24"/>
      <c r="VZ86" s="24"/>
      <c r="WA86" s="24"/>
      <c r="WB86" s="24"/>
      <c r="WC86" s="24"/>
      <c r="WD86" s="24"/>
      <c r="WE86" s="24"/>
      <c r="WF86" s="24"/>
      <c r="WG86" s="24"/>
      <c r="WH86" s="24"/>
      <c r="WI86" s="24"/>
      <c r="WJ86" s="24"/>
      <c r="WK86" s="24"/>
      <c r="WL86" s="24"/>
      <c r="WM86" s="24"/>
      <c r="WN86" s="24"/>
      <c r="WO86" s="24"/>
      <c r="WP86" s="24"/>
      <c r="WQ86" s="24"/>
      <c r="WR86" s="24"/>
      <c r="WS86" s="24"/>
      <c r="WT86" s="24"/>
      <c r="WU86" s="24"/>
      <c r="WV86" s="24"/>
      <c r="WW86" s="24"/>
      <c r="WX86" s="24"/>
      <c r="WY86" s="24"/>
      <c r="WZ86" s="24"/>
      <c r="XA86" s="24"/>
      <c r="XB86" s="24"/>
      <c r="XC86" s="24"/>
      <c r="XD86" s="24"/>
      <c r="XE86" s="24"/>
      <c r="XF86" s="24"/>
      <c r="XG86" s="24"/>
      <c r="XH86" s="24"/>
      <c r="XI86" s="24">
        <f t="shared" si="211"/>
        <v>0</v>
      </c>
      <c r="XJ86" s="24">
        <f t="shared" si="212"/>
        <v>0</v>
      </c>
      <c r="XK86" s="24"/>
      <c r="XL86" s="24"/>
      <c r="XM86" s="24"/>
      <c r="XN86" s="24"/>
      <c r="XO86" s="24"/>
      <c r="XP86" s="24"/>
      <c r="XQ86" s="24"/>
      <c r="XR86" s="24"/>
      <c r="XS86" s="24"/>
      <c r="XT86" s="24"/>
      <c r="XU86" s="24"/>
      <c r="XV86" s="24"/>
      <c r="XW86" s="24"/>
      <c r="XX86" s="24"/>
      <c r="XY86" s="24"/>
      <c r="XZ86" s="24"/>
      <c r="YA86" s="24"/>
      <c r="YB86" s="24"/>
      <c r="YC86" s="24"/>
      <c r="YD86" s="24"/>
      <c r="YE86" s="24"/>
      <c r="YF86" s="24"/>
      <c r="YG86" s="24"/>
      <c r="YH86" s="24"/>
      <c r="YI86" s="24"/>
      <c r="YJ86" s="24"/>
      <c r="YK86" s="24"/>
      <c r="YL86" s="24"/>
      <c r="YM86" s="24"/>
      <c r="YN86" s="24"/>
      <c r="YO86" s="24"/>
      <c r="YP86" s="24"/>
      <c r="YQ86" s="24"/>
      <c r="YR86" s="24"/>
      <c r="YS86" s="24"/>
      <c r="YT86" s="24"/>
      <c r="YU86" s="24"/>
      <c r="YV86" s="24"/>
      <c r="YW86" s="24"/>
      <c r="YX86" s="24"/>
      <c r="YY86" s="24"/>
      <c r="YZ86" s="24"/>
      <c r="ZA86" s="24"/>
      <c r="ZB86" s="24"/>
      <c r="ZC86" s="24"/>
      <c r="ZD86" s="24"/>
      <c r="ZE86" s="24"/>
      <c r="ZF86" s="24"/>
      <c r="ZG86" s="24"/>
      <c r="ZH86" s="24"/>
      <c r="ZI86" s="24"/>
      <c r="ZJ86" s="24"/>
      <c r="ZK86" s="24"/>
      <c r="ZL86" s="24"/>
      <c r="ZM86" s="24"/>
      <c r="ZN86" s="24"/>
      <c r="ZO86" s="24"/>
      <c r="ZP86" s="24"/>
      <c r="ZQ86" s="24"/>
      <c r="ZR86" s="24"/>
      <c r="ZS86" s="24">
        <f t="shared" si="213"/>
        <v>0</v>
      </c>
      <c r="ZT86" s="24">
        <f t="shared" si="214"/>
        <v>0</v>
      </c>
      <c r="ZU86" s="24"/>
      <c r="ZV86" s="24"/>
      <c r="ZW86" s="24"/>
      <c r="ZX86" s="24"/>
      <c r="ZY86" s="24"/>
      <c r="ZZ86" s="24"/>
      <c r="AAA86" s="24"/>
      <c r="AAB86" s="24"/>
      <c r="AAC86" s="24"/>
      <c r="AAD86" s="24"/>
      <c r="AAE86" s="24"/>
      <c r="AAF86" s="24"/>
      <c r="AAG86" s="24"/>
      <c r="AAH86" s="24"/>
      <c r="AAI86" s="24"/>
      <c r="AAJ86" s="24"/>
      <c r="AAK86" s="24"/>
      <c r="AAL86" s="24"/>
      <c r="AAM86" s="24"/>
      <c r="AAN86" s="24"/>
      <c r="AAO86" s="24"/>
      <c r="AAP86" s="24"/>
      <c r="AAQ86" s="24"/>
      <c r="AAR86" s="24"/>
      <c r="AAS86" s="24"/>
      <c r="AAT86" s="24"/>
      <c r="AAU86" s="24"/>
      <c r="AAV86" s="24"/>
      <c r="AAW86" s="24"/>
      <c r="AAX86" s="24"/>
      <c r="AAY86" s="24"/>
      <c r="AAZ86" s="24"/>
      <c r="ABA86" s="24"/>
      <c r="ABB86" s="24"/>
      <c r="ABC86" s="24"/>
      <c r="ABD86" s="24"/>
      <c r="ABE86" s="24"/>
      <c r="ABF86" s="24"/>
      <c r="ABG86" s="24"/>
      <c r="ABH86" s="24"/>
      <c r="ABI86" s="24"/>
      <c r="ABJ86" s="24"/>
      <c r="ABK86" s="24"/>
      <c r="ABL86" s="24"/>
      <c r="ABM86" s="24"/>
      <c r="ABN86" s="24"/>
      <c r="ABO86" s="24"/>
      <c r="ABP86" s="24"/>
      <c r="ABQ86" s="24"/>
      <c r="ABR86" s="24"/>
      <c r="ABS86" s="24"/>
      <c r="ABT86" s="24"/>
      <c r="ABU86" s="24"/>
      <c r="ABV86" s="24"/>
      <c r="ABW86" s="24"/>
      <c r="ABX86" s="24"/>
      <c r="ABY86" s="24"/>
      <c r="ABZ86" s="24"/>
      <c r="ACA86" s="24"/>
      <c r="ACB86" s="24"/>
      <c r="ACC86" s="24"/>
      <c r="ACD86" s="24"/>
      <c r="ACE86" s="24">
        <f t="shared" si="215"/>
        <v>0</v>
      </c>
      <c r="ACF86" s="24"/>
      <c r="ACG86" s="24">
        <f t="shared" si="216"/>
        <v>0</v>
      </c>
      <c r="ACH86" s="25"/>
      <c r="ACI86" s="71" t="s">
        <v>183</v>
      </c>
      <c r="ACJ86" s="71" t="s">
        <v>100</v>
      </c>
    </row>
    <row r="87" spans="1:764" x14ac:dyDescent="0.25">
      <c r="A87" s="162"/>
      <c r="B87" s="152"/>
      <c r="C87" s="155"/>
      <c r="D87" s="50" t="s">
        <v>4</v>
      </c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24" cm="1">
        <f t="array" ref="BO87">SUMPRODUCT(E87:BM87,--(E$2:BM$2=BO$2))</f>
        <v>0</v>
      </c>
      <c r="BP87" s="24" cm="1">
        <f t="array" ref="BP87">SUMPRODUCT(F87:BN87,--(F$2:BN$2=BP$2))</f>
        <v>0</v>
      </c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4"/>
      <c r="CV87" s="24"/>
      <c r="CW87" s="24"/>
      <c r="CX87" s="24"/>
      <c r="CY87" s="24"/>
      <c r="CZ87" s="24"/>
      <c r="DA87" s="24"/>
      <c r="DB87" s="24"/>
      <c r="DC87" s="24"/>
      <c r="DD87" s="24"/>
      <c r="DE87" s="24"/>
      <c r="DF87" s="24"/>
      <c r="DG87" s="24"/>
      <c r="DH87" s="24"/>
      <c r="DI87" s="24"/>
      <c r="DJ87" s="24"/>
      <c r="DK87" s="24"/>
      <c r="DL87" s="24"/>
      <c r="DM87" s="24"/>
      <c r="DN87" s="24"/>
      <c r="DO87" s="24"/>
      <c r="DP87" s="24"/>
      <c r="DQ87" s="24"/>
      <c r="DR87" s="24"/>
      <c r="DS87" s="24"/>
      <c r="DT87" s="24"/>
      <c r="DU87" s="24"/>
      <c r="DV87" s="24"/>
      <c r="DW87" s="24" cm="1">
        <f t="array" ref="DW87">SUMPRODUCT(BQ87:DU87,--(BQ$2:DU$2=DW$2))</f>
        <v>0</v>
      </c>
      <c r="DX87" s="24" cm="1">
        <f t="array" ref="DX87">SUMPRODUCT(BR87:DV87,--(BR$2:DV$2=DX$2))</f>
        <v>0</v>
      </c>
      <c r="DY87" s="24"/>
      <c r="DZ87" s="24"/>
      <c r="EA87" s="24"/>
      <c r="EB87" s="24"/>
      <c r="EC87" s="24"/>
      <c r="ED87" s="24"/>
      <c r="EE87" s="24"/>
      <c r="EF87" s="24"/>
      <c r="EG87" s="24"/>
      <c r="EH87" s="24"/>
      <c r="EI87" s="24"/>
      <c r="EJ87" s="24"/>
      <c r="EK87" s="24"/>
      <c r="EL87" s="24"/>
      <c r="EM87" s="24"/>
      <c r="EN87" s="24"/>
      <c r="EO87" s="24"/>
      <c r="EP87" s="24"/>
      <c r="EQ87" s="24"/>
      <c r="ER87" s="24"/>
      <c r="ES87" s="24"/>
      <c r="ET87" s="24"/>
      <c r="EU87" s="24"/>
      <c r="EV87" s="24"/>
      <c r="EW87" s="24"/>
      <c r="EX87" s="24"/>
      <c r="EY87" s="24"/>
      <c r="EZ87" s="24"/>
      <c r="FA87" s="24"/>
      <c r="FB87" s="24"/>
      <c r="FC87" s="24"/>
      <c r="FD87" s="24"/>
      <c r="FE87" s="24"/>
      <c r="FF87" s="24"/>
      <c r="FG87" s="24"/>
      <c r="FH87" s="24"/>
      <c r="FI87" s="24"/>
      <c r="FJ87" s="24"/>
      <c r="FK87" s="24"/>
      <c r="FL87" s="24"/>
      <c r="FM87" s="24"/>
      <c r="FN87" s="24"/>
      <c r="FO87" s="24"/>
      <c r="FP87" s="24"/>
      <c r="FQ87" s="24"/>
      <c r="FR87" s="24"/>
      <c r="FS87" s="24"/>
      <c r="FT87" s="24"/>
      <c r="FU87" s="24"/>
      <c r="FV87" s="24"/>
      <c r="FW87" s="24"/>
      <c r="FX87" s="24"/>
      <c r="FY87" s="24"/>
      <c r="FZ87" s="24"/>
      <c r="GA87" s="24"/>
      <c r="GB87" s="24"/>
      <c r="GC87" s="24"/>
      <c r="GD87" s="24"/>
      <c r="GE87" s="24"/>
      <c r="GF87" s="24"/>
      <c r="GG87" s="24"/>
      <c r="GH87" s="24"/>
      <c r="GI87" s="24" cm="1">
        <f t="array" ref="GI87">SUMPRODUCT(DY87:GG87,--(DY$2:GG$2=GI$2))</f>
        <v>0</v>
      </c>
      <c r="GJ87" s="24" cm="1">
        <f t="array" ref="GJ87">SUMPRODUCT(DZ87:GH87,--(DZ$2:GH$2=GJ$2))</f>
        <v>0</v>
      </c>
      <c r="GK87" s="24"/>
      <c r="GL87" s="24"/>
      <c r="GM87" s="24"/>
      <c r="GN87" s="24"/>
      <c r="GO87" s="24"/>
      <c r="GP87" s="24"/>
      <c r="GQ87" s="24"/>
      <c r="GR87" s="24"/>
      <c r="GS87" s="24"/>
      <c r="GT87" s="24"/>
      <c r="GU87" s="24"/>
      <c r="GV87" s="24"/>
      <c r="GW87" s="24"/>
      <c r="GX87" s="24"/>
      <c r="GY87" s="24"/>
      <c r="GZ87" s="24"/>
      <c r="HA87" s="24"/>
      <c r="HB87" s="24"/>
      <c r="HC87" s="24"/>
      <c r="HD87" s="24"/>
      <c r="HE87" s="24"/>
      <c r="HF87" s="24"/>
      <c r="HG87" s="24"/>
      <c r="HH87" s="24"/>
      <c r="HI87" s="24"/>
      <c r="HJ87" s="24"/>
      <c r="HK87" s="24"/>
      <c r="HL87" s="24"/>
      <c r="HM87" s="24"/>
      <c r="HN87" s="24"/>
      <c r="HO87" s="24"/>
      <c r="HP87" s="24"/>
      <c r="HQ87" s="24"/>
      <c r="HR87" s="24"/>
      <c r="HS87" s="24"/>
      <c r="HT87" s="24"/>
      <c r="HU87" s="24"/>
      <c r="HV87" s="24"/>
      <c r="HW87" s="24"/>
      <c r="HX87" s="24"/>
      <c r="HY87" s="24"/>
      <c r="HZ87" s="24"/>
      <c r="IA87" s="24"/>
      <c r="IB87" s="24"/>
      <c r="IC87" s="24"/>
      <c r="ID87" s="24"/>
      <c r="IE87" s="24"/>
      <c r="IF87" s="24"/>
      <c r="IG87" s="24"/>
      <c r="IH87" s="24"/>
      <c r="II87" s="24"/>
      <c r="IJ87" s="24"/>
      <c r="IK87" s="24"/>
      <c r="IL87" s="24"/>
      <c r="IM87" s="24"/>
      <c r="IN87" s="24"/>
      <c r="IO87" s="24"/>
      <c r="IP87" s="24"/>
      <c r="IQ87" s="24"/>
      <c r="IR87" s="24"/>
      <c r="IS87" s="24">
        <f t="shared" si="199"/>
        <v>0</v>
      </c>
      <c r="IT87" s="24">
        <f t="shared" si="200"/>
        <v>0</v>
      </c>
      <c r="IU87" s="24"/>
      <c r="IV87" s="24"/>
      <c r="IW87" s="24"/>
      <c r="IX87" s="24"/>
      <c r="IY87" s="24"/>
      <c r="IZ87" s="24"/>
      <c r="JA87" s="24"/>
      <c r="JB87" s="24"/>
      <c r="JC87" s="24"/>
      <c r="JD87" s="24"/>
      <c r="JE87" s="24"/>
      <c r="JF87" s="24"/>
      <c r="JG87" s="24"/>
      <c r="JH87" s="24"/>
      <c r="JI87" s="24"/>
      <c r="JJ87" s="24"/>
      <c r="JK87" s="24"/>
      <c r="JL87" s="24"/>
      <c r="JM87" s="24"/>
      <c r="JN87" s="24"/>
      <c r="JO87" s="24"/>
      <c r="JP87" s="24"/>
      <c r="JQ87" s="24"/>
      <c r="JR87" s="24"/>
      <c r="JS87" s="24"/>
      <c r="JT87" s="24"/>
      <c r="JU87" s="24"/>
      <c r="JV87" s="24"/>
      <c r="JW87" s="24"/>
      <c r="JX87" s="24"/>
      <c r="JY87" s="24"/>
      <c r="JZ87" s="24"/>
      <c r="KA87" s="24"/>
      <c r="KB87" s="24"/>
      <c r="KC87" s="24"/>
      <c r="KD87" s="24"/>
      <c r="KE87" s="24"/>
      <c r="KF87" s="24"/>
      <c r="KG87" s="24"/>
      <c r="KH87" s="24"/>
      <c r="KI87" s="24"/>
      <c r="KJ87" s="24"/>
      <c r="KK87" s="24"/>
      <c r="KL87" s="24"/>
      <c r="KM87" s="24"/>
      <c r="KN87" s="24"/>
      <c r="KO87" s="24"/>
      <c r="KP87" s="24"/>
      <c r="KQ87" s="24"/>
      <c r="KR87" s="24"/>
      <c r="KS87" s="24"/>
      <c r="KT87" s="24"/>
      <c r="KU87" s="24"/>
      <c r="KV87" s="24"/>
      <c r="KW87" s="24"/>
      <c r="KX87" s="24"/>
      <c r="KY87" s="24"/>
      <c r="KZ87" s="24"/>
      <c r="LA87" s="24"/>
      <c r="LB87" s="24"/>
      <c r="LC87" s="24"/>
      <c r="LD87" s="24"/>
      <c r="LE87" s="24">
        <f t="shared" si="201"/>
        <v>0</v>
      </c>
      <c r="LF87" s="24">
        <f t="shared" si="202"/>
        <v>0</v>
      </c>
      <c r="LG87" s="24"/>
      <c r="LH87" s="24"/>
      <c r="LI87" s="24"/>
      <c r="LJ87" s="24"/>
      <c r="LK87" s="24"/>
      <c r="LL87" s="24"/>
      <c r="LM87" s="24"/>
      <c r="LN87" s="24"/>
      <c r="LO87" s="24"/>
      <c r="LP87" s="24"/>
      <c r="LQ87" s="24"/>
      <c r="LR87" s="24"/>
      <c r="LS87" s="24"/>
      <c r="LT87" s="24"/>
      <c r="LU87" s="24"/>
      <c r="LV87" s="24"/>
      <c r="LW87" s="24"/>
      <c r="LX87" s="24"/>
      <c r="LY87" s="24"/>
      <c r="LZ87" s="24"/>
      <c r="MA87" s="24"/>
      <c r="MB87" s="24"/>
      <c r="MC87" s="24"/>
      <c r="MD87" s="24"/>
      <c r="ME87" s="24"/>
      <c r="MF87" s="24"/>
      <c r="MG87" s="24"/>
      <c r="MH87" s="24"/>
      <c r="MI87" s="24"/>
      <c r="MJ87" s="24"/>
      <c r="MK87" s="24"/>
      <c r="ML87" s="24"/>
      <c r="MM87" s="24"/>
      <c r="MN87" s="24"/>
      <c r="MO87" s="24"/>
      <c r="MP87" s="24"/>
      <c r="MQ87" s="24"/>
      <c r="MR87" s="24"/>
      <c r="MS87" s="24"/>
      <c r="MT87" s="24"/>
      <c r="MU87" s="24"/>
      <c r="MV87" s="24"/>
      <c r="MW87" s="24"/>
      <c r="MX87" s="24"/>
      <c r="MY87" s="24"/>
      <c r="MZ87" s="24"/>
      <c r="NA87" s="24"/>
      <c r="NB87" s="24"/>
      <c r="NC87" s="24"/>
      <c r="ND87" s="24"/>
      <c r="NE87" s="24"/>
      <c r="NF87" s="24"/>
      <c r="NG87" s="24"/>
      <c r="NH87" s="24"/>
      <c r="NI87" s="24"/>
      <c r="NJ87" s="24"/>
      <c r="NK87" s="24"/>
      <c r="NL87" s="24"/>
      <c r="NM87" s="24"/>
      <c r="NN87" s="24"/>
      <c r="NO87" s="24">
        <f t="shared" si="203"/>
        <v>0</v>
      </c>
      <c r="NP87" s="24">
        <f t="shared" si="204"/>
        <v>0</v>
      </c>
      <c r="NQ87" s="24"/>
      <c r="NR87" s="24"/>
      <c r="NS87" s="24"/>
      <c r="NT87" s="24"/>
      <c r="NU87" s="24"/>
      <c r="NV87" s="24"/>
      <c r="NW87" s="24"/>
      <c r="NX87" s="24"/>
      <c r="NY87" s="24"/>
      <c r="NZ87" s="24"/>
      <c r="OA87" s="24"/>
      <c r="OB87" s="24"/>
      <c r="OC87" s="24"/>
      <c r="OD87" s="24"/>
      <c r="OE87" s="24"/>
      <c r="OF87" s="24"/>
      <c r="OG87" s="24"/>
      <c r="OH87" s="24"/>
      <c r="OI87" s="24"/>
      <c r="OJ87" s="24"/>
      <c r="OK87" s="24"/>
      <c r="OL87" s="24"/>
      <c r="OM87" s="24"/>
      <c r="ON87" s="24"/>
      <c r="OO87" s="24"/>
      <c r="OP87" s="24"/>
      <c r="OQ87" s="24"/>
      <c r="OR87" s="24"/>
      <c r="OS87" s="24"/>
      <c r="OT87" s="24"/>
      <c r="OU87" s="24"/>
      <c r="OV87" s="24"/>
      <c r="OW87" s="24"/>
      <c r="OX87" s="24"/>
      <c r="OY87" s="24"/>
      <c r="OZ87" s="24"/>
      <c r="PA87" s="24"/>
      <c r="PB87" s="24"/>
      <c r="PC87" s="24"/>
      <c r="PD87" s="24"/>
      <c r="PE87" s="24"/>
      <c r="PF87" s="24"/>
      <c r="PG87" s="24"/>
      <c r="PH87" s="24"/>
      <c r="PI87" s="24"/>
      <c r="PJ87" s="24"/>
      <c r="PK87" s="24"/>
      <c r="PL87" s="24"/>
      <c r="PM87" s="24"/>
      <c r="PN87" s="24"/>
      <c r="PO87" s="24"/>
      <c r="PP87" s="24"/>
      <c r="PQ87" s="24"/>
      <c r="PR87" s="24"/>
      <c r="PS87" s="24"/>
      <c r="PT87" s="24"/>
      <c r="PU87" s="24"/>
      <c r="PV87" s="24"/>
      <c r="PW87" s="24"/>
      <c r="PX87" s="24"/>
      <c r="PY87" s="24"/>
      <c r="PZ87" s="24"/>
      <c r="QA87" s="24">
        <f t="shared" si="205"/>
        <v>0</v>
      </c>
      <c r="QB87" s="24">
        <f t="shared" si="206"/>
        <v>0</v>
      </c>
      <c r="QC87" s="24"/>
      <c r="QD87" s="24"/>
      <c r="QE87" s="24"/>
      <c r="QF87" s="24"/>
      <c r="QG87" s="24"/>
      <c r="QH87" s="24"/>
      <c r="QI87" s="24"/>
      <c r="QJ87" s="24"/>
      <c r="QK87" s="24"/>
      <c r="QL87" s="24"/>
      <c r="QM87" s="24"/>
      <c r="QN87" s="24"/>
      <c r="QO87" s="24"/>
      <c r="QP87" s="24"/>
      <c r="QQ87" s="24"/>
      <c r="QR87" s="24"/>
      <c r="QS87" s="24"/>
      <c r="QT87" s="24"/>
      <c r="QU87" s="24"/>
      <c r="QV87" s="24"/>
      <c r="QW87" s="24"/>
      <c r="QX87" s="24"/>
      <c r="QY87" s="24"/>
      <c r="QZ87" s="24"/>
      <c r="RA87" s="24"/>
      <c r="RB87" s="24"/>
      <c r="RC87" s="24"/>
      <c r="RD87" s="24"/>
      <c r="RE87" s="24"/>
      <c r="RF87" s="24"/>
      <c r="RG87" s="24"/>
      <c r="RH87" s="24"/>
      <c r="RI87" s="24"/>
      <c r="RJ87" s="24"/>
      <c r="RK87" s="24"/>
      <c r="RL87" s="24"/>
      <c r="RM87" s="24"/>
      <c r="RN87" s="24"/>
      <c r="RO87" s="24"/>
      <c r="RP87" s="24"/>
      <c r="RQ87" s="24"/>
      <c r="RR87" s="24"/>
      <c r="RS87" s="24"/>
      <c r="RT87" s="24"/>
      <c r="RU87" s="24"/>
      <c r="RV87" s="24"/>
      <c r="RW87" s="24"/>
      <c r="RX87" s="24"/>
      <c r="RY87" s="24"/>
      <c r="RZ87" s="24"/>
      <c r="SA87" s="24"/>
      <c r="SB87" s="24"/>
      <c r="SC87" s="24"/>
      <c r="SD87" s="24"/>
      <c r="SE87" s="24"/>
      <c r="SF87" s="24"/>
      <c r="SG87" s="24"/>
      <c r="SH87" s="24"/>
      <c r="SI87" s="24"/>
      <c r="SJ87" s="24"/>
      <c r="SK87" s="24"/>
      <c r="SL87" s="24"/>
      <c r="SM87" s="24">
        <f t="shared" si="207"/>
        <v>0</v>
      </c>
      <c r="SN87" s="24">
        <f t="shared" si="208"/>
        <v>0</v>
      </c>
      <c r="SO87" s="24"/>
      <c r="SP87" s="24"/>
      <c r="SQ87" s="24"/>
      <c r="SR87" s="24"/>
      <c r="SS87" s="24"/>
      <c r="ST87" s="24"/>
      <c r="SU87" s="24"/>
      <c r="SV87" s="24"/>
      <c r="SW87" s="24"/>
      <c r="SX87" s="24"/>
      <c r="SY87" s="24"/>
      <c r="SZ87" s="24"/>
      <c r="TA87" s="24"/>
      <c r="TB87" s="24"/>
      <c r="TC87" s="24"/>
      <c r="TD87" s="24"/>
      <c r="TE87" s="24"/>
      <c r="TF87" s="24"/>
      <c r="TG87" s="24"/>
      <c r="TH87" s="24"/>
      <c r="TI87" s="24"/>
      <c r="TJ87" s="24"/>
      <c r="TK87" s="24"/>
      <c r="TL87" s="24"/>
      <c r="TM87" s="24"/>
      <c r="TN87" s="24"/>
      <c r="TO87" s="24"/>
      <c r="TP87" s="24"/>
      <c r="TQ87" s="24"/>
      <c r="TR87" s="24"/>
      <c r="TS87" s="24"/>
      <c r="TT87" s="24"/>
      <c r="TU87" s="24"/>
      <c r="TV87" s="24"/>
      <c r="TW87" s="24"/>
      <c r="TX87" s="24"/>
      <c r="TY87" s="24"/>
      <c r="TZ87" s="24"/>
      <c r="UA87" s="24"/>
      <c r="UB87" s="24"/>
      <c r="UC87" s="24"/>
      <c r="UD87" s="24"/>
      <c r="UE87" s="24"/>
      <c r="UF87" s="24"/>
      <c r="UG87" s="24"/>
      <c r="UH87" s="24"/>
      <c r="UI87" s="24"/>
      <c r="UJ87" s="24"/>
      <c r="UK87" s="24"/>
      <c r="UL87" s="24"/>
      <c r="UM87" s="24"/>
      <c r="UN87" s="24"/>
      <c r="UO87" s="24"/>
      <c r="UP87" s="24"/>
      <c r="UQ87" s="24"/>
      <c r="UR87" s="24"/>
      <c r="US87" s="24"/>
      <c r="UT87" s="24"/>
      <c r="UU87" s="24"/>
      <c r="UV87" s="24"/>
      <c r="UW87" s="24">
        <f t="shared" si="209"/>
        <v>0</v>
      </c>
      <c r="UX87" s="24">
        <f t="shared" si="210"/>
        <v>0</v>
      </c>
      <c r="UY87" s="24"/>
      <c r="UZ87" s="24"/>
      <c r="VA87" s="24"/>
      <c r="VB87" s="24"/>
      <c r="VC87" s="24"/>
      <c r="VD87" s="24"/>
      <c r="VE87" s="24"/>
      <c r="VF87" s="24"/>
      <c r="VG87" s="24"/>
      <c r="VH87" s="24"/>
      <c r="VI87" s="24"/>
      <c r="VJ87" s="24"/>
      <c r="VK87" s="24"/>
      <c r="VL87" s="24"/>
      <c r="VM87" s="24"/>
      <c r="VN87" s="24"/>
      <c r="VO87" s="24"/>
      <c r="VP87" s="24"/>
      <c r="VQ87" s="24"/>
      <c r="VR87" s="24"/>
      <c r="VS87" s="24"/>
      <c r="VT87" s="24"/>
      <c r="VU87" s="24"/>
      <c r="VV87" s="24"/>
      <c r="VW87" s="24"/>
      <c r="VX87" s="24"/>
      <c r="VY87" s="24"/>
      <c r="VZ87" s="24"/>
      <c r="WA87" s="24"/>
      <c r="WB87" s="24"/>
      <c r="WC87" s="24"/>
      <c r="WD87" s="24"/>
      <c r="WE87" s="24"/>
      <c r="WF87" s="24"/>
      <c r="WG87" s="24"/>
      <c r="WH87" s="24"/>
      <c r="WI87" s="24"/>
      <c r="WJ87" s="24"/>
      <c r="WK87" s="24"/>
      <c r="WL87" s="24"/>
      <c r="WM87" s="24"/>
      <c r="WN87" s="24"/>
      <c r="WO87" s="24"/>
      <c r="WP87" s="24"/>
      <c r="WQ87" s="24"/>
      <c r="WR87" s="24"/>
      <c r="WS87" s="24"/>
      <c r="WT87" s="24"/>
      <c r="WU87" s="24"/>
      <c r="WV87" s="24"/>
      <c r="WW87" s="24"/>
      <c r="WX87" s="24"/>
      <c r="WY87" s="24"/>
      <c r="WZ87" s="24"/>
      <c r="XA87" s="24"/>
      <c r="XB87" s="24"/>
      <c r="XC87" s="24"/>
      <c r="XD87" s="24"/>
      <c r="XE87" s="24"/>
      <c r="XF87" s="24"/>
      <c r="XG87" s="24"/>
      <c r="XH87" s="24"/>
      <c r="XI87" s="24">
        <f t="shared" si="211"/>
        <v>0</v>
      </c>
      <c r="XJ87" s="24">
        <f t="shared" si="212"/>
        <v>0</v>
      </c>
      <c r="XK87" s="24"/>
      <c r="XL87" s="24"/>
      <c r="XM87" s="24"/>
      <c r="XN87" s="24"/>
      <c r="XO87" s="24"/>
      <c r="XP87" s="24"/>
      <c r="XQ87" s="24"/>
      <c r="XR87" s="24"/>
      <c r="XS87" s="24"/>
      <c r="XT87" s="24"/>
      <c r="XU87" s="24"/>
      <c r="XV87" s="24"/>
      <c r="XW87" s="24"/>
      <c r="XX87" s="24"/>
      <c r="XY87" s="24"/>
      <c r="XZ87" s="24"/>
      <c r="YA87" s="24"/>
      <c r="YB87" s="24"/>
      <c r="YC87" s="24"/>
      <c r="YD87" s="24"/>
      <c r="YE87" s="24"/>
      <c r="YF87" s="24"/>
      <c r="YG87" s="24"/>
      <c r="YH87" s="24"/>
      <c r="YI87" s="24"/>
      <c r="YJ87" s="24"/>
      <c r="YK87" s="24"/>
      <c r="YL87" s="24"/>
      <c r="YM87" s="24"/>
      <c r="YN87" s="24"/>
      <c r="YO87" s="24"/>
      <c r="YP87" s="24"/>
      <c r="YQ87" s="24"/>
      <c r="YR87" s="24"/>
      <c r="YS87" s="24"/>
      <c r="YT87" s="24"/>
      <c r="YU87" s="24"/>
      <c r="YV87" s="24"/>
      <c r="YW87" s="24"/>
      <c r="YX87" s="24"/>
      <c r="YY87" s="24"/>
      <c r="YZ87" s="24"/>
      <c r="ZA87" s="24"/>
      <c r="ZB87" s="24"/>
      <c r="ZC87" s="24"/>
      <c r="ZD87" s="24"/>
      <c r="ZE87" s="24"/>
      <c r="ZF87" s="24"/>
      <c r="ZG87" s="24"/>
      <c r="ZH87" s="24"/>
      <c r="ZI87" s="24"/>
      <c r="ZJ87" s="24"/>
      <c r="ZK87" s="24"/>
      <c r="ZL87" s="24"/>
      <c r="ZM87" s="24"/>
      <c r="ZN87" s="24"/>
      <c r="ZO87" s="24"/>
      <c r="ZP87" s="24"/>
      <c r="ZQ87" s="24"/>
      <c r="ZR87" s="24"/>
      <c r="ZS87" s="24">
        <f t="shared" si="213"/>
        <v>0</v>
      </c>
      <c r="ZT87" s="24">
        <f t="shared" si="214"/>
        <v>0</v>
      </c>
      <c r="ZU87" s="24"/>
      <c r="ZV87" s="24"/>
      <c r="ZW87" s="24"/>
      <c r="ZX87" s="24"/>
      <c r="ZY87" s="24"/>
      <c r="ZZ87" s="24"/>
      <c r="AAA87" s="24"/>
      <c r="AAB87" s="24"/>
      <c r="AAC87" s="24"/>
      <c r="AAD87" s="24"/>
      <c r="AAE87" s="24"/>
      <c r="AAF87" s="24"/>
      <c r="AAG87" s="24"/>
      <c r="AAH87" s="24"/>
      <c r="AAI87" s="24"/>
      <c r="AAJ87" s="24"/>
      <c r="AAK87" s="24"/>
      <c r="AAL87" s="24"/>
      <c r="AAM87" s="24"/>
      <c r="AAN87" s="24"/>
      <c r="AAO87" s="24"/>
      <c r="AAP87" s="24"/>
      <c r="AAQ87" s="24"/>
      <c r="AAR87" s="24"/>
      <c r="AAS87" s="24"/>
      <c r="AAT87" s="24"/>
      <c r="AAU87" s="24"/>
      <c r="AAV87" s="24"/>
      <c r="AAW87" s="24"/>
      <c r="AAX87" s="24"/>
      <c r="AAY87" s="24"/>
      <c r="AAZ87" s="24"/>
      <c r="ABA87" s="24"/>
      <c r="ABB87" s="24"/>
      <c r="ABC87" s="24"/>
      <c r="ABD87" s="24"/>
      <c r="ABE87" s="24"/>
      <c r="ABF87" s="24"/>
      <c r="ABG87" s="24"/>
      <c r="ABH87" s="24"/>
      <c r="ABI87" s="24"/>
      <c r="ABJ87" s="24"/>
      <c r="ABK87" s="24"/>
      <c r="ABL87" s="24"/>
      <c r="ABM87" s="24"/>
      <c r="ABN87" s="24"/>
      <c r="ABO87" s="24"/>
      <c r="ABP87" s="24"/>
      <c r="ABQ87" s="24"/>
      <c r="ABR87" s="24"/>
      <c r="ABS87" s="24"/>
      <c r="ABT87" s="24"/>
      <c r="ABU87" s="24"/>
      <c r="ABV87" s="24"/>
      <c r="ABW87" s="24"/>
      <c r="ABX87" s="24"/>
      <c r="ABY87" s="24"/>
      <c r="ABZ87" s="24"/>
      <c r="ACA87" s="24"/>
      <c r="ACB87" s="24"/>
      <c r="ACC87" s="24"/>
      <c r="ACD87" s="24"/>
      <c r="ACE87" s="24">
        <f t="shared" si="215"/>
        <v>0</v>
      </c>
      <c r="ACF87" s="24"/>
      <c r="ACG87" s="24">
        <f t="shared" si="216"/>
        <v>0</v>
      </c>
      <c r="ACH87" s="25"/>
      <c r="ACI87" s="71" t="s">
        <v>184</v>
      </c>
      <c r="ACJ87" s="71" t="s">
        <v>100</v>
      </c>
    </row>
    <row r="88" spans="1:764" x14ac:dyDescent="0.25">
      <c r="A88" s="162"/>
      <c r="B88" s="152"/>
      <c r="C88" s="155"/>
      <c r="D88" s="50" t="s">
        <v>8</v>
      </c>
      <c r="E88" s="74"/>
      <c r="F88" s="75"/>
      <c r="G88" s="75">
        <v>25.02</v>
      </c>
      <c r="H88" s="75">
        <v>25.1</v>
      </c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>
        <v>26.58</v>
      </c>
      <c r="Z88" s="75">
        <v>26.62</v>
      </c>
      <c r="AA88" s="75">
        <v>50.980000000000004</v>
      </c>
      <c r="AB88" s="75">
        <v>48.5</v>
      </c>
      <c r="AC88" s="75">
        <v>51.42</v>
      </c>
      <c r="AD88" s="75">
        <v>50.92</v>
      </c>
      <c r="AE88" s="75"/>
      <c r="AF88" s="75"/>
      <c r="AG88" s="75"/>
      <c r="AH88" s="75"/>
      <c r="AI88" s="75">
        <v>50.34</v>
      </c>
      <c r="AJ88" s="75">
        <v>50.62</v>
      </c>
      <c r="AK88" s="75">
        <v>76.14</v>
      </c>
      <c r="AL88" s="75">
        <v>76.360000000000014</v>
      </c>
      <c r="AM88" s="75">
        <v>78.400000000000006</v>
      </c>
      <c r="AN88" s="75">
        <v>78.680000000000007</v>
      </c>
      <c r="AO88" s="75">
        <v>139.51999999999998</v>
      </c>
      <c r="AP88" s="75">
        <v>138.19999999999999</v>
      </c>
      <c r="AQ88" s="75">
        <v>72.98</v>
      </c>
      <c r="AR88" s="75">
        <v>71.260000000000005</v>
      </c>
      <c r="AS88" s="75">
        <v>40.400000000000006</v>
      </c>
      <c r="AT88" s="75">
        <v>39.72</v>
      </c>
      <c r="AU88" s="75">
        <v>23.6</v>
      </c>
      <c r="AV88" s="75">
        <v>23.64</v>
      </c>
      <c r="AW88" s="75">
        <v>24.64</v>
      </c>
      <c r="AX88" s="75">
        <v>25.5</v>
      </c>
      <c r="AY88" s="75">
        <v>57.379999999999995</v>
      </c>
      <c r="AZ88" s="75">
        <v>58.540000000000006</v>
      </c>
      <c r="BA88" s="75">
        <v>31.7</v>
      </c>
      <c r="BB88" s="75">
        <v>31.78</v>
      </c>
      <c r="BC88" s="75"/>
      <c r="BD88" s="75"/>
      <c r="BE88" s="75"/>
      <c r="BF88" s="75"/>
      <c r="BG88" s="75"/>
      <c r="BH88" s="75"/>
      <c r="BI88" s="75">
        <v>27.58</v>
      </c>
      <c r="BJ88" s="75">
        <v>27.6</v>
      </c>
      <c r="BK88" s="75">
        <v>60.16</v>
      </c>
      <c r="BL88" s="75">
        <v>60.180000000000007</v>
      </c>
      <c r="BM88" s="75">
        <v>29.96</v>
      </c>
      <c r="BN88" s="75">
        <v>30.12</v>
      </c>
      <c r="BO88" s="24" cm="1">
        <f t="array" ref="BO88">SUMPRODUCT(E88:BM88,--(E$2:BM$2=BO$2))</f>
        <v>866.80000000000007</v>
      </c>
      <c r="BP88" s="24" cm="1">
        <f t="array" ref="BP88">SUMPRODUCT(F88:BN88,--(F$2:BN$2=BP$2))</f>
        <v>863.34</v>
      </c>
      <c r="BQ88" s="24">
        <v>92.48</v>
      </c>
      <c r="BR88" s="24">
        <v>92.5</v>
      </c>
      <c r="BS88" s="24"/>
      <c r="BT88" s="24"/>
      <c r="BU88" s="24">
        <v>80.039999999999992</v>
      </c>
      <c r="BV88" s="24">
        <v>80.84</v>
      </c>
      <c r="BW88" s="24">
        <v>51.36</v>
      </c>
      <c r="BX88" s="24">
        <v>51.34</v>
      </c>
      <c r="BY88" s="24">
        <v>57.78</v>
      </c>
      <c r="BZ88" s="24">
        <v>57.760000000000005</v>
      </c>
      <c r="CA88" s="24">
        <v>77.899999999999991</v>
      </c>
      <c r="CB88" s="24">
        <v>77.86</v>
      </c>
      <c r="CC88" s="24">
        <v>121.97999999999999</v>
      </c>
      <c r="CD88" s="24">
        <v>121.92000000000002</v>
      </c>
      <c r="CE88" s="24">
        <v>72.400000000000006</v>
      </c>
      <c r="CF88" s="24">
        <v>72.72</v>
      </c>
      <c r="CG88" s="24">
        <v>54.48</v>
      </c>
      <c r="CH88" s="24">
        <v>54.5</v>
      </c>
      <c r="CI88" s="24">
        <v>46.019999999999996</v>
      </c>
      <c r="CJ88" s="24">
        <v>46</v>
      </c>
      <c r="CK88" s="24">
        <v>23.98</v>
      </c>
      <c r="CL88" s="24">
        <v>24.14</v>
      </c>
      <c r="CM88" s="24">
        <v>52.44</v>
      </c>
      <c r="CN88" s="24">
        <v>52.42</v>
      </c>
      <c r="CO88" s="24">
        <v>153.68</v>
      </c>
      <c r="CP88" s="24">
        <v>153.92000000000002</v>
      </c>
      <c r="CQ88" s="24">
        <v>50.68</v>
      </c>
      <c r="CR88" s="24">
        <v>50.78</v>
      </c>
      <c r="CS88" s="24">
        <v>82.86</v>
      </c>
      <c r="CT88" s="24">
        <v>82.96</v>
      </c>
      <c r="CU88" s="24">
        <v>118.56</v>
      </c>
      <c r="CV88" s="24">
        <v>118.76</v>
      </c>
      <c r="CW88" s="24">
        <v>104.62</v>
      </c>
      <c r="CX88" s="24">
        <v>105.9</v>
      </c>
      <c r="CY88" s="24">
        <v>78.84</v>
      </c>
      <c r="CZ88" s="24">
        <v>78.52</v>
      </c>
      <c r="DA88" s="24">
        <v>76.739999999999995</v>
      </c>
      <c r="DB88" s="24">
        <v>76.52</v>
      </c>
      <c r="DC88" s="24">
        <v>150.16000000000003</v>
      </c>
      <c r="DD88" s="24">
        <v>149.98000000000002</v>
      </c>
      <c r="DE88" s="24">
        <v>68.3</v>
      </c>
      <c r="DF88" s="24">
        <v>68.16</v>
      </c>
      <c r="DG88" s="24">
        <v>94.06</v>
      </c>
      <c r="DH88" s="24">
        <v>93.86</v>
      </c>
      <c r="DI88" s="24">
        <v>78.09</v>
      </c>
      <c r="DJ88" s="24">
        <v>78.28</v>
      </c>
      <c r="DK88" s="24">
        <v>111.28</v>
      </c>
      <c r="DL88" s="24">
        <v>110.92</v>
      </c>
      <c r="DM88" s="24">
        <v>83.64</v>
      </c>
      <c r="DN88" s="24">
        <v>83.399999999999991</v>
      </c>
      <c r="DO88" s="24">
        <v>29.14</v>
      </c>
      <c r="DP88" s="24">
        <v>29.08</v>
      </c>
      <c r="DQ88" s="24">
        <v>150.89999999999998</v>
      </c>
      <c r="DR88" s="24">
        <v>150.9</v>
      </c>
      <c r="DS88" s="24"/>
      <c r="DT88" s="24"/>
      <c r="DU88" s="24">
        <v>31.58</v>
      </c>
      <c r="DV88" s="24">
        <v>31.58</v>
      </c>
      <c r="DW88" s="24" cm="1">
        <f t="array" ref="DW88">SUMPRODUCT(BQ88:DU88,--(BQ$2:DU$2=DW$2))</f>
        <v>2193.9899999999998</v>
      </c>
      <c r="DX88" s="24" cm="1">
        <f t="array" ref="DX88">SUMPRODUCT(BR88:DV88,--(BR$2:DV$2=DX$2))</f>
        <v>2195.52</v>
      </c>
      <c r="DY88" s="24">
        <v>57.2</v>
      </c>
      <c r="DZ88" s="24">
        <v>57.34</v>
      </c>
      <c r="EA88" s="24">
        <v>27.6</v>
      </c>
      <c r="EB88" s="24">
        <v>27.54</v>
      </c>
      <c r="EC88" s="24">
        <v>24.84</v>
      </c>
      <c r="ED88" s="24">
        <v>24.82</v>
      </c>
      <c r="EE88" s="24">
        <v>56.7</v>
      </c>
      <c r="EF88" s="24">
        <v>56.66</v>
      </c>
      <c r="EG88" s="24">
        <v>29.42</v>
      </c>
      <c r="EH88" s="24">
        <v>29.4</v>
      </c>
      <c r="EI88" s="24">
        <v>29.38</v>
      </c>
      <c r="EJ88" s="24">
        <v>29.24</v>
      </c>
      <c r="EK88" s="24"/>
      <c r="EL88" s="24"/>
      <c r="EM88" s="24">
        <v>80.040000000000006</v>
      </c>
      <c r="EN88" s="24">
        <v>80.180000000000007</v>
      </c>
      <c r="EO88" s="24">
        <v>45.46</v>
      </c>
      <c r="EP88" s="24">
        <v>45.239999999999995</v>
      </c>
      <c r="EQ88" s="24">
        <v>23.12</v>
      </c>
      <c r="ER88" s="24">
        <v>23.12</v>
      </c>
      <c r="ES88" s="24">
        <v>58.3</v>
      </c>
      <c r="ET88" s="24">
        <v>58.3</v>
      </c>
      <c r="EU88" s="24">
        <v>28.76</v>
      </c>
      <c r="EV88" s="24">
        <v>28.72</v>
      </c>
      <c r="EW88" s="24">
        <v>63.8</v>
      </c>
      <c r="EX88" s="24">
        <v>63.36</v>
      </c>
      <c r="EY88" s="24">
        <v>30.58</v>
      </c>
      <c r="EZ88" s="24">
        <v>30.52</v>
      </c>
      <c r="FA88" s="24">
        <v>67.759999999999991</v>
      </c>
      <c r="FB88" s="24">
        <v>67.66</v>
      </c>
      <c r="FC88" s="24">
        <v>30.52</v>
      </c>
      <c r="FD88" s="24">
        <v>30.34</v>
      </c>
      <c r="FE88" s="24">
        <v>58.94</v>
      </c>
      <c r="FF88" s="24">
        <v>58.56</v>
      </c>
      <c r="FG88" s="24">
        <v>93.92</v>
      </c>
      <c r="FH88" s="24">
        <v>94.179999999999993</v>
      </c>
      <c r="FI88" s="24">
        <v>94.920000000000016</v>
      </c>
      <c r="FJ88" s="24">
        <v>94.82</v>
      </c>
      <c r="FK88" s="24">
        <v>34.6</v>
      </c>
      <c r="FL88" s="24">
        <v>34.520000000000003</v>
      </c>
      <c r="FM88" s="24">
        <v>133.68</v>
      </c>
      <c r="FN88" s="24">
        <v>133.44</v>
      </c>
      <c r="FO88" s="24">
        <v>63.980000000000004</v>
      </c>
      <c r="FP88" s="24">
        <v>63.86</v>
      </c>
      <c r="FQ88" s="24">
        <v>33.299999999999997</v>
      </c>
      <c r="FR88" s="24">
        <v>33.28</v>
      </c>
      <c r="FS88" s="24">
        <v>62.160000000000004</v>
      </c>
      <c r="FT88" s="24">
        <v>61.78</v>
      </c>
      <c r="FU88" s="24"/>
      <c r="FV88" s="24"/>
      <c r="FW88" s="24">
        <v>93.03</v>
      </c>
      <c r="FX88" s="24">
        <v>93.039999999999992</v>
      </c>
      <c r="FY88" s="24"/>
      <c r="FZ88" s="24"/>
      <c r="GA88" s="24">
        <v>59.28</v>
      </c>
      <c r="GB88" s="24">
        <v>59.28</v>
      </c>
      <c r="GC88" s="24">
        <v>27.64</v>
      </c>
      <c r="GD88" s="24">
        <v>27.64</v>
      </c>
      <c r="GE88" s="24"/>
      <c r="GF88" s="24"/>
      <c r="GG88" s="24">
        <v>25.1</v>
      </c>
      <c r="GH88" s="24">
        <v>24.98</v>
      </c>
      <c r="GI88" s="24" cm="1">
        <f t="array" ref="GI88">SUMPRODUCT(DY88:GG88,--(DY$2:GG$2=GI$2))</f>
        <v>1434.03</v>
      </c>
      <c r="GJ88" s="24" cm="1">
        <f t="array" ref="GJ88">SUMPRODUCT(DZ88:GH88,--(DZ$2:GH$2=GJ$2))</f>
        <v>1431.82</v>
      </c>
      <c r="GK88" s="24"/>
      <c r="GL88" s="24"/>
      <c r="GM88" s="24">
        <v>83.6</v>
      </c>
      <c r="GN88" s="24">
        <v>83.28</v>
      </c>
      <c r="GO88" s="24">
        <v>71.2</v>
      </c>
      <c r="GP88" s="24">
        <v>70.97999999999999</v>
      </c>
      <c r="GQ88" s="24">
        <v>29.88</v>
      </c>
      <c r="GR88" s="24">
        <v>29.82</v>
      </c>
      <c r="GS88" s="24">
        <v>28.8</v>
      </c>
      <c r="GT88" s="24">
        <v>28.74</v>
      </c>
      <c r="GU88" s="24"/>
      <c r="GV88" s="24"/>
      <c r="GW88" s="24">
        <v>78.819999999999993</v>
      </c>
      <c r="GX88" s="24">
        <v>78.899999999999991</v>
      </c>
      <c r="GY88" s="24">
        <v>53.620000000000005</v>
      </c>
      <c r="GZ88" s="24">
        <v>53.84</v>
      </c>
      <c r="HA88" s="24"/>
      <c r="HB88" s="24"/>
      <c r="HC88" s="24">
        <v>63.86</v>
      </c>
      <c r="HD88" s="24">
        <v>63.66</v>
      </c>
      <c r="HE88" s="24">
        <v>53.16</v>
      </c>
      <c r="HF88" s="24">
        <v>53.260000000000005</v>
      </c>
      <c r="HG88" s="24"/>
      <c r="HH88" s="24"/>
      <c r="HI88" s="24">
        <v>109.41999999999999</v>
      </c>
      <c r="HJ88" s="24">
        <v>109.24000000000001</v>
      </c>
      <c r="HK88" s="24">
        <v>77.14</v>
      </c>
      <c r="HL88" s="24">
        <v>77.039999999999992</v>
      </c>
      <c r="HM88" s="24">
        <v>92.36</v>
      </c>
      <c r="HN88" s="24">
        <v>92.460000000000008</v>
      </c>
      <c r="HO88" s="24">
        <v>60.540000000000006</v>
      </c>
      <c r="HP88" s="24">
        <v>60.44</v>
      </c>
      <c r="HQ88" s="24">
        <v>84.86</v>
      </c>
      <c r="HR88" s="24">
        <v>85</v>
      </c>
      <c r="HS88" s="24">
        <v>56.74</v>
      </c>
      <c r="HT88" s="24">
        <v>56.68</v>
      </c>
      <c r="HU88" s="24">
        <v>92.62</v>
      </c>
      <c r="HV88" s="24">
        <v>92.86</v>
      </c>
      <c r="HW88" s="24">
        <v>52.82</v>
      </c>
      <c r="HX88" s="24">
        <v>52.900000000000006</v>
      </c>
      <c r="HY88" s="24">
        <v>24.02</v>
      </c>
      <c r="HZ88" s="24">
        <v>24.06</v>
      </c>
      <c r="IA88" s="24">
        <v>30.58</v>
      </c>
      <c r="IB88" s="24">
        <v>30.52</v>
      </c>
      <c r="IC88" s="24">
        <v>31.46</v>
      </c>
      <c r="ID88" s="24">
        <v>31.52</v>
      </c>
      <c r="IE88" s="24"/>
      <c r="IF88" s="24"/>
      <c r="IG88" s="24">
        <v>29.04</v>
      </c>
      <c r="IH88" s="24">
        <v>29.98</v>
      </c>
      <c r="II88" s="24">
        <v>59.9</v>
      </c>
      <c r="IJ88" s="24">
        <v>59.760000000000005</v>
      </c>
      <c r="IK88" s="24"/>
      <c r="IL88" s="24"/>
      <c r="IM88" s="24"/>
      <c r="IN88" s="24"/>
      <c r="IO88" s="24"/>
      <c r="IP88" s="24"/>
      <c r="IQ88" s="24"/>
      <c r="IR88" s="24"/>
      <c r="IS88" s="24">
        <f t="shared" si="199"/>
        <v>1264.4399999999998</v>
      </c>
      <c r="IT88" s="24">
        <f t="shared" si="200"/>
        <v>1264.9399999999998</v>
      </c>
      <c r="IU88" s="24">
        <v>86.039999999999992</v>
      </c>
      <c r="IV88" s="24">
        <v>85.92</v>
      </c>
      <c r="IW88" s="24">
        <v>53.29</v>
      </c>
      <c r="IX88" s="24">
        <v>54.14</v>
      </c>
      <c r="IY88" s="24">
        <v>27.2</v>
      </c>
      <c r="IZ88" s="24">
        <v>27.14</v>
      </c>
      <c r="JA88" s="24">
        <v>82.72</v>
      </c>
      <c r="JB88" s="24">
        <v>82.58</v>
      </c>
      <c r="JC88" s="24">
        <v>77.56</v>
      </c>
      <c r="JD88" s="24">
        <v>77.44</v>
      </c>
      <c r="JE88" s="24">
        <v>81.7</v>
      </c>
      <c r="JF88" s="24">
        <v>81.540000000000006</v>
      </c>
      <c r="JG88" s="24">
        <v>53.82</v>
      </c>
      <c r="JH88" s="24">
        <v>53.739999999999995</v>
      </c>
      <c r="JI88" s="24">
        <v>28.86</v>
      </c>
      <c r="JJ88" s="24">
        <v>28.78</v>
      </c>
      <c r="JK88" s="24">
        <v>51.68</v>
      </c>
      <c r="JL88" s="24">
        <v>51.7</v>
      </c>
      <c r="JM88" s="24">
        <v>85.63</v>
      </c>
      <c r="JN88" s="24">
        <v>86</v>
      </c>
      <c r="JO88" s="24">
        <v>86.84</v>
      </c>
      <c r="JP88" s="24">
        <v>87.12</v>
      </c>
      <c r="JQ88" s="24">
        <v>110</v>
      </c>
      <c r="JR88" s="24">
        <v>109.62</v>
      </c>
      <c r="JS88" s="24">
        <v>85.32</v>
      </c>
      <c r="JT88" s="24">
        <v>86.54</v>
      </c>
      <c r="JU88" s="24"/>
      <c r="JV88" s="24"/>
      <c r="JW88" s="24"/>
      <c r="JX88" s="24"/>
      <c r="JY88" s="24"/>
      <c r="JZ88" s="24"/>
      <c r="KA88" s="24"/>
      <c r="KB88" s="24"/>
      <c r="KC88" s="24"/>
      <c r="KD88" s="24"/>
      <c r="KE88" s="24"/>
      <c r="KF88" s="24"/>
      <c r="KG88" s="24"/>
      <c r="KH88" s="24"/>
      <c r="KI88" s="24"/>
      <c r="KJ88" s="24"/>
      <c r="KK88" s="24"/>
      <c r="KL88" s="24"/>
      <c r="KM88" s="24"/>
      <c r="KN88" s="24"/>
      <c r="KO88" s="24"/>
      <c r="KP88" s="24"/>
      <c r="KQ88" s="24"/>
      <c r="KR88" s="24"/>
      <c r="KS88" s="24"/>
      <c r="KT88" s="24"/>
      <c r="KU88" s="24"/>
      <c r="KV88" s="24"/>
      <c r="KW88" s="24"/>
      <c r="KX88" s="24"/>
      <c r="KY88" s="24"/>
      <c r="KZ88" s="24"/>
      <c r="LA88" s="24"/>
      <c r="LB88" s="24"/>
      <c r="LC88" s="24"/>
      <c r="LD88" s="24"/>
      <c r="LE88" s="24">
        <f t="shared" si="201"/>
        <v>910.65999999999985</v>
      </c>
      <c r="LF88" s="24">
        <f t="shared" si="202"/>
        <v>912.26</v>
      </c>
      <c r="LG88" s="24"/>
      <c r="LH88" s="24"/>
      <c r="LI88" s="24"/>
      <c r="LJ88" s="24"/>
      <c r="LK88" s="24"/>
      <c r="LL88" s="24"/>
      <c r="LM88" s="24"/>
      <c r="LN88" s="24"/>
      <c r="LO88" s="24"/>
      <c r="LP88" s="24"/>
      <c r="LQ88" s="24"/>
      <c r="LR88" s="24"/>
      <c r="LS88" s="24"/>
      <c r="LT88" s="24"/>
      <c r="LU88" s="24"/>
      <c r="LV88" s="24"/>
      <c r="LW88" s="24"/>
      <c r="LX88" s="24"/>
      <c r="LY88" s="24"/>
      <c r="LZ88" s="24"/>
      <c r="MA88" s="24"/>
      <c r="MB88" s="24"/>
      <c r="MC88" s="24"/>
      <c r="MD88" s="24"/>
      <c r="ME88" s="24"/>
      <c r="MF88" s="24"/>
      <c r="MG88" s="24"/>
      <c r="MH88" s="24"/>
      <c r="MI88" s="24"/>
      <c r="MJ88" s="24"/>
      <c r="MK88" s="24"/>
      <c r="ML88" s="24"/>
      <c r="MM88" s="24"/>
      <c r="MN88" s="24"/>
      <c r="MO88" s="24"/>
      <c r="MP88" s="24"/>
      <c r="MQ88" s="24"/>
      <c r="MR88" s="24"/>
      <c r="MS88" s="24"/>
      <c r="MT88" s="24"/>
      <c r="MU88" s="24"/>
      <c r="MV88" s="24"/>
      <c r="MW88" s="24"/>
      <c r="MX88" s="24"/>
      <c r="MY88" s="24"/>
      <c r="MZ88" s="24"/>
      <c r="NA88" s="24"/>
      <c r="NB88" s="24"/>
      <c r="NC88" s="24"/>
      <c r="ND88" s="24"/>
      <c r="NE88" s="24"/>
      <c r="NF88" s="24"/>
      <c r="NG88" s="24"/>
      <c r="NH88" s="24"/>
      <c r="NI88" s="24"/>
      <c r="NJ88" s="24"/>
      <c r="NK88" s="24"/>
      <c r="NL88" s="24"/>
      <c r="NM88" s="24"/>
      <c r="NN88" s="24"/>
      <c r="NO88" s="24">
        <f t="shared" si="203"/>
        <v>0</v>
      </c>
      <c r="NP88" s="24">
        <f t="shared" si="204"/>
        <v>0</v>
      </c>
      <c r="NQ88" s="24"/>
      <c r="NR88" s="24"/>
      <c r="NS88" s="24"/>
      <c r="NT88" s="24"/>
      <c r="NU88" s="24"/>
      <c r="NV88" s="24"/>
      <c r="NW88" s="24"/>
      <c r="NX88" s="24"/>
      <c r="NY88" s="24"/>
      <c r="NZ88" s="24"/>
      <c r="OA88" s="24"/>
      <c r="OB88" s="24"/>
      <c r="OC88" s="24"/>
      <c r="OD88" s="24"/>
      <c r="OE88" s="24"/>
      <c r="OF88" s="24"/>
      <c r="OG88" s="24"/>
      <c r="OH88" s="24"/>
      <c r="OI88" s="24"/>
      <c r="OJ88" s="24"/>
      <c r="OK88" s="24"/>
      <c r="OL88" s="24"/>
      <c r="OM88" s="24"/>
      <c r="ON88" s="24"/>
      <c r="OO88" s="24"/>
      <c r="OP88" s="24"/>
      <c r="OQ88" s="24"/>
      <c r="OR88" s="24"/>
      <c r="OS88" s="24"/>
      <c r="OT88" s="24"/>
      <c r="OU88" s="24"/>
      <c r="OV88" s="24"/>
      <c r="OW88" s="24"/>
      <c r="OX88" s="24"/>
      <c r="OY88" s="24"/>
      <c r="OZ88" s="24"/>
      <c r="PA88" s="24"/>
      <c r="PB88" s="24"/>
      <c r="PC88" s="24"/>
      <c r="PD88" s="24"/>
      <c r="PE88" s="24"/>
      <c r="PF88" s="24"/>
      <c r="PG88" s="24"/>
      <c r="PH88" s="24"/>
      <c r="PI88" s="24"/>
      <c r="PJ88" s="24"/>
      <c r="PK88" s="24"/>
      <c r="PL88" s="24"/>
      <c r="PM88" s="24"/>
      <c r="PN88" s="24"/>
      <c r="PO88" s="24"/>
      <c r="PP88" s="24"/>
      <c r="PQ88" s="24"/>
      <c r="PR88" s="24"/>
      <c r="PS88" s="24"/>
      <c r="PT88" s="24"/>
      <c r="PU88" s="24"/>
      <c r="PV88" s="24"/>
      <c r="PW88" s="24"/>
      <c r="PX88" s="24"/>
      <c r="PY88" s="24"/>
      <c r="PZ88" s="24"/>
      <c r="QA88" s="24">
        <f t="shared" si="205"/>
        <v>0</v>
      </c>
      <c r="QB88" s="24">
        <f t="shared" si="206"/>
        <v>0</v>
      </c>
      <c r="QC88" s="24"/>
      <c r="QD88" s="24"/>
      <c r="QE88" s="24"/>
      <c r="QF88" s="24"/>
      <c r="QG88" s="24"/>
      <c r="QH88" s="24"/>
      <c r="QI88" s="24"/>
      <c r="QJ88" s="24"/>
      <c r="QK88" s="24"/>
      <c r="QL88" s="24"/>
      <c r="QM88" s="24"/>
      <c r="QN88" s="24"/>
      <c r="QO88" s="24"/>
      <c r="QP88" s="24"/>
      <c r="QQ88" s="24"/>
      <c r="QR88" s="24"/>
      <c r="QS88" s="24"/>
      <c r="QT88" s="24"/>
      <c r="QU88" s="24"/>
      <c r="QV88" s="24"/>
      <c r="QW88" s="24"/>
      <c r="QX88" s="24"/>
      <c r="QY88" s="24"/>
      <c r="QZ88" s="24"/>
      <c r="RA88" s="24"/>
      <c r="RB88" s="24"/>
      <c r="RC88" s="24"/>
      <c r="RD88" s="24"/>
      <c r="RE88" s="24"/>
      <c r="RF88" s="24"/>
      <c r="RG88" s="24"/>
      <c r="RH88" s="24"/>
      <c r="RI88" s="24"/>
      <c r="RJ88" s="24"/>
      <c r="RK88" s="24"/>
      <c r="RL88" s="24"/>
      <c r="RM88" s="24"/>
      <c r="RN88" s="24"/>
      <c r="RO88" s="24"/>
      <c r="RP88" s="24"/>
      <c r="RQ88" s="24"/>
      <c r="RR88" s="24"/>
      <c r="RS88" s="24"/>
      <c r="RT88" s="24"/>
      <c r="RU88" s="24"/>
      <c r="RV88" s="24"/>
      <c r="RW88" s="24"/>
      <c r="RX88" s="24"/>
      <c r="RY88" s="24"/>
      <c r="RZ88" s="24"/>
      <c r="SA88" s="24"/>
      <c r="SB88" s="24"/>
      <c r="SC88" s="24"/>
      <c r="SD88" s="24"/>
      <c r="SE88" s="24"/>
      <c r="SF88" s="24"/>
      <c r="SG88" s="24"/>
      <c r="SH88" s="24"/>
      <c r="SI88" s="24"/>
      <c r="SJ88" s="24"/>
      <c r="SK88" s="24"/>
      <c r="SL88" s="24"/>
      <c r="SM88" s="24">
        <f t="shared" si="207"/>
        <v>0</v>
      </c>
      <c r="SN88" s="24">
        <f t="shared" si="208"/>
        <v>0</v>
      </c>
      <c r="SO88" s="24"/>
      <c r="SP88" s="24"/>
      <c r="SQ88" s="24"/>
      <c r="SR88" s="24"/>
      <c r="SS88" s="24"/>
      <c r="ST88" s="24"/>
      <c r="SU88" s="24"/>
      <c r="SV88" s="24"/>
      <c r="SW88" s="24"/>
      <c r="SX88" s="24"/>
      <c r="SY88" s="24"/>
      <c r="SZ88" s="24"/>
      <c r="TA88" s="24"/>
      <c r="TB88" s="24"/>
      <c r="TC88" s="24"/>
      <c r="TD88" s="24"/>
      <c r="TE88" s="24"/>
      <c r="TF88" s="24"/>
      <c r="TG88" s="24"/>
      <c r="TH88" s="24"/>
      <c r="TI88" s="24"/>
      <c r="TJ88" s="24"/>
      <c r="TK88" s="24"/>
      <c r="TL88" s="24"/>
      <c r="TM88" s="24"/>
      <c r="TN88" s="24"/>
      <c r="TO88" s="24"/>
      <c r="TP88" s="24"/>
      <c r="TQ88" s="24"/>
      <c r="TR88" s="24"/>
      <c r="TS88" s="24"/>
      <c r="TT88" s="24"/>
      <c r="TU88" s="24"/>
      <c r="TV88" s="24"/>
      <c r="TW88" s="24"/>
      <c r="TX88" s="24"/>
      <c r="TY88" s="24"/>
      <c r="TZ88" s="24"/>
      <c r="UA88" s="24"/>
      <c r="UB88" s="24"/>
      <c r="UC88" s="24"/>
      <c r="UD88" s="24"/>
      <c r="UE88" s="24"/>
      <c r="UF88" s="24"/>
      <c r="UG88" s="24"/>
      <c r="UH88" s="24"/>
      <c r="UI88" s="24"/>
      <c r="UJ88" s="24"/>
      <c r="UK88" s="24"/>
      <c r="UL88" s="24"/>
      <c r="UM88" s="24"/>
      <c r="UN88" s="24"/>
      <c r="UO88" s="24"/>
      <c r="UP88" s="24"/>
      <c r="UQ88" s="24"/>
      <c r="UR88" s="24"/>
      <c r="US88" s="24"/>
      <c r="UT88" s="24"/>
      <c r="UU88" s="24"/>
      <c r="UV88" s="24"/>
      <c r="UW88" s="24">
        <f t="shared" si="209"/>
        <v>0</v>
      </c>
      <c r="UX88" s="24">
        <f t="shared" si="210"/>
        <v>0</v>
      </c>
      <c r="UY88" s="24"/>
      <c r="UZ88" s="24"/>
      <c r="VA88" s="24"/>
      <c r="VB88" s="24"/>
      <c r="VC88" s="24"/>
      <c r="VD88" s="24"/>
      <c r="VE88" s="24"/>
      <c r="VF88" s="24"/>
      <c r="VG88" s="24"/>
      <c r="VH88" s="24"/>
      <c r="VI88" s="24"/>
      <c r="VJ88" s="24"/>
      <c r="VK88" s="24"/>
      <c r="VL88" s="24"/>
      <c r="VM88" s="24"/>
      <c r="VN88" s="24"/>
      <c r="VO88" s="24"/>
      <c r="VP88" s="24"/>
      <c r="VQ88" s="24"/>
      <c r="VR88" s="24"/>
      <c r="VS88" s="24"/>
      <c r="VT88" s="24"/>
      <c r="VU88" s="24"/>
      <c r="VV88" s="24"/>
      <c r="VW88" s="24"/>
      <c r="VX88" s="24"/>
      <c r="VY88" s="24"/>
      <c r="VZ88" s="24"/>
      <c r="WA88" s="24"/>
      <c r="WB88" s="24"/>
      <c r="WC88" s="24"/>
      <c r="WD88" s="24"/>
      <c r="WE88" s="24"/>
      <c r="WF88" s="24"/>
      <c r="WG88" s="24"/>
      <c r="WH88" s="24"/>
      <c r="WI88" s="24"/>
      <c r="WJ88" s="24"/>
      <c r="WK88" s="24"/>
      <c r="WL88" s="24"/>
      <c r="WM88" s="24"/>
      <c r="WN88" s="24"/>
      <c r="WO88" s="24"/>
      <c r="WP88" s="24"/>
      <c r="WQ88" s="24"/>
      <c r="WR88" s="24"/>
      <c r="WS88" s="24"/>
      <c r="WT88" s="24"/>
      <c r="WU88" s="24"/>
      <c r="WV88" s="24"/>
      <c r="WW88" s="24"/>
      <c r="WX88" s="24"/>
      <c r="WY88" s="24"/>
      <c r="WZ88" s="24"/>
      <c r="XA88" s="24"/>
      <c r="XB88" s="24"/>
      <c r="XC88" s="24"/>
      <c r="XD88" s="24"/>
      <c r="XE88" s="24"/>
      <c r="XF88" s="24"/>
      <c r="XG88" s="24"/>
      <c r="XH88" s="24"/>
      <c r="XI88" s="24">
        <f t="shared" si="211"/>
        <v>0</v>
      </c>
      <c r="XJ88" s="24">
        <f t="shared" si="212"/>
        <v>0</v>
      </c>
      <c r="XK88" s="24"/>
      <c r="XL88" s="24"/>
      <c r="XM88" s="24"/>
      <c r="XN88" s="24"/>
      <c r="XO88" s="24"/>
      <c r="XP88" s="24"/>
      <c r="XQ88" s="24"/>
      <c r="XR88" s="24"/>
      <c r="XS88" s="24"/>
      <c r="XT88" s="24"/>
      <c r="XU88" s="24"/>
      <c r="XV88" s="24"/>
      <c r="XW88" s="24"/>
      <c r="XX88" s="24"/>
      <c r="XY88" s="24"/>
      <c r="XZ88" s="24"/>
      <c r="YA88" s="24"/>
      <c r="YB88" s="24"/>
      <c r="YC88" s="24"/>
      <c r="YD88" s="24"/>
      <c r="YE88" s="24"/>
      <c r="YF88" s="24"/>
      <c r="YG88" s="24"/>
      <c r="YH88" s="24"/>
      <c r="YI88" s="24"/>
      <c r="YJ88" s="24"/>
      <c r="YK88" s="24"/>
      <c r="YL88" s="24"/>
      <c r="YM88" s="24"/>
      <c r="YN88" s="24"/>
      <c r="YO88" s="24"/>
      <c r="YP88" s="24"/>
      <c r="YQ88" s="24"/>
      <c r="YR88" s="24"/>
      <c r="YS88" s="24"/>
      <c r="YT88" s="24"/>
      <c r="YU88" s="24"/>
      <c r="YV88" s="24"/>
      <c r="YW88" s="24"/>
      <c r="YX88" s="24"/>
      <c r="YY88" s="24"/>
      <c r="YZ88" s="24"/>
      <c r="ZA88" s="24"/>
      <c r="ZB88" s="24"/>
      <c r="ZC88" s="24"/>
      <c r="ZD88" s="24"/>
      <c r="ZE88" s="24"/>
      <c r="ZF88" s="24"/>
      <c r="ZG88" s="24"/>
      <c r="ZH88" s="24"/>
      <c r="ZI88" s="24"/>
      <c r="ZJ88" s="24"/>
      <c r="ZK88" s="24"/>
      <c r="ZL88" s="24"/>
      <c r="ZM88" s="24"/>
      <c r="ZN88" s="24"/>
      <c r="ZO88" s="24"/>
      <c r="ZP88" s="24"/>
      <c r="ZQ88" s="24"/>
      <c r="ZR88" s="24"/>
      <c r="ZS88" s="24">
        <f t="shared" si="213"/>
        <v>0</v>
      </c>
      <c r="ZT88" s="24">
        <f t="shared" si="214"/>
        <v>0</v>
      </c>
      <c r="ZU88" s="24"/>
      <c r="ZV88" s="24"/>
      <c r="ZW88" s="24"/>
      <c r="ZX88" s="24"/>
      <c r="ZY88" s="24"/>
      <c r="ZZ88" s="24"/>
      <c r="AAA88" s="24"/>
      <c r="AAB88" s="24"/>
      <c r="AAC88" s="24"/>
      <c r="AAD88" s="24"/>
      <c r="AAE88" s="24"/>
      <c r="AAF88" s="24"/>
      <c r="AAG88" s="24"/>
      <c r="AAH88" s="24"/>
      <c r="AAI88" s="24"/>
      <c r="AAJ88" s="24"/>
      <c r="AAK88" s="24"/>
      <c r="AAL88" s="24"/>
      <c r="AAM88" s="24"/>
      <c r="AAN88" s="24"/>
      <c r="AAO88" s="24"/>
      <c r="AAP88" s="24"/>
      <c r="AAQ88" s="24"/>
      <c r="AAR88" s="24"/>
      <c r="AAS88" s="24"/>
      <c r="AAT88" s="24"/>
      <c r="AAU88" s="24"/>
      <c r="AAV88" s="24"/>
      <c r="AAW88" s="24"/>
      <c r="AAX88" s="24"/>
      <c r="AAY88" s="24"/>
      <c r="AAZ88" s="24"/>
      <c r="ABA88" s="24"/>
      <c r="ABB88" s="24"/>
      <c r="ABC88" s="24"/>
      <c r="ABD88" s="24"/>
      <c r="ABE88" s="24"/>
      <c r="ABF88" s="24"/>
      <c r="ABG88" s="24"/>
      <c r="ABH88" s="24"/>
      <c r="ABI88" s="24"/>
      <c r="ABJ88" s="24"/>
      <c r="ABK88" s="24"/>
      <c r="ABL88" s="24"/>
      <c r="ABM88" s="24"/>
      <c r="ABN88" s="24"/>
      <c r="ABO88" s="24"/>
      <c r="ABP88" s="24"/>
      <c r="ABQ88" s="24"/>
      <c r="ABR88" s="24"/>
      <c r="ABS88" s="24"/>
      <c r="ABT88" s="24"/>
      <c r="ABU88" s="24"/>
      <c r="ABV88" s="24"/>
      <c r="ABW88" s="24"/>
      <c r="ABX88" s="24"/>
      <c r="ABY88" s="24"/>
      <c r="ABZ88" s="24"/>
      <c r="ACA88" s="24"/>
      <c r="ACB88" s="24"/>
      <c r="ACC88" s="24"/>
      <c r="ACD88" s="24"/>
      <c r="ACE88" s="24">
        <f t="shared" si="215"/>
        <v>0</v>
      </c>
      <c r="ACF88" s="24"/>
      <c r="ACG88" s="24">
        <f t="shared" si="216"/>
        <v>6669.9199999999992</v>
      </c>
      <c r="ACH88" s="25"/>
      <c r="ACI88" s="71" t="s">
        <v>185</v>
      </c>
      <c r="ACJ88" s="71" t="s">
        <v>100</v>
      </c>
    </row>
    <row r="89" spans="1:764" ht="15.75" thickBot="1" x14ac:dyDescent="0.3">
      <c r="A89" s="162"/>
      <c r="B89" s="153"/>
      <c r="C89" s="158"/>
      <c r="D89" s="68" t="s">
        <v>9</v>
      </c>
      <c r="E89" s="76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45" cm="1">
        <f t="array" ref="BO89">SUMPRODUCT(E89:BM89,--(E$2:BM$2=BO$2))</f>
        <v>0</v>
      </c>
      <c r="BP89" s="45" cm="1">
        <f t="array" ref="BP89">SUMPRODUCT(F89:BN89,--(F$2:BN$2=BP$2))</f>
        <v>0</v>
      </c>
      <c r="BQ89" s="45"/>
      <c r="BR89" s="45"/>
      <c r="BS89" s="45"/>
      <c r="BT89" s="45"/>
      <c r="BU89" s="45"/>
      <c r="BV89" s="45"/>
      <c r="BW89" s="45"/>
      <c r="BX89" s="45"/>
      <c r="BY89" s="45"/>
      <c r="BZ89" s="45"/>
      <c r="CA89" s="45"/>
      <c r="CB89" s="45"/>
      <c r="CC89" s="45"/>
      <c r="CD89" s="45"/>
      <c r="CE89" s="45"/>
      <c r="CF89" s="45"/>
      <c r="CG89" s="45"/>
      <c r="CH89" s="45"/>
      <c r="CI89" s="45"/>
      <c r="CJ89" s="45"/>
      <c r="CK89" s="45"/>
      <c r="CL89" s="45"/>
      <c r="CM89" s="45"/>
      <c r="CN89" s="45"/>
      <c r="CO89" s="45"/>
      <c r="CP89" s="45"/>
      <c r="CQ89" s="45"/>
      <c r="CR89" s="45"/>
      <c r="CS89" s="45"/>
      <c r="CT89" s="45"/>
      <c r="CU89" s="45"/>
      <c r="CV89" s="45"/>
      <c r="CW89" s="45"/>
      <c r="CX89" s="45"/>
      <c r="CY89" s="45"/>
      <c r="CZ89" s="45"/>
      <c r="DA89" s="45"/>
      <c r="DB89" s="45"/>
      <c r="DC89" s="45"/>
      <c r="DD89" s="45"/>
      <c r="DE89" s="45"/>
      <c r="DF89" s="45"/>
      <c r="DG89" s="45"/>
      <c r="DH89" s="45"/>
      <c r="DI89" s="45"/>
      <c r="DJ89" s="45"/>
      <c r="DK89" s="45"/>
      <c r="DL89" s="45"/>
      <c r="DM89" s="45"/>
      <c r="DN89" s="45"/>
      <c r="DO89" s="45"/>
      <c r="DP89" s="45"/>
      <c r="DQ89" s="45"/>
      <c r="DR89" s="45"/>
      <c r="DS89" s="45"/>
      <c r="DT89" s="45"/>
      <c r="DU89" s="45"/>
      <c r="DV89" s="45"/>
      <c r="DW89" s="45" cm="1">
        <f t="array" ref="DW89">SUMPRODUCT(BQ89:DU89,--(BQ$2:DU$2=DW$2))</f>
        <v>0</v>
      </c>
      <c r="DX89" s="45" cm="1">
        <f t="array" ref="DX89">SUMPRODUCT(BR89:DV89,--(BR$2:DV$2=DX$2))</f>
        <v>0</v>
      </c>
      <c r="DY89" s="45"/>
      <c r="DZ89" s="45"/>
      <c r="EA89" s="45"/>
      <c r="EB89" s="45"/>
      <c r="EC89" s="45"/>
      <c r="ED89" s="45"/>
      <c r="EE89" s="45"/>
      <c r="EF89" s="45"/>
      <c r="EG89" s="45"/>
      <c r="EH89" s="45"/>
      <c r="EI89" s="45"/>
      <c r="EJ89" s="45"/>
      <c r="EK89" s="45"/>
      <c r="EL89" s="45"/>
      <c r="EM89" s="45"/>
      <c r="EN89" s="45"/>
      <c r="EO89" s="45"/>
      <c r="EP89" s="45"/>
      <c r="EQ89" s="45"/>
      <c r="ER89" s="45"/>
      <c r="ES89" s="45"/>
      <c r="ET89" s="45"/>
      <c r="EU89" s="45"/>
      <c r="EV89" s="45"/>
      <c r="EW89" s="45"/>
      <c r="EX89" s="45"/>
      <c r="EY89" s="45"/>
      <c r="EZ89" s="45"/>
      <c r="FA89" s="45"/>
      <c r="FB89" s="45"/>
      <c r="FC89" s="45"/>
      <c r="FD89" s="45"/>
      <c r="FE89" s="45"/>
      <c r="FF89" s="45"/>
      <c r="FG89" s="45"/>
      <c r="FH89" s="45"/>
      <c r="FI89" s="45"/>
      <c r="FJ89" s="45"/>
      <c r="FK89" s="45"/>
      <c r="FL89" s="45"/>
      <c r="FM89" s="45"/>
      <c r="FN89" s="45"/>
      <c r="FO89" s="45"/>
      <c r="FP89" s="45"/>
      <c r="FQ89" s="45"/>
      <c r="FR89" s="45"/>
      <c r="FS89" s="45"/>
      <c r="FT89" s="45"/>
      <c r="FU89" s="45"/>
      <c r="FV89" s="45"/>
      <c r="FW89" s="45"/>
      <c r="FX89" s="45"/>
      <c r="FY89" s="45"/>
      <c r="FZ89" s="45"/>
      <c r="GA89" s="45"/>
      <c r="GB89" s="45"/>
      <c r="GC89" s="45"/>
      <c r="GD89" s="45"/>
      <c r="GE89" s="45"/>
      <c r="GF89" s="45"/>
      <c r="GG89" s="45"/>
      <c r="GH89" s="45"/>
      <c r="GI89" s="45" cm="1">
        <f t="array" ref="GI89">SUMPRODUCT(DY89:GG89,--(DY$2:GG$2=GI$2))</f>
        <v>0</v>
      </c>
      <c r="GJ89" s="45" cm="1">
        <f t="array" ref="GJ89">SUMPRODUCT(DZ89:GH89,--(DZ$2:GH$2=GJ$2))</f>
        <v>0</v>
      </c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  <c r="HK89" s="24"/>
      <c r="HL89" s="24"/>
      <c r="HM89" s="24"/>
      <c r="HN89" s="24"/>
      <c r="HO89" s="24"/>
      <c r="HP89" s="24"/>
      <c r="HQ89" s="24"/>
      <c r="HR89" s="24"/>
      <c r="HS89" s="24"/>
      <c r="HT89" s="24"/>
      <c r="HU89" s="24"/>
      <c r="HV89" s="24"/>
      <c r="HW89" s="24"/>
      <c r="HX89" s="24"/>
      <c r="HY89" s="24"/>
      <c r="HZ89" s="24"/>
      <c r="IA89" s="24"/>
      <c r="IB89" s="24"/>
      <c r="IC89" s="24"/>
      <c r="ID89" s="24"/>
      <c r="IE89" s="24"/>
      <c r="IF89" s="24"/>
      <c r="IG89" s="24"/>
      <c r="IH89" s="24"/>
      <c r="II89" s="24"/>
      <c r="IJ89" s="24"/>
      <c r="IK89" s="24"/>
      <c r="IL89" s="24"/>
      <c r="IM89" s="24"/>
      <c r="IN89" s="24"/>
      <c r="IO89" s="24"/>
      <c r="IP89" s="24"/>
      <c r="IQ89" s="24"/>
      <c r="IR89" s="24"/>
      <c r="IS89" s="45">
        <f t="shared" si="199"/>
        <v>0</v>
      </c>
      <c r="IT89" s="45">
        <f t="shared" si="200"/>
        <v>0</v>
      </c>
      <c r="IU89" s="45"/>
      <c r="IV89" s="45"/>
      <c r="IW89" s="45"/>
      <c r="IX89" s="45"/>
      <c r="IY89" s="45"/>
      <c r="IZ89" s="45"/>
      <c r="JA89" s="45"/>
      <c r="JB89" s="45"/>
      <c r="JC89" s="45"/>
      <c r="JD89" s="45"/>
      <c r="JE89" s="45"/>
      <c r="JF89" s="45"/>
      <c r="JG89" s="45"/>
      <c r="JH89" s="45"/>
      <c r="JI89" s="45"/>
      <c r="JJ89" s="45"/>
      <c r="JK89" s="45"/>
      <c r="JL89" s="45"/>
      <c r="JM89" s="45"/>
      <c r="JN89" s="45"/>
      <c r="JO89" s="45"/>
      <c r="JP89" s="45"/>
      <c r="JQ89" s="45"/>
      <c r="JR89" s="45"/>
      <c r="JS89" s="45"/>
      <c r="JT89" s="45"/>
      <c r="JU89" s="45"/>
      <c r="JV89" s="45"/>
      <c r="JW89" s="45"/>
      <c r="JX89" s="45"/>
      <c r="JY89" s="45"/>
      <c r="JZ89" s="45"/>
      <c r="KA89" s="45"/>
      <c r="KB89" s="45"/>
      <c r="KC89" s="45"/>
      <c r="KD89" s="45"/>
      <c r="KE89" s="45"/>
      <c r="KF89" s="45"/>
      <c r="KG89" s="45"/>
      <c r="KH89" s="45"/>
      <c r="KI89" s="45"/>
      <c r="KJ89" s="45"/>
      <c r="KK89" s="45"/>
      <c r="KL89" s="45"/>
      <c r="KM89" s="45"/>
      <c r="KN89" s="45"/>
      <c r="KO89" s="45"/>
      <c r="KP89" s="45"/>
      <c r="KQ89" s="45"/>
      <c r="KR89" s="45"/>
      <c r="KS89" s="45"/>
      <c r="KT89" s="45"/>
      <c r="KU89" s="45"/>
      <c r="KV89" s="45"/>
      <c r="KW89" s="45"/>
      <c r="KX89" s="45"/>
      <c r="KY89" s="45"/>
      <c r="KZ89" s="45"/>
      <c r="LA89" s="45"/>
      <c r="LB89" s="45"/>
      <c r="LC89" s="45"/>
      <c r="LD89" s="45"/>
      <c r="LE89" s="45">
        <f t="shared" si="201"/>
        <v>0</v>
      </c>
      <c r="LF89" s="45">
        <f t="shared" si="202"/>
        <v>0</v>
      </c>
      <c r="LG89" s="45"/>
      <c r="LH89" s="45"/>
      <c r="LI89" s="45"/>
      <c r="LJ89" s="45"/>
      <c r="LK89" s="45"/>
      <c r="LL89" s="45"/>
      <c r="LM89" s="45"/>
      <c r="LN89" s="45"/>
      <c r="LO89" s="45"/>
      <c r="LP89" s="45"/>
      <c r="LQ89" s="45"/>
      <c r="LR89" s="45"/>
      <c r="LS89" s="45"/>
      <c r="LT89" s="45"/>
      <c r="LU89" s="45"/>
      <c r="LV89" s="45"/>
      <c r="LW89" s="45"/>
      <c r="LX89" s="45"/>
      <c r="LY89" s="45"/>
      <c r="LZ89" s="45"/>
      <c r="MA89" s="45"/>
      <c r="MB89" s="45"/>
      <c r="MC89" s="45"/>
      <c r="MD89" s="45"/>
      <c r="ME89" s="45"/>
      <c r="MF89" s="45"/>
      <c r="MG89" s="45"/>
      <c r="MH89" s="45"/>
      <c r="MI89" s="45"/>
      <c r="MJ89" s="45"/>
      <c r="MK89" s="45"/>
      <c r="ML89" s="45"/>
      <c r="MM89" s="45"/>
      <c r="MN89" s="45"/>
      <c r="MO89" s="45"/>
      <c r="MP89" s="45"/>
      <c r="MQ89" s="45"/>
      <c r="MR89" s="45"/>
      <c r="MS89" s="45"/>
      <c r="MT89" s="45"/>
      <c r="MU89" s="45"/>
      <c r="MV89" s="45"/>
      <c r="MW89" s="45"/>
      <c r="MX89" s="45"/>
      <c r="MY89" s="45"/>
      <c r="MZ89" s="45"/>
      <c r="NA89" s="45"/>
      <c r="NB89" s="45"/>
      <c r="NC89" s="45"/>
      <c r="ND89" s="45"/>
      <c r="NE89" s="45"/>
      <c r="NF89" s="45"/>
      <c r="NG89" s="45"/>
      <c r="NH89" s="45"/>
      <c r="NI89" s="45"/>
      <c r="NJ89" s="45"/>
      <c r="NK89" s="45"/>
      <c r="NL89" s="45"/>
      <c r="NM89" s="45"/>
      <c r="NN89" s="45"/>
      <c r="NO89" s="45">
        <f t="shared" si="203"/>
        <v>0</v>
      </c>
      <c r="NP89" s="45">
        <f t="shared" si="204"/>
        <v>0</v>
      </c>
      <c r="NQ89" s="45"/>
      <c r="NR89" s="45"/>
      <c r="NS89" s="45"/>
      <c r="NT89" s="45"/>
      <c r="NU89" s="45"/>
      <c r="NV89" s="45"/>
      <c r="NW89" s="45"/>
      <c r="NX89" s="45"/>
      <c r="NY89" s="45"/>
      <c r="NZ89" s="45"/>
      <c r="OA89" s="45"/>
      <c r="OB89" s="45"/>
      <c r="OC89" s="45"/>
      <c r="OD89" s="45"/>
      <c r="OE89" s="45"/>
      <c r="OF89" s="45"/>
      <c r="OG89" s="45"/>
      <c r="OH89" s="45"/>
      <c r="OI89" s="45"/>
      <c r="OJ89" s="45"/>
      <c r="OK89" s="45"/>
      <c r="OL89" s="45"/>
      <c r="OM89" s="45"/>
      <c r="ON89" s="45"/>
      <c r="OO89" s="45"/>
      <c r="OP89" s="45"/>
      <c r="OQ89" s="45"/>
      <c r="OR89" s="45"/>
      <c r="OS89" s="45"/>
      <c r="OT89" s="45"/>
      <c r="OU89" s="45"/>
      <c r="OV89" s="45"/>
      <c r="OW89" s="45"/>
      <c r="OX89" s="45"/>
      <c r="OY89" s="45"/>
      <c r="OZ89" s="45"/>
      <c r="PA89" s="45"/>
      <c r="PB89" s="45"/>
      <c r="PC89" s="45"/>
      <c r="PD89" s="45"/>
      <c r="PE89" s="45"/>
      <c r="PF89" s="45"/>
      <c r="PG89" s="45"/>
      <c r="PH89" s="45"/>
      <c r="PI89" s="45"/>
      <c r="PJ89" s="45"/>
      <c r="PK89" s="45"/>
      <c r="PL89" s="45"/>
      <c r="PM89" s="45"/>
      <c r="PN89" s="45"/>
      <c r="PO89" s="45"/>
      <c r="PP89" s="45"/>
      <c r="PQ89" s="45"/>
      <c r="PR89" s="45"/>
      <c r="PS89" s="45"/>
      <c r="PT89" s="45"/>
      <c r="PU89" s="45"/>
      <c r="PV89" s="45"/>
      <c r="PW89" s="45"/>
      <c r="PX89" s="45"/>
      <c r="PY89" s="45"/>
      <c r="PZ89" s="45"/>
      <c r="QA89" s="45">
        <f t="shared" si="205"/>
        <v>0</v>
      </c>
      <c r="QB89" s="45">
        <f t="shared" si="206"/>
        <v>0</v>
      </c>
      <c r="QC89" s="45"/>
      <c r="QD89" s="45"/>
      <c r="QE89" s="45"/>
      <c r="QF89" s="45"/>
      <c r="QG89" s="45"/>
      <c r="QH89" s="45"/>
      <c r="QI89" s="45"/>
      <c r="QJ89" s="45"/>
      <c r="QK89" s="45"/>
      <c r="QL89" s="45"/>
      <c r="QM89" s="45"/>
      <c r="QN89" s="45"/>
      <c r="QO89" s="45"/>
      <c r="QP89" s="45"/>
      <c r="QQ89" s="45"/>
      <c r="QR89" s="45"/>
      <c r="QS89" s="45"/>
      <c r="QT89" s="45"/>
      <c r="QU89" s="45"/>
      <c r="QV89" s="45"/>
      <c r="QW89" s="45"/>
      <c r="QX89" s="45"/>
      <c r="QY89" s="45"/>
      <c r="QZ89" s="45"/>
      <c r="RA89" s="45"/>
      <c r="RB89" s="45"/>
      <c r="RC89" s="45"/>
      <c r="RD89" s="45"/>
      <c r="RE89" s="45"/>
      <c r="RF89" s="45"/>
      <c r="RG89" s="45"/>
      <c r="RH89" s="45"/>
      <c r="RI89" s="45"/>
      <c r="RJ89" s="45"/>
      <c r="RK89" s="45"/>
      <c r="RL89" s="45"/>
      <c r="RM89" s="45"/>
      <c r="RN89" s="45"/>
      <c r="RO89" s="45"/>
      <c r="RP89" s="45"/>
      <c r="RQ89" s="45"/>
      <c r="RR89" s="45"/>
      <c r="RS89" s="45"/>
      <c r="RT89" s="45"/>
      <c r="RU89" s="45"/>
      <c r="RV89" s="45"/>
      <c r="RW89" s="45"/>
      <c r="RX89" s="45"/>
      <c r="RY89" s="45"/>
      <c r="RZ89" s="45"/>
      <c r="SA89" s="45"/>
      <c r="SB89" s="45"/>
      <c r="SC89" s="45"/>
      <c r="SD89" s="45"/>
      <c r="SE89" s="45"/>
      <c r="SF89" s="45"/>
      <c r="SG89" s="45"/>
      <c r="SH89" s="45"/>
      <c r="SI89" s="45"/>
      <c r="SJ89" s="45"/>
      <c r="SK89" s="45"/>
      <c r="SL89" s="45"/>
      <c r="SM89" s="45">
        <f t="shared" si="207"/>
        <v>0</v>
      </c>
      <c r="SN89" s="45">
        <f t="shared" si="208"/>
        <v>0</v>
      </c>
      <c r="SO89" s="24"/>
      <c r="SP89" s="24"/>
      <c r="SQ89" s="24"/>
      <c r="SR89" s="24"/>
      <c r="SS89" s="24"/>
      <c r="ST89" s="24"/>
      <c r="SU89" s="24"/>
      <c r="SV89" s="24"/>
      <c r="SW89" s="24"/>
      <c r="SX89" s="24"/>
      <c r="SY89" s="24"/>
      <c r="SZ89" s="24"/>
      <c r="TA89" s="24"/>
      <c r="TB89" s="24"/>
      <c r="TC89" s="24"/>
      <c r="TD89" s="24"/>
      <c r="TE89" s="24"/>
      <c r="TF89" s="24"/>
      <c r="TG89" s="24"/>
      <c r="TH89" s="24"/>
      <c r="TI89" s="24"/>
      <c r="TJ89" s="24"/>
      <c r="TK89" s="24"/>
      <c r="TL89" s="24"/>
      <c r="TM89" s="24"/>
      <c r="TN89" s="24"/>
      <c r="TO89" s="24"/>
      <c r="TP89" s="24"/>
      <c r="TQ89" s="24"/>
      <c r="TR89" s="24"/>
      <c r="TS89" s="24"/>
      <c r="TT89" s="24"/>
      <c r="TU89" s="24"/>
      <c r="TV89" s="24"/>
      <c r="TW89" s="24"/>
      <c r="TX89" s="24"/>
      <c r="TY89" s="24"/>
      <c r="TZ89" s="24"/>
      <c r="UA89" s="24"/>
      <c r="UB89" s="24"/>
      <c r="UC89" s="24"/>
      <c r="UD89" s="24"/>
      <c r="UE89" s="24"/>
      <c r="UF89" s="24"/>
      <c r="UG89" s="24"/>
      <c r="UH89" s="24"/>
      <c r="UI89" s="24"/>
      <c r="UJ89" s="24"/>
      <c r="UK89" s="24"/>
      <c r="UL89" s="24"/>
      <c r="UM89" s="24"/>
      <c r="UN89" s="24"/>
      <c r="UO89" s="24"/>
      <c r="UP89" s="24"/>
      <c r="UQ89" s="24"/>
      <c r="UR89" s="24"/>
      <c r="US89" s="24"/>
      <c r="UT89" s="24"/>
      <c r="UU89" s="24"/>
      <c r="UV89" s="24"/>
      <c r="UW89" s="45">
        <f t="shared" si="209"/>
        <v>0</v>
      </c>
      <c r="UX89" s="45">
        <f t="shared" si="210"/>
        <v>0</v>
      </c>
      <c r="UY89" s="45"/>
      <c r="UZ89" s="45"/>
      <c r="VA89" s="45"/>
      <c r="VB89" s="45"/>
      <c r="VC89" s="45"/>
      <c r="VD89" s="45"/>
      <c r="VE89" s="45"/>
      <c r="VF89" s="45"/>
      <c r="VG89" s="45"/>
      <c r="VH89" s="45"/>
      <c r="VI89" s="45"/>
      <c r="VJ89" s="45"/>
      <c r="VK89" s="45"/>
      <c r="VL89" s="45"/>
      <c r="VM89" s="45"/>
      <c r="VN89" s="45"/>
      <c r="VO89" s="45"/>
      <c r="VP89" s="45"/>
      <c r="VQ89" s="45"/>
      <c r="VR89" s="45"/>
      <c r="VS89" s="45"/>
      <c r="VT89" s="45"/>
      <c r="VU89" s="45"/>
      <c r="VV89" s="45"/>
      <c r="VW89" s="45"/>
      <c r="VX89" s="45"/>
      <c r="VY89" s="45"/>
      <c r="VZ89" s="45"/>
      <c r="WA89" s="45"/>
      <c r="WB89" s="45"/>
      <c r="WC89" s="45"/>
      <c r="WD89" s="45"/>
      <c r="WE89" s="45"/>
      <c r="WF89" s="45"/>
      <c r="WG89" s="45"/>
      <c r="WH89" s="45"/>
      <c r="WI89" s="45"/>
      <c r="WJ89" s="45"/>
      <c r="WK89" s="45"/>
      <c r="WL89" s="45"/>
      <c r="WM89" s="45"/>
      <c r="WN89" s="45"/>
      <c r="WO89" s="45"/>
      <c r="WP89" s="45"/>
      <c r="WQ89" s="45"/>
      <c r="WR89" s="45"/>
      <c r="WS89" s="45"/>
      <c r="WT89" s="45"/>
      <c r="WU89" s="45"/>
      <c r="WV89" s="45"/>
      <c r="WW89" s="45"/>
      <c r="WX89" s="45"/>
      <c r="WY89" s="45"/>
      <c r="WZ89" s="45"/>
      <c r="XA89" s="45"/>
      <c r="XB89" s="45"/>
      <c r="XC89" s="45"/>
      <c r="XD89" s="45"/>
      <c r="XE89" s="45"/>
      <c r="XF89" s="45"/>
      <c r="XG89" s="45"/>
      <c r="XH89" s="45"/>
      <c r="XI89" s="45">
        <f t="shared" si="211"/>
        <v>0</v>
      </c>
      <c r="XJ89" s="45">
        <f t="shared" si="212"/>
        <v>0</v>
      </c>
      <c r="XK89" s="45"/>
      <c r="XL89" s="45"/>
      <c r="XM89" s="45"/>
      <c r="XN89" s="45"/>
      <c r="XO89" s="45"/>
      <c r="XP89" s="45"/>
      <c r="XQ89" s="45"/>
      <c r="XR89" s="45"/>
      <c r="XS89" s="45"/>
      <c r="XT89" s="45"/>
      <c r="XU89" s="45"/>
      <c r="XV89" s="45"/>
      <c r="XW89" s="45"/>
      <c r="XX89" s="45"/>
      <c r="XY89" s="45"/>
      <c r="XZ89" s="45"/>
      <c r="YA89" s="45"/>
      <c r="YB89" s="45"/>
      <c r="YC89" s="45"/>
      <c r="YD89" s="45"/>
      <c r="YE89" s="45"/>
      <c r="YF89" s="45"/>
      <c r="YG89" s="45"/>
      <c r="YH89" s="45"/>
      <c r="YI89" s="45"/>
      <c r="YJ89" s="45"/>
      <c r="YK89" s="45"/>
      <c r="YL89" s="45"/>
      <c r="YM89" s="45"/>
      <c r="YN89" s="45"/>
      <c r="YO89" s="45"/>
      <c r="YP89" s="45"/>
      <c r="YQ89" s="45"/>
      <c r="YR89" s="45"/>
      <c r="YS89" s="45"/>
      <c r="YT89" s="45"/>
      <c r="YU89" s="45"/>
      <c r="YV89" s="45"/>
      <c r="YW89" s="45"/>
      <c r="YX89" s="45"/>
      <c r="YY89" s="45"/>
      <c r="YZ89" s="45"/>
      <c r="ZA89" s="45"/>
      <c r="ZB89" s="45"/>
      <c r="ZC89" s="45"/>
      <c r="ZD89" s="45"/>
      <c r="ZE89" s="45"/>
      <c r="ZF89" s="45"/>
      <c r="ZG89" s="45"/>
      <c r="ZH89" s="45"/>
      <c r="ZI89" s="45"/>
      <c r="ZJ89" s="45"/>
      <c r="ZK89" s="45"/>
      <c r="ZL89" s="45"/>
      <c r="ZM89" s="45"/>
      <c r="ZN89" s="45"/>
      <c r="ZO89" s="45"/>
      <c r="ZP89" s="45"/>
      <c r="ZQ89" s="45"/>
      <c r="ZR89" s="45"/>
      <c r="ZS89" s="45">
        <f t="shared" si="213"/>
        <v>0</v>
      </c>
      <c r="ZT89" s="45">
        <f t="shared" si="214"/>
        <v>0</v>
      </c>
      <c r="ZU89" s="45"/>
      <c r="ZV89" s="45"/>
      <c r="ZW89" s="45"/>
      <c r="ZX89" s="45"/>
      <c r="ZY89" s="45"/>
      <c r="ZZ89" s="45"/>
      <c r="AAA89" s="45"/>
      <c r="AAB89" s="45"/>
      <c r="AAC89" s="45"/>
      <c r="AAD89" s="45"/>
      <c r="AAE89" s="45"/>
      <c r="AAF89" s="45"/>
      <c r="AAG89" s="45"/>
      <c r="AAH89" s="45"/>
      <c r="AAI89" s="45"/>
      <c r="AAJ89" s="45"/>
      <c r="AAK89" s="45"/>
      <c r="AAL89" s="45"/>
      <c r="AAM89" s="45"/>
      <c r="AAN89" s="45"/>
      <c r="AAO89" s="45"/>
      <c r="AAP89" s="45"/>
      <c r="AAQ89" s="45"/>
      <c r="AAR89" s="45"/>
      <c r="AAS89" s="45"/>
      <c r="AAT89" s="45"/>
      <c r="AAU89" s="45"/>
      <c r="AAV89" s="45"/>
      <c r="AAW89" s="45"/>
      <c r="AAX89" s="45"/>
      <c r="AAY89" s="45"/>
      <c r="AAZ89" s="45"/>
      <c r="ABA89" s="45"/>
      <c r="ABB89" s="45"/>
      <c r="ABC89" s="45"/>
      <c r="ABD89" s="45"/>
      <c r="ABE89" s="45"/>
      <c r="ABF89" s="45"/>
      <c r="ABG89" s="45"/>
      <c r="ABH89" s="45"/>
      <c r="ABI89" s="45"/>
      <c r="ABJ89" s="45"/>
      <c r="ABK89" s="45"/>
      <c r="ABL89" s="45"/>
      <c r="ABM89" s="45"/>
      <c r="ABN89" s="45"/>
      <c r="ABO89" s="45"/>
      <c r="ABP89" s="45"/>
      <c r="ABQ89" s="45"/>
      <c r="ABR89" s="45"/>
      <c r="ABS89" s="45"/>
      <c r="ABT89" s="45"/>
      <c r="ABU89" s="45"/>
      <c r="ABV89" s="45"/>
      <c r="ABW89" s="45"/>
      <c r="ABX89" s="45"/>
      <c r="ABY89" s="45"/>
      <c r="ABZ89" s="45"/>
      <c r="ACA89" s="45"/>
      <c r="ACB89" s="45"/>
      <c r="ACC89" s="45"/>
      <c r="ACD89" s="45"/>
      <c r="ACE89" s="45">
        <f t="shared" si="215"/>
        <v>0</v>
      </c>
      <c r="ACF89" s="45"/>
      <c r="ACG89" s="45">
        <f t="shared" si="216"/>
        <v>0</v>
      </c>
      <c r="ACH89" s="55"/>
      <c r="ACI89" s="71" t="s">
        <v>186</v>
      </c>
      <c r="ACJ89" s="71" t="s">
        <v>100</v>
      </c>
    </row>
    <row r="90" spans="1:764" ht="16.5" thickBot="1" x14ac:dyDescent="0.3">
      <c r="A90" s="163"/>
      <c r="B90" s="164" t="s">
        <v>37</v>
      </c>
      <c r="C90" s="165"/>
      <c r="D90" s="166"/>
      <c r="E90" s="48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>
        <f>SUM(BO80:BO89)</f>
        <v>4439.7</v>
      </c>
      <c r="BP90" s="39">
        <f>SUM(BP80:BP89)</f>
        <v>4456.09</v>
      </c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>
        <f>SUM(DW80:DW89)</f>
        <v>4371.9399999999996</v>
      </c>
      <c r="DX90" s="39">
        <f>SUM(DX80:DX89)</f>
        <v>4375.6900000000005</v>
      </c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>
        <f>SUM(GI80:GI89)</f>
        <v>4971.37</v>
      </c>
      <c r="GJ90" s="39">
        <f>SUM(GJ80:GJ89)</f>
        <v>4960.8</v>
      </c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>
        <f>SUM(IS80:IS89)</f>
        <v>4496.3599999999997</v>
      </c>
      <c r="IT90" s="39">
        <f>SUM(IT80:IT89)</f>
        <v>4500.51</v>
      </c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  <c r="JP90" s="39"/>
      <c r="JQ90" s="39"/>
      <c r="JR90" s="39"/>
      <c r="JS90" s="39"/>
      <c r="JT90" s="39"/>
      <c r="JU90" s="39"/>
      <c r="JV90" s="39"/>
      <c r="JW90" s="39"/>
      <c r="JX90" s="39"/>
      <c r="JY90" s="39"/>
      <c r="JZ90" s="39"/>
      <c r="KA90" s="39"/>
      <c r="KB90" s="39"/>
      <c r="KC90" s="39"/>
      <c r="KD90" s="39"/>
      <c r="KE90" s="39"/>
      <c r="KF90" s="39"/>
      <c r="KG90" s="39"/>
      <c r="KH90" s="39"/>
      <c r="KI90" s="39"/>
      <c r="KJ90" s="39"/>
      <c r="KK90" s="39"/>
      <c r="KL90" s="39"/>
      <c r="KM90" s="39"/>
      <c r="KN90" s="39"/>
      <c r="KO90" s="39"/>
      <c r="KP90" s="39"/>
      <c r="KQ90" s="39"/>
      <c r="KR90" s="39"/>
      <c r="KS90" s="39"/>
      <c r="KT90" s="39"/>
      <c r="KU90" s="39"/>
      <c r="KV90" s="39"/>
      <c r="KW90" s="39"/>
      <c r="KX90" s="39"/>
      <c r="KY90" s="39"/>
      <c r="KZ90" s="39"/>
      <c r="LA90" s="39"/>
      <c r="LB90" s="39"/>
      <c r="LC90" s="39"/>
      <c r="LD90" s="39"/>
      <c r="LE90" s="39">
        <f>SUM(LE80:LE89)</f>
        <v>1939.1899999999998</v>
      </c>
      <c r="LF90" s="39">
        <f>SUM(LF80:LF89)</f>
        <v>1941.4599999999998</v>
      </c>
      <c r="LG90" s="39"/>
      <c r="LH90" s="39"/>
      <c r="LI90" s="39"/>
      <c r="LJ90" s="39"/>
      <c r="LK90" s="39"/>
      <c r="LL90" s="39"/>
      <c r="LM90" s="39"/>
      <c r="LN90" s="39"/>
      <c r="LO90" s="39"/>
      <c r="LP90" s="39"/>
      <c r="LQ90" s="39"/>
      <c r="LR90" s="39"/>
      <c r="LS90" s="39"/>
      <c r="LT90" s="39"/>
      <c r="LU90" s="39"/>
      <c r="LV90" s="39"/>
      <c r="LW90" s="39"/>
      <c r="LX90" s="39"/>
      <c r="LY90" s="39"/>
      <c r="LZ90" s="39"/>
      <c r="MA90" s="39"/>
      <c r="MB90" s="39"/>
      <c r="MC90" s="39"/>
      <c r="MD90" s="39"/>
      <c r="ME90" s="39"/>
      <c r="MF90" s="39"/>
      <c r="MG90" s="39"/>
      <c r="MH90" s="39"/>
      <c r="MI90" s="39"/>
      <c r="MJ90" s="39"/>
      <c r="MK90" s="39"/>
      <c r="ML90" s="39"/>
      <c r="MM90" s="39"/>
      <c r="MN90" s="39"/>
      <c r="MO90" s="39"/>
      <c r="MP90" s="39"/>
      <c r="MQ90" s="39"/>
      <c r="MR90" s="39"/>
      <c r="MS90" s="39"/>
      <c r="MT90" s="39"/>
      <c r="MU90" s="39"/>
      <c r="MV90" s="39"/>
      <c r="MW90" s="39"/>
      <c r="MX90" s="39"/>
      <c r="MY90" s="39"/>
      <c r="MZ90" s="39"/>
      <c r="NA90" s="39"/>
      <c r="NB90" s="39"/>
      <c r="NC90" s="39"/>
      <c r="ND90" s="39"/>
      <c r="NE90" s="39"/>
      <c r="NF90" s="39"/>
      <c r="NG90" s="39"/>
      <c r="NH90" s="39"/>
      <c r="NI90" s="39"/>
      <c r="NJ90" s="39"/>
      <c r="NK90" s="39"/>
      <c r="NL90" s="39"/>
      <c r="NM90" s="39"/>
      <c r="NN90" s="39"/>
      <c r="NO90" s="39">
        <f>SUM(NO80:NO89)</f>
        <v>0</v>
      </c>
      <c r="NP90" s="39">
        <f>SUM(NP80:NP89)</f>
        <v>0</v>
      </c>
      <c r="NQ90" s="39"/>
      <c r="NR90" s="39"/>
      <c r="NS90" s="39"/>
      <c r="NT90" s="39"/>
      <c r="NU90" s="39"/>
      <c r="NV90" s="39"/>
      <c r="NW90" s="39"/>
      <c r="NX90" s="39"/>
      <c r="NY90" s="39"/>
      <c r="NZ90" s="39"/>
      <c r="OA90" s="39"/>
      <c r="OB90" s="39"/>
      <c r="OC90" s="39"/>
      <c r="OD90" s="39"/>
      <c r="OE90" s="39"/>
      <c r="OF90" s="39"/>
      <c r="OG90" s="39"/>
      <c r="OH90" s="39"/>
      <c r="OI90" s="39"/>
      <c r="OJ90" s="39"/>
      <c r="OK90" s="39"/>
      <c r="OL90" s="39"/>
      <c r="OM90" s="39"/>
      <c r="ON90" s="39"/>
      <c r="OO90" s="39"/>
      <c r="OP90" s="39"/>
      <c r="OQ90" s="39"/>
      <c r="OR90" s="39"/>
      <c r="OS90" s="39"/>
      <c r="OT90" s="39"/>
      <c r="OU90" s="39"/>
      <c r="OV90" s="39"/>
      <c r="OW90" s="39"/>
      <c r="OX90" s="39"/>
      <c r="OY90" s="39"/>
      <c r="OZ90" s="39"/>
      <c r="PA90" s="39"/>
      <c r="PB90" s="39"/>
      <c r="PC90" s="39"/>
      <c r="PD90" s="39"/>
      <c r="PE90" s="39"/>
      <c r="PF90" s="39"/>
      <c r="PG90" s="39"/>
      <c r="PH90" s="39"/>
      <c r="PI90" s="39"/>
      <c r="PJ90" s="39"/>
      <c r="PK90" s="39"/>
      <c r="PL90" s="39"/>
      <c r="PM90" s="39"/>
      <c r="PN90" s="39"/>
      <c r="PO90" s="39"/>
      <c r="PP90" s="39"/>
      <c r="PQ90" s="39"/>
      <c r="PR90" s="39"/>
      <c r="PS90" s="39"/>
      <c r="PT90" s="39"/>
      <c r="PU90" s="39"/>
      <c r="PV90" s="39"/>
      <c r="PW90" s="39"/>
      <c r="PX90" s="39"/>
      <c r="PY90" s="39"/>
      <c r="PZ90" s="39"/>
      <c r="QA90" s="39">
        <f>SUM(QA80:QA89)</f>
        <v>0</v>
      </c>
      <c r="QB90" s="39">
        <f>SUM(QB80:QB89)</f>
        <v>0</v>
      </c>
      <c r="QC90" s="39"/>
      <c r="QD90" s="39"/>
      <c r="QE90" s="39"/>
      <c r="QF90" s="39"/>
      <c r="QG90" s="39"/>
      <c r="QH90" s="39"/>
      <c r="QI90" s="39"/>
      <c r="QJ90" s="39"/>
      <c r="QK90" s="39"/>
      <c r="QL90" s="39"/>
      <c r="QM90" s="39"/>
      <c r="QN90" s="39"/>
      <c r="QO90" s="39"/>
      <c r="QP90" s="39"/>
      <c r="QQ90" s="39"/>
      <c r="QR90" s="39"/>
      <c r="QS90" s="39"/>
      <c r="QT90" s="39"/>
      <c r="QU90" s="39"/>
      <c r="QV90" s="39"/>
      <c r="QW90" s="39"/>
      <c r="QX90" s="39"/>
      <c r="QY90" s="39"/>
      <c r="QZ90" s="39"/>
      <c r="RA90" s="39"/>
      <c r="RB90" s="39"/>
      <c r="RC90" s="39"/>
      <c r="RD90" s="39"/>
      <c r="RE90" s="39"/>
      <c r="RF90" s="39"/>
      <c r="RG90" s="39"/>
      <c r="RH90" s="39"/>
      <c r="RI90" s="39"/>
      <c r="RJ90" s="39"/>
      <c r="RK90" s="39"/>
      <c r="RL90" s="39"/>
      <c r="RM90" s="39"/>
      <c r="RN90" s="39"/>
      <c r="RO90" s="39"/>
      <c r="RP90" s="39"/>
      <c r="RQ90" s="39"/>
      <c r="RR90" s="39"/>
      <c r="RS90" s="39"/>
      <c r="RT90" s="39"/>
      <c r="RU90" s="39"/>
      <c r="RV90" s="39"/>
      <c r="RW90" s="39"/>
      <c r="RX90" s="39"/>
      <c r="RY90" s="39"/>
      <c r="RZ90" s="39"/>
      <c r="SA90" s="39"/>
      <c r="SB90" s="39"/>
      <c r="SC90" s="39"/>
      <c r="SD90" s="39"/>
      <c r="SE90" s="39"/>
      <c r="SF90" s="39"/>
      <c r="SG90" s="39"/>
      <c r="SH90" s="39"/>
      <c r="SI90" s="39"/>
      <c r="SJ90" s="39"/>
      <c r="SK90" s="39"/>
      <c r="SL90" s="39"/>
      <c r="SM90" s="39">
        <f>SUM(SM80:SM89)</f>
        <v>0</v>
      </c>
      <c r="SN90" s="39">
        <f>SUM(SN80:SN89)</f>
        <v>0</v>
      </c>
      <c r="SO90" s="39"/>
      <c r="SP90" s="39"/>
      <c r="SQ90" s="39"/>
      <c r="SR90" s="39"/>
      <c r="SS90" s="39"/>
      <c r="ST90" s="39"/>
      <c r="SU90" s="39"/>
      <c r="SV90" s="39"/>
      <c r="SW90" s="39"/>
      <c r="SX90" s="39"/>
      <c r="SY90" s="39"/>
      <c r="SZ90" s="39"/>
      <c r="TA90" s="39"/>
      <c r="TB90" s="39"/>
      <c r="TC90" s="39"/>
      <c r="TD90" s="39"/>
      <c r="TE90" s="39"/>
      <c r="TF90" s="39"/>
      <c r="TG90" s="39"/>
      <c r="TH90" s="39"/>
      <c r="TI90" s="39"/>
      <c r="TJ90" s="39"/>
      <c r="TK90" s="39"/>
      <c r="TL90" s="39"/>
      <c r="TM90" s="39"/>
      <c r="TN90" s="39"/>
      <c r="TO90" s="39"/>
      <c r="TP90" s="39"/>
      <c r="TQ90" s="39"/>
      <c r="TR90" s="39"/>
      <c r="TS90" s="39"/>
      <c r="TT90" s="39"/>
      <c r="TU90" s="39"/>
      <c r="TV90" s="39"/>
      <c r="TW90" s="39"/>
      <c r="TX90" s="39"/>
      <c r="TY90" s="39"/>
      <c r="TZ90" s="39"/>
      <c r="UA90" s="39"/>
      <c r="UB90" s="39"/>
      <c r="UC90" s="39"/>
      <c r="UD90" s="39"/>
      <c r="UE90" s="39"/>
      <c r="UF90" s="39"/>
      <c r="UG90" s="39"/>
      <c r="UH90" s="39"/>
      <c r="UI90" s="39"/>
      <c r="UJ90" s="39"/>
      <c r="UK90" s="39"/>
      <c r="UL90" s="39"/>
      <c r="UM90" s="39"/>
      <c r="UN90" s="39"/>
      <c r="UO90" s="39"/>
      <c r="UP90" s="39"/>
      <c r="UQ90" s="39"/>
      <c r="UR90" s="39"/>
      <c r="US90" s="39"/>
      <c r="UT90" s="39"/>
      <c r="UU90" s="39"/>
      <c r="UV90" s="39"/>
      <c r="UW90" s="39">
        <f>SUM(UW80:UW89)</f>
        <v>0</v>
      </c>
      <c r="UX90" s="39">
        <f>SUM(UX80:UX89)</f>
        <v>0</v>
      </c>
      <c r="UY90" s="39"/>
      <c r="UZ90" s="39"/>
      <c r="VA90" s="39"/>
      <c r="VB90" s="39"/>
      <c r="VC90" s="39"/>
      <c r="VD90" s="39"/>
      <c r="VE90" s="39"/>
      <c r="VF90" s="39"/>
      <c r="VG90" s="39"/>
      <c r="VH90" s="39"/>
      <c r="VI90" s="39"/>
      <c r="VJ90" s="39"/>
      <c r="VK90" s="39"/>
      <c r="VL90" s="39"/>
      <c r="VM90" s="39"/>
      <c r="VN90" s="39"/>
      <c r="VO90" s="39"/>
      <c r="VP90" s="39"/>
      <c r="VQ90" s="39"/>
      <c r="VR90" s="39"/>
      <c r="VS90" s="39"/>
      <c r="VT90" s="39"/>
      <c r="VU90" s="39"/>
      <c r="VV90" s="39"/>
      <c r="VW90" s="39"/>
      <c r="VX90" s="39"/>
      <c r="VY90" s="39"/>
      <c r="VZ90" s="39"/>
      <c r="WA90" s="39"/>
      <c r="WB90" s="39"/>
      <c r="WC90" s="39"/>
      <c r="WD90" s="39"/>
      <c r="WE90" s="39"/>
      <c r="WF90" s="39"/>
      <c r="WG90" s="39"/>
      <c r="WH90" s="39"/>
      <c r="WI90" s="39"/>
      <c r="WJ90" s="39"/>
      <c r="WK90" s="39"/>
      <c r="WL90" s="39"/>
      <c r="WM90" s="39"/>
      <c r="WN90" s="39"/>
      <c r="WO90" s="39"/>
      <c r="WP90" s="39"/>
      <c r="WQ90" s="39"/>
      <c r="WR90" s="39"/>
      <c r="WS90" s="39"/>
      <c r="WT90" s="39"/>
      <c r="WU90" s="39"/>
      <c r="WV90" s="39"/>
      <c r="WW90" s="39"/>
      <c r="WX90" s="39"/>
      <c r="WY90" s="39"/>
      <c r="WZ90" s="39"/>
      <c r="XA90" s="39"/>
      <c r="XB90" s="39"/>
      <c r="XC90" s="39"/>
      <c r="XD90" s="39"/>
      <c r="XE90" s="39"/>
      <c r="XF90" s="39"/>
      <c r="XG90" s="39"/>
      <c r="XH90" s="39"/>
      <c r="XI90" s="39">
        <f>SUM(XI80:XI89)</f>
        <v>0</v>
      </c>
      <c r="XJ90" s="39">
        <f>SUM(XJ80:XJ89)</f>
        <v>0</v>
      </c>
      <c r="XK90" s="39"/>
      <c r="XL90" s="39"/>
      <c r="XM90" s="39"/>
      <c r="XN90" s="39"/>
      <c r="XO90" s="39"/>
      <c r="XP90" s="39"/>
      <c r="XQ90" s="39"/>
      <c r="XR90" s="39"/>
      <c r="XS90" s="39"/>
      <c r="XT90" s="39"/>
      <c r="XU90" s="39"/>
      <c r="XV90" s="39"/>
      <c r="XW90" s="39"/>
      <c r="XX90" s="39"/>
      <c r="XY90" s="39"/>
      <c r="XZ90" s="39"/>
      <c r="YA90" s="39"/>
      <c r="YB90" s="39"/>
      <c r="YC90" s="39"/>
      <c r="YD90" s="39"/>
      <c r="YE90" s="39"/>
      <c r="YF90" s="39"/>
      <c r="YG90" s="39"/>
      <c r="YH90" s="39"/>
      <c r="YI90" s="39"/>
      <c r="YJ90" s="39"/>
      <c r="YK90" s="39"/>
      <c r="YL90" s="39"/>
      <c r="YM90" s="39"/>
      <c r="YN90" s="39"/>
      <c r="YO90" s="39"/>
      <c r="YP90" s="39"/>
      <c r="YQ90" s="39"/>
      <c r="YR90" s="39"/>
      <c r="YS90" s="39"/>
      <c r="YT90" s="39"/>
      <c r="YU90" s="39"/>
      <c r="YV90" s="39"/>
      <c r="YW90" s="39"/>
      <c r="YX90" s="39"/>
      <c r="YY90" s="39"/>
      <c r="YZ90" s="39"/>
      <c r="ZA90" s="39"/>
      <c r="ZB90" s="39"/>
      <c r="ZC90" s="39"/>
      <c r="ZD90" s="39"/>
      <c r="ZE90" s="39"/>
      <c r="ZF90" s="39"/>
      <c r="ZG90" s="39"/>
      <c r="ZH90" s="39"/>
      <c r="ZI90" s="39"/>
      <c r="ZJ90" s="39"/>
      <c r="ZK90" s="39"/>
      <c r="ZL90" s="39"/>
      <c r="ZM90" s="39"/>
      <c r="ZN90" s="39"/>
      <c r="ZO90" s="39"/>
      <c r="ZP90" s="39"/>
      <c r="ZQ90" s="39"/>
      <c r="ZR90" s="39"/>
      <c r="ZS90" s="39">
        <f>SUM(ZS80:ZS89)</f>
        <v>0</v>
      </c>
      <c r="ZT90" s="39">
        <f>SUM(ZT80:ZT89)</f>
        <v>0</v>
      </c>
      <c r="ZU90" s="39"/>
      <c r="ZV90" s="39"/>
      <c r="ZW90" s="39"/>
      <c r="ZX90" s="39"/>
      <c r="ZY90" s="39"/>
      <c r="ZZ90" s="39"/>
      <c r="AAA90" s="39"/>
      <c r="AAB90" s="39"/>
      <c r="AAC90" s="39"/>
      <c r="AAD90" s="39"/>
      <c r="AAE90" s="39"/>
      <c r="AAF90" s="39"/>
      <c r="AAG90" s="39"/>
      <c r="AAH90" s="39"/>
      <c r="AAI90" s="39"/>
      <c r="AAJ90" s="39"/>
      <c r="AAK90" s="39"/>
      <c r="AAL90" s="39"/>
      <c r="AAM90" s="39"/>
      <c r="AAN90" s="39"/>
      <c r="AAO90" s="39"/>
      <c r="AAP90" s="39"/>
      <c r="AAQ90" s="39"/>
      <c r="AAR90" s="39"/>
      <c r="AAS90" s="39"/>
      <c r="AAT90" s="39"/>
      <c r="AAU90" s="39"/>
      <c r="AAV90" s="39"/>
      <c r="AAW90" s="39"/>
      <c r="AAX90" s="39"/>
      <c r="AAY90" s="39"/>
      <c r="AAZ90" s="39"/>
      <c r="ABA90" s="39"/>
      <c r="ABB90" s="39"/>
      <c r="ABC90" s="39"/>
      <c r="ABD90" s="39"/>
      <c r="ABE90" s="39"/>
      <c r="ABF90" s="39"/>
      <c r="ABG90" s="39"/>
      <c r="ABH90" s="39"/>
      <c r="ABI90" s="39"/>
      <c r="ABJ90" s="39"/>
      <c r="ABK90" s="39"/>
      <c r="ABL90" s="39"/>
      <c r="ABM90" s="39"/>
      <c r="ABN90" s="39"/>
      <c r="ABO90" s="39"/>
      <c r="ABP90" s="39"/>
      <c r="ABQ90" s="39"/>
      <c r="ABR90" s="39"/>
      <c r="ABS90" s="39"/>
      <c r="ABT90" s="39"/>
      <c r="ABU90" s="39"/>
      <c r="ABV90" s="39"/>
      <c r="ABW90" s="39"/>
      <c r="ABX90" s="39"/>
      <c r="ABY90" s="39"/>
      <c r="ABZ90" s="39"/>
      <c r="ACA90" s="39"/>
      <c r="ACB90" s="39"/>
      <c r="ACC90" s="39"/>
      <c r="ACD90" s="39"/>
      <c r="ACE90" s="39">
        <f>SUM(ACE80:ACE89)</f>
        <v>0</v>
      </c>
      <c r="ACF90" s="39"/>
      <c r="ACG90" s="39">
        <f>SUM(ACG80:ACG89)</f>
        <v>20218.560000000001</v>
      </c>
      <c r="ACH90" s="40"/>
      <c r="ACI90" s="71" t="s">
        <v>223</v>
      </c>
      <c r="ACJ90" s="71" t="s">
        <v>37</v>
      </c>
    </row>
    <row r="91" spans="1:764" x14ac:dyDescent="0.25">
      <c r="A91" s="161">
        <v>9</v>
      </c>
      <c r="B91" s="151" t="s">
        <v>92</v>
      </c>
      <c r="C91" s="154" t="s">
        <v>3</v>
      </c>
      <c r="D91" s="49" t="s">
        <v>6</v>
      </c>
      <c r="E91" s="72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43" cm="1">
        <f t="array" ref="BO91">SUMPRODUCT(E91:BM91,--(E$2:BM$2=BO$2))</f>
        <v>0</v>
      </c>
      <c r="BP91" s="43" cm="1">
        <f t="array" ref="BP91">SUMPRODUCT(F91:BN91,--(F$2:BN$2=BP$2))</f>
        <v>0</v>
      </c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 cm="1">
        <f t="array" ref="DW91">SUMPRODUCT(BQ91:DU91,--(BQ$2:DU$2=DW$2))</f>
        <v>0</v>
      </c>
      <c r="DX91" s="43" cm="1">
        <f t="array" ref="DX91">SUMPRODUCT(BR91:DV91,--(BR$2:DV$2=DX$2))</f>
        <v>0</v>
      </c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 cm="1">
        <f t="array" ref="GI91">SUMPRODUCT(DY91:GG91,--(DY$2:GG$2=GI$2))</f>
        <v>0</v>
      </c>
      <c r="GJ91" s="43" cm="1">
        <f t="array" ref="GJ91">SUMPRODUCT(DZ91:GH91,--(DZ$2:GH$2=GJ$2))</f>
        <v>0</v>
      </c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>
        <f>GK91+GM91+GO91+GQ91+GS91+GU91+GW91+GY91+HA91+HC91+HE91+HG91+HI91+HK91+HM91+HO91+HQ91+HS91+HU91+HW91+HY91+IA91+IC91+IE91+IG91+II91+IK91+IM91+IO91+IQ91</f>
        <v>0</v>
      </c>
      <c r="IT91" s="43">
        <f>GL91+GN91+GP91+GR91+GT91+GV91+GX91+GZ91+HB91+HD91+HF91+HH91+HJ91+HL91+HN91+HP91+HR91+HT91+HV91+HX91+HZ91+IB91+ID91+IF91+IH91+IJ91+IL91+IN91+IP91+IR91</f>
        <v>0</v>
      </c>
      <c r="IU91" s="43"/>
      <c r="IV91" s="43"/>
      <c r="IW91" s="43"/>
      <c r="IX91" s="43"/>
      <c r="IY91" s="43">
        <v>271.85000000000002</v>
      </c>
      <c r="IZ91" s="43"/>
      <c r="JA91" s="43"/>
      <c r="JB91" s="43"/>
      <c r="JC91" s="43"/>
      <c r="JD91" s="43"/>
      <c r="JE91" s="43"/>
      <c r="JF91" s="43"/>
      <c r="JG91" s="43"/>
      <c r="JH91" s="43"/>
      <c r="JI91" s="43"/>
      <c r="JJ91" s="43"/>
      <c r="JK91" s="43"/>
      <c r="JL91" s="43"/>
      <c r="JM91" s="43"/>
      <c r="JN91" s="43"/>
      <c r="JO91" s="43"/>
      <c r="JP91" s="43"/>
      <c r="JQ91" s="43"/>
      <c r="JR91" s="43"/>
      <c r="JS91" s="43"/>
      <c r="JT91" s="43"/>
      <c r="JU91" s="43"/>
      <c r="JV91" s="43"/>
      <c r="JW91" s="43"/>
      <c r="JX91" s="43"/>
      <c r="JY91" s="43"/>
      <c r="JZ91" s="43"/>
      <c r="KA91" s="43"/>
      <c r="KB91" s="43"/>
      <c r="KC91" s="43"/>
      <c r="KD91" s="43"/>
      <c r="KE91" s="43"/>
      <c r="KF91" s="43"/>
      <c r="KG91" s="43"/>
      <c r="KH91" s="43"/>
      <c r="KI91" s="43"/>
      <c r="KJ91" s="43"/>
      <c r="KK91" s="43"/>
      <c r="KL91" s="43"/>
      <c r="KM91" s="43"/>
      <c r="KN91" s="43"/>
      <c r="KO91" s="43"/>
      <c r="KP91" s="43"/>
      <c r="KQ91" s="43"/>
      <c r="KR91" s="43"/>
      <c r="KS91" s="43"/>
      <c r="KT91" s="43"/>
      <c r="KU91" s="43"/>
      <c r="KV91" s="43"/>
      <c r="KW91" s="43"/>
      <c r="KX91" s="43"/>
      <c r="KY91" s="43"/>
      <c r="KZ91" s="43"/>
      <c r="LA91" s="43"/>
      <c r="LB91" s="43"/>
      <c r="LC91" s="43"/>
      <c r="LD91" s="43"/>
      <c r="LE91" s="43">
        <f>IU91+IW91+IY91+JA91+JC91+JE91+JG91+JI91+JK91+JM91+JO91+JQ91+JS91+JU91+JW91+JY91+KA91+KC91+KE91+KG91+KI91+KK91+KM91+KO91+KQ91+KS91+KU91+KW91+KY91+LA91+LC91</f>
        <v>271.85000000000002</v>
      </c>
      <c r="LF91" s="43">
        <f>IV91+IX91+IZ91+JB91+JD91+JF91+JH91+JJ91+JL91+JN91+JP91+JR91+JT91+JV91+JX91+JZ91+KB91+KD91+KF91+KH91+KJ91+KL91+KN91+KP91+KR91+KT91+KV91+KX91+KZ91+LB91+LD91</f>
        <v>0</v>
      </c>
      <c r="LG91" s="43"/>
      <c r="LH91" s="43"/>
      <c r="LI91" s="43"/>
      <c r="LJ91" s="43"/>
      <c r="LK91" s="43"/>
      <c r="LL91" s="43"/>
      <c r="LM91" s="43"/>
      <c r="LN91" s="43"/>
      <c r="LO91" s="43"/>
      <c r="LP91" s="43"/>
      <c r="LQ91" s="43"/>
      <c r="LR91" s="43"/>
      <c r="LS91" s="43"/>
      <c r="LT91" s="43"/>
      <c r="LU91" s="43"/>
      <c r="LV91" s="43"/>
      <c r="LW91" s="43"/>
      <c r="LX91" s="43"/>
      <c r="LY91" s="43"/>
      <c r="LZ91" s="43"/>
      <c r="MA91" s="43"/>
      <c r="MB91" s="43"/>
      <c r="MC91" s="43"/>
      <c r="MD91" s="43"/>
      <c r="ME91" s="43"/>
      <c r="MF91" s="43"/>
      <c r="MG91" s="43"/>
      <c r="MH91" s="43"/>
      <c r="MI91" s="43"/>
      <c r="MJ91" s="43"/>
      <c r="MK91" s="43"/>
      <c r="ML91" s="43"/>
      <c r="MM91" s="43"/>
      <c r="MN91" s="43"/>
      <c r="MO91" s="43"/>
      <c r="MP91" s="43"/>
      <c r="MQ91" s="43"/>
      <c r="MR91" s="43"/>
      <c r="MS91" s="43"/>
      <c r="MT91" s="43"/>
      <c r="MU91" s="43"/>
      <c r="MV91" s="43"/>
      <c r="MW91" s="43"/>
      <c r="MX91" s="43"/>
      <c r="MY91" s="43"/>
      <c r="MZ91" s="43"/>
      <c r="NA91" s="43"/>
      <c r="NB91" s="43"/>
      <c r="NC91" s="43"/>
      <c r="ND91" s="43"/>
      <c r="NE91" s="43"/>
      <c r="NF91" s="43"/>
      <c r="NG91" s="43"/>
      <c r="NH91" s="43"/>
      <c r="NI91" s="43"/>
      <c r="NJ91" s="43"/>
      <c r="NK91" s="43"/>
      <c r="NL91" s="43"/>
      <c r="NM91" s="43"/>
      <c r="NN91" s="43"/>
      <c r="NO91" s="43">
        <f>LG91+LI91+LK91+LM91+LO91+LQ91+LS91+LU91+LW91+LY91+MA91+MC91+ME91+MG91+MI91+MK91+MM91+MO91+MQ91+MS91+MU91+MW91+MY91+NA91+NC91+NE91+NG91+NI91+NK91+NM91</f>
        <v>0</v>
      </c>
      <c r="NP91" s="43">
        <f>LH91+LJ91+LL91+LN91+LP91+LR91+LT91+LV91+LX91+LZ91+MB91+MD91+MF91+MH91+MJ91+ML91+MN91+MP91+MR91+MT91+MV91+MX91+MZ91+NB91+ND91+NF91+NH91+NJ91+NL91+NN91</f>
        <v>0</v>
      </c>
      <c r="NQ91" s="43"/>
      <c r="NR91" s="43"/>
      <c r="NS91" s="43"/>
      <c r="NT91" s="43"/>
      <c r="NU91" s="43"/>
      <c r="NV91" s="43"/>
      <c r="NW91" s="43"/>
      <c r="NX91" s="43"/>
      <c r="NY91" s="43"/>
      <c r="NZ91" s="43"/>
      <c r="OA91" s="43"/>
      <c r="OB91" s="43"/>
      <c r="OC91" s="43"/>
      <c r="OD91" s="43"/>
      <c r="OE91" s="43"/>
      <c r="OF91" s="43"/>
      <c r="OG91" s="43"/>
      <c r="OH91" s="43"/>
      <c r="OI91" s="43"/>
      <c r="OJ91" s="43"/>
      <c r="OK91" s="43"/>
      <c r="OL91" s="43"/>
      <c r="OM91" s="43"/>
      <c r="ON91" s="43"/>
      <c r="OO91" s="43"/>
      <c r="OP91" s="43"/>
      <c r="OQ91" s="43"/>
      <c r="OR91" s="43"/>
      <c r="OS91" s="43"/>
      <c r="OT91" s="43"/>
      <c r="OU91" s="43"/>
      <c r="OV91" s="43"/>
      <c r="OW91" s="43"/>
      <c r="OX91" s="43"/>
      <c r="OY91" s="43"/>
      <c r="OZ91" s="43"/>
      <c r="PA91" s="43"/>
      <c r="PB91" s="43"/>
      <c r="PC91" s="43"/>
      <c r="PD91" s="43"/>
      <c r="PE91" s="43"/>
      <c r="PF91" s="43"/>
      <c r="PG91" s="43"/>
      <c r="PH91" s="43"/>
      <c r="PI91" s="43"/>
      <c r="PJ91" s="43"/>
      <c r="PK91" s="43"/>
      <c r="PL91" s="43"/>
      <c r="PM91" s="43"/>
      <c r="PN91" s="43"/>
      <c r="PO91" s="43"/>
      <c r="PP91" s="43"/>
      <c r="PQ91" s="43"/>
      <c r="PR91" s="43"/>
      <c r="PS91" s="43"/>
      <c r="PT91" s="43"/>
      <c r="PU91" s="43"/>
      <c r="PV91" s="43"/>
      <c r="PW91" s="43"/>
      <c r="PX91" s="43"/>
      <c r="PY91" s="43"/>
      <c r="PZ91" s="43"/>
      <c r="QA91" s="43">
        <f>NQ91+NS91+NU91+NW91+NY91+OA91+OC91+OE91+OG91+OI91+OK91+OM91+OO91+OQ91+OS91+OU91+OW91+OY91+PA91+PC91+PE91+PG91+PI91+PK91+PM91+PO91+PQ91+PS91+PU91+PW91+PY91</f>
        <v>0</v>
      </c>
      <c r="QB91" s="43">
        <f>NR91+NT91+NV91+NX91+NZ91+OB91+OD91+OF91+OH91+OJ91+OL91+ON91+OP91+OR91+OT91+OV91+OX91+OZ91+PB91+PD91+PF91+PH91+PJ91+PL91+PN91+PP91+PR91+PT91+PV91+PX91+PZ91</f>
        <v>0</v>
      </c>
      <c r="QC91" s="43"/>
      <c r="QD91" s="43"/>
      <c r="QE91" s="43"/>
      <c r="QF91" s="43"/>
      <c r="QG91" s="43"/>
      <c r="QH91" s="43"/>
      <c r="QI91" s="43"/>
      <c r="QJ91" s="43"/>
      <c r="QK91" s="43"/>
      <c r="QL91" s="43"/>
      <c r="QM91" s="43"/>
      <c r="QN91" s="43"/>
      <c r="QO91" s="43"/>
      <c r="QP91" s="43"/>
      <c r="QQ91" s="43"/>
      <c r="QR91" s="43"/>
      <c r="QS91" s="43"/>
      <c r="QT91" s="43"/>
      <c r="QU91" s="43"/>
      <c r="QV91" s="43"/>
      <c r="QW91" s="43"/>
      <c r="QX91" s="43"/>
      <c r="QY91" s="43"/>
      <c r="QZ91" s="43"/>
      <c r="RA91" s="43"/>
      <c r="RB91" s="43"/>
      <c r="RC91" s="43"/>
      <c r="RD91" s="43"/>
      <c r="RE91" s="43"/>
      <c r="RF91" s="43"/>
      <c r="RG91" s="43"/>
      <c r="RH91" s="43"/>
      <c r="RI91" s="43"/>
      <c r="RJ91" s="43"/>
      <c r="RK91" s="43"/>
      <c r="RL91" s="43"/>
      <c r="RM91" s="43"/>
      <c r="RN91" s="43"/>
      <c r="RO91" s="43"/>
      <c r="RP91" s="43"/>
      <c r="RQ91" s="43"/>
      <c r="RR91" s="43"/>
      <c r="RS91" s="43"/>
      <c r="RT91" s="43"/>
      <c r="RU91" s="43"/>
      <c r="RV91" s="43"/>
      <c r="RW91" s="43"/>
      <c r="RX91" s="43"/>
      <c r="RY91" s="43"/>
      <c r="RZ91" s="43"/>
      <c r="SA91" s="43"/>
      <c r="SB91" s="43"/>
      <c r="SC91" s="43"/>
      <c r="SD91" s="43"/>
      <c r="SE91" s="43"/>
      <c r="SF91" s="43"/>
      <c r="SG91" s="43"/>
      <c r="SH91" s="43"/>
      <c r="SI91" s="43"/>
      <c r="SJ91" s="43"/>
      <c r="SK91" s="43"/>
      <c r="SL91" s="43"/>
      <c r="SM91" s="43">
        <f>QC91+QE91+QG91+QI91+QK91+QM91+QO91+QQ91+QS91+QU91+QW91+QY91+RA91+RC91+RE91+RG91+RI91+RK91+RM91+RO91+RQ91+RS91+RU91+RW91+RY91+SA91+SC91+SE91+SG91+SI91+SK91</f>
        <v>0</v>
      </c>
      <c r="SN91" s="43">
        <f>QD91+QF91+QH91+QJ91+QL91+QN91+QP91+QR91+QT91+QV91+QX91+QZ91+RB91+RD91+RF91+RH91+RJ91+RL91+RN91+RP91+RR91+RT91+RV91+RX91+RZ91+SB91+SD91+SF91+SH91+SJ91+SL91</f>
        <v>0</v>
      </c>
      <c r="SO91" s="43"/>
      <c r="SP91" s="43"/>
      <c r="SQ91" s="43"/>
      <c r="SR91" s="43"/>
      <c r="SS91" s="43"/>
      <c r="ST91" s="43"/>
      <c r="SU91" s="43"/>
      <c r="SV91" s="43"/>
      <c r="SW91" s="43"/>
      <c r="SX91" s="43"/>
      <c r="SY91" s="43"/>
      <c r="SZ91" s="43"/>
      <c r="TA91" s="43"/>
      <c r="TB91" s="43"/>
      <c r="TC91" s="43"/>
      <c r="TD91" s="43"/>
      <c r="TE91" s="43"/>
      <c r="TF91" s="43"/>
      <c r="TG91" s="43"/>
      <c r="TH91" s="43"/>
      <c r="TI91" s="43"/>
      <c r="TJ91" s="43"/>
      <c r="TK91" s="43"/>
      <c r="TL91" s="43"/>
      <c r="TM91" s="43"/>
      <c r="TN91" s="43"/>
      <c r="TO91" s="43"/>
      <c r="TP91" s="43"/>
      <c r="TQ91" s="43"/>
      <c r="TR91" s="43"/>
      <c r="TS91" s="43"/>
      <c r="TT91" s="43"/>
      <c r="TU91" s="43"/>
      <c r="TV91" s="43"/>
      <c r="TW91" s="43"/>
      <c r="TX91" s="43"/>
      <c r="TY91" s="43"/>
      <c r="TZ91" s="43"/>
      <c r="UA91" s="43"/>
      <c r="UB91" s="43"/>
      <c r="UC91" s="43"/>
      <c r="UD91" s="43"/>
      <c r="UE91" s="43"/>
      <c r="UF91" s="43"/>
      <c r="UG91" s="43"/>
      <c r="UH91" s="43"/>
      <c r="UI91" s="43"/>
      <c r="UJ91" s="43"/>
      <c r="UK91" s="43"/>
      <c r="UL91" s="43"/>
      <c r="UM91" s="43"/>
      <c r="UN91" s="43"/>
      <c r="UO91" s="43"/>
      <c r="UP91" s="43"/>
      <c r="UQ91" s="43"/>
      <c r="UR91" s="43"/>
      <c r="US91" s="43"/>
      <c r="UT91" s="43"/>
      <c r="UU91" s="43"/>
      <c r="UV91" s="43"/>
      <c r="UW91" s="43">
        <f>SO91+SQ91+SS91+SU91+SW91+SY91+TA91+TC91+TE91+TG91+TI91+TK91+TM91+TO91+TQ91+TS91+TU91+TW91+TY91+UA91+UC91+UE91+UG91+UI91+UK91+UM91+UO91+UQ91+US91+UU91</f>
        <v>0</v>
      </c>
      <c r="UX91" s="43">
        <f>SP91+SR91+ST91+SV91+SX91+SZ91+TB91+TD91+TF91+TH91+TJ91+TL91+TN91+TP91+TR91+TT91+TV91+TX91+TZ91+UB91+UD91+UF91+UH91+UJ91+UL91+UN91+UP91+UR91+UT91+UV91</f>
        <v>0</v>
      </c>
      <c r="UY91" s="43"/>
      <c r="UZ91" s="43"/>
      <c r="VA91" s="43"/>
      <c r="VB91" s="43"/>
      <c r="VC91" s="43"/>
      <c r="VD91" s="43"/>
      <c r="VE91" s="43"/>
      <c r="VF91" s="43"/>
      <c r="VG91" s="43"/>
      <c r="VH91" s="43"/>
      <c r="VI91" s="43"/>
      <c r="VJ91" s="43"/>
      <c r="VK91" s="43"/>
      <c r="VL91" s="43"/>
      <c r="VM91" s="43"/>
      <c r="VN91" s="43"/>
      <c r="VO91" s="43"/>
      <c r="VP91" s="43"/>
      <c r="VQ91" s="43"/>
      <c r="VR91" s="43"/>
      <c r="VS91" s="43"/>
      <c r="VT91" s="43"/>
      <c r="VU91" s="43"/>
      <c r="VV91" s="43"/>
      <c r="VW91" s="43"/>
      <c r="VX91" s="43"/>
      <c r="VY91" s="43"/>
      <c r="VZ91" s="43"/>
      <c r="WA91" s="43"/>
      <c r="WB91" s="43"/>
      <c r="WC91" s="43"/>
      <c r="WD91" s="43"/>
      <c r="WE91" s="43"/>
      <c r="WF91" s="43"/>
      <c r="WG91" s="43"/>
      <c r="WH91" s="43"/>
      <c r="WI91" s="43"/>
      <c r="WJ91" s="43"/>
      <c r="WK91" s="43"/>
      <c r="WL91" s="43"/>
      <c r="WM91" s="43"/>
      <c r="WN91" s="43"/>
      <c r="WO91" s="43"/>
      <c r="WP91" s="43"/>
      <c r="WQ91" s="43"/>
      <c r="WR91" s="43"/>
      <c r="WS91" s="43"/>
      <c r="WT91" s="43"/>
      <c r="WU91" s="43"/>
      <c r="WV91" s="43"/>
      <c r="WW91" s="43"/>
      <c r="WX91" s="43"/>
      <c r="WY91" s="43"/>
      <c r="WZ91" s="43"/>
      <c r="XA91" s="43"/>
      <c r="XB91" s="43"/>
      <c r="XC91" s="43"/>
      <c r="XD91" s="43"/>
      <c r="XE91" s="43"/>
      <c r="XF91" s="43"/>
      <c r="XG91" s="43"/>
      <c r="XH91" s="43"/>
      <c r="XI91" s="43">
        <f>UY91+VA91+VC91+VE91+VG91+VI91+VK91+VM91+VO91+VQ91+VS91+VU91+VW91+VY91+WA91+WC91+WE91+WG91+WI91+WK91+WM91+WO91+WQ91+WS91+WU91+WW91+WY91+XA91+XC91+XE91+XG91</f>
        <v>0</v>
      </c>
      <c r="XJ91" s="43">
        <f>UZ91+VB91+VD91+VF91+VH91+VJ91+VL91+VN91+VP91+VR91+VT91+VV91+VX91+VZ91+WB91+WD91+WF91+WH91+WJ91+WL91+WN91+WP91+WR91+WT91+WV91+WX91+WZ91+XB91+XD91+XF91+XH91</f>
        <v>0</v>
      </c>
      <c r="XK91" s="43"/>
      <c r="XL91" s="43"/>
      <c r="XM91" s="43"/>
      <c r="XN91" s="43"/>
      <c r="XO91" s="43"/>
      <c r="XP91" s="43"/>
      <c r="XQ91" s="43"/>
      <c r="XR91" s="43"/>
      <c r="XS91" s="43"/>
      <c r="XT91" s="43"/>
      <c r="XU91" s="43"/>
      <c r="XV91" s="43"/>
      <c r="XW91" s="43"/>
      <c r="XX91" s="43"/>
      <c r="XY91" s="43"/>
      <c r="XZ91" s="43"/>
      <c r="YA91" s="43"/>
      <c r="YB91" s="43"/>
      <c r="YC91" s="43"/>
      <c r="YD91" s="43"/>
      <c r="YE91" s="43"/>
      <c r="YF91" s="43"/>
      <c r="YG91" s="43"/>
      <c r="YH91" s="43"/>
      <c r="YI91" s="43"/>
      <c r="YJ91" s="43"/>
      <c r="YK91" s="43"/>
      <c r="YL91" s="43"/>
      <c r="YM91" s="43"/>
      <c r="YN91" s="43"/>
      <c r="YO91" s="43"/>
      <c r="YP91" s="43"/>
      <c r="YQ91" s="43"/>
      <c r="YR91" s="43"/>
      <c r="YS91" s="43"/>
      <c r="YT91" s="43"/>
      <c r="YU91" s="43"/>
      <c r="YV91" s="43"/>
      <c r="YW91" s="43"/>
      <c r="YX91" s="43"/>
      <c r="YY91" s="43"/>
      <c r="YZ91" s="43"/>
      <c r="ZA91" s="43"/>
      <c r="ZB91" s="43"/>
      <c r="ZC91" s="43"/>
      <c r="ZD91" s="43"/>
      <c r="ZE91" s="43"/>
      <c r="ZF91" s="43"/>
      <c r="ZG91" s="43"/>
      <c r="ZH91" s="43"/>
      <c r="ZI91" s="43"/>
      <c r="ZJ91" s="43"/>
      <c r="ZK91" s="43"/>
      <c r="ZL91" s="43"/>
      <c r="ZM91" s="43"/>
      <c r="ZN91" s="43"/>
      <c r="ZO91" s="43"/>
      <c r="ZP91" s="43"/>
      <c r="ZQ91" s="43"/>
      <c r="ZR91" s="43"/>
      <c r="ZS91" s="43">
        <f>XK91+XM91+XO91+XQ91+XS91+XU91+XW91+XY91+YA91+YC91+YE91+YG91+YI91+YK91+YM91+YO91+YQ91+YS91+YU91+YW91+YY91+ZA91+ZC91+ZE91+ZG91+ZI91+ZK91+ZM91+ZO91+ZQ91</f>
        <v>0</v>
      </c>
      <c r="ZT91" s="43">
        <f>XL91+XN91+XP91+XR91+XT91+XV91+XX91+XZ91+YB91+YD91+YF91+YH91+YJ91+YL91+YN91+YP91+YR91+YT91+YV91+YX91+YZ91+ZB91+ZD91+ZF91+ZH91+ZJ91+ZL91+ZN91+ZP91+ZR91</f>
        <v>0</v>
      </c>
      <c r="ZU91" s="43"/>
      <c r="ZV91" s="43"/>
      <c r="ZW91" s="43"/>
      <c r="ZX91" s="43"/>
      <c r="ZY91" s="43"/>
      <c r="ZZ91" s="43"/>
      <c r="AAA91" s="43"/>
      <c r="AAB91" s="43"/>
      <c r="AAC91" s="43"/>
      <c r="AAD91" s="43"/>
      <c r="AAE91" s="43"/>
      <c r="AAF91" s="43"/>
      <c r="AAG91" s="43"/>
      <c r="AAH91" s="43"/>
      <c r="AAI91" s="43"/>
      <c r="AAJ91" s="43"/>
      <c r="AAK91" s="43"/>
      <c r="AAL91" s="43"/>
      <c r="AAM91" s="43"/>
      <c r="AAN91" s="43"/>
      <c r="AAO91" s="43"/>
      <c r="AAP91" s="43"/>
      <c r="AAQ91" s="43"/>
      <c r="AAR91" s="43"/>
      <c r="AAS91" s="43"/>
      <c r="AAT91" s="43"/>
      <c r="AAU91" s="43"/>
      <c r="AAV91" s="43"/>
      <c r="AAW91" s="43"/>
      <c r="AAX91" s="43"/>
      <c r="AAY91" s="43"/>
      <c r="AAZ91" s="43"/>
      <c r="ABA91" s="43"/>
      <c r="ABB91" s="43"/>
      <c r="ABC91" s="43"/>
      <c r="ABD91" s="43"/>
      <c r="ABE91" s="43"/>
      <c r="ABF91" s="43"/>
      <c r="ABG91" s="43"/>
      <c r="ABH91" s="43"/>
      <c r="ABI91" s="43"/>
      <c r="ABJ91" s="43"/>
      <c r="ABK91" s="43"/>
      <c r="ABL91" s="43"/>
      <c r="ABM91" s="43"/>
      <c r="ABN91" s="43"/>
      <c r="ABO91" s="43"/>
      <c r="ABP91" s="43"/>
      <c r="ABQ91" s="43"/>
      <c r="ABR91" s="43"/>
      <c r="ABS91" s="43"/>
      <c r="ABT91" s="43"/>
      <c r="ABU91" s="43"/>
      <c r="ABV91" s="43"/>
      <c r="ABW91" s="43"/>
      <c r="ABX91" s="43"/>
      <c r="ABY91" s="43"/>
      <c r="ABZ91" s="43"/>
      <c r="ACA91" s="43"/>
      <c r="ACB91" s="43"/>
      <c r="ACC91" s="43"/>
      <c r="ACD91" s="44"/>
      <c r="ACE91" s="43">
        <f>ZU91+ZW91+ZY91+AAA91+AAC91+AAE91+AAG91+AAI91+AAK91+AAM91+AAO91+AAQ91+AAS91+AAU91+AAW91+AAY91+ABA91+ABC91+ABE91+ABG91+ABI91+ABK91+ABM91+ABO91+ABQ91+ABS91+ABU91+ABW91+ABY91+ACA91+ACC91</f>
        <v>0</v>
      </c>
      <c r="ACF91" s="43"/>
      <c r="ACG91" s="43">
        <f>BO91+DW91+GI91+IS91+LE91+NO91+QA91+SM91+UW91+XI91+ZS91+ACE91</f>
        <v>271.85000000000002</v>
      </c>
      <c r="ACH91" s="54"/>
      <c r="ACI91" s="71" t="s">
        <v>234</v>
      </c>
      <c r="ACJ91" s="71" t="s">
        <v>92</v>
      </c>
    </row>
    <row r="92" spans="1:764" x14ac:dyDescent="0.25">
      <c r="A92" s="162"/>
      <c r="B92" s="152"/>
      <c r="C92" s="155"/>
      <c r="D92" s="50" t="s">
        <v>7</v>
      </c>
      <c r="E92" s="74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24" cm="1">
        <f t="array" ref="BO92">SUMPRODUCT(E92:BM92,--(E$2:BM$2=BO$2))</f>
        <v>0</v>
      </c>
      <c r="BP92" s="24" cm="1">
        <f t="array" ref="BP92">SUMPRODUCT(F92:BN92,--(F$2:BN$2=BP$2))</f>
        <v>0</v>
      </c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 cm="1">
        <f t="array" ref="DW92">SUMPRODUCT(BQ92:DU92,--(BQ$2:DU$2=DW$2))</f>
        <v>0</v>
      </c>
      <c r="DX92" s="24" cm="1">
        <f t="array" ref="DX92">SUMPRODUCT(BR92:DV92,--(BR$2:DV$2=DX$2))</f>
        <v>0</v>
      </c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  <c r="FK92" s="24"/>
      <c r="FL92" s="24"/>
      <c r="FM92" s="24"/>
      <c r="FN92" s="24"/>
      <c r="FO92" s="24"/>
      <c r="FP92" s="24"/>
      <c r="FQ92" s="24"/>
      <c r="FR92" s="24"/>
      <c r="FS92" s="24"/>
      <c r="FT92" s="24"/>
      <c r="FU92" s="24"/>
      <c r="FV92" s="24"/>
      <c r="FW92" s="24"/>
      <c r="FX92" s="24"/>
      <c r="FY92" s="24"/>
      <c r="FZ92" s="24"/>
      <c r="GA92" s="24"/>
      <c r="GB92" s="24"/>
      <c r="GC92" s="24"/>
      <c r="GD92" s="24"/>
      <c r="GE92" s="24"/>
      <c r="GF92" s="24"/>
      <c r="GG92" s="24"/>
      <c r="GH92" s="24"/>
      <c r="GI92" s="24" cm="1">
        <f t="array" ref="GI92">SUMPRODUCT(DY92:GG92,--(DY$2:GG$2=GI$2))</f>
        <v>0</v>
      </c>
      <c r="GJ92" s="24" cm="1">
        <f t="array" ref="GJ92">SUMPRODUCT(DZ92:GH92,--(DZ$2:GH$2=GJ$2))</f>
        <v>0</v>
      </c>
      <c r="GK92" s="24"/>
      <c r="GL92" s="24"/>
      <c r="GM92" s="24"/>
      <c r="GN92" s="24"/>
      <c r="GO92" s="24"/>
      <c r="GP92" s="24"/>
      <c r="GQ92" s="24"/>
      <c r="GR92" s="24"/>
      <c r="GS92" s="24"/>
      <c r="GT92" s="24"/>
      <c r="GU92" s="24"/>
      <c r="GV92" s="24"/>
      <c r="GW92" s="24"/>
      <c r="GX92" s="24"/>
      <c r="GY92" s="24"/>
      <c r="GZ92" s="24"/>
      <c r="HA92" s="24"/>
      <c r="HB92" s="24"/>
      <c r="HC92" s="24"/>
      <c r="HD92" s="24"/>
      <c r="HE92" s="24"/>
      <c r="HF92" s="24"/>
      <c r="HG92" s="24"/>
      <c r="HH92" s="24"/>
      <c r="HI92" s="24"/>
      <c r="HJ92" s="24"/>
      <c r="HK92" s="24"/>
      <c r="HL92" s="24"/>
      <c r="HM92" s="24"/>
      <c r="HN92" s="24"/>
      <c r="HO92" s="24"/>
      <c r="HP92" s="24"/>
      <c r="HQ92" s="24"/>
      <c r="HR92" s="24"/>
      <c r="HS92" s="24"/>
      <c r="HT92" s="24"/>
      <c r="HU92" s="24"/>
      <c r="HV92" s="24"/>
      <c r="HW92" s="24"/>
      <c r="HX92" s="24"/>
      <c r="HY92" s="24"/>
      <c r="HZ92" s="24"/>
      <c r="IA92" s="24"/>
      <c r="IB92" s="24"/>
      <c r="IC92" s="24"/>
      <c r="ID92" s="24"/>
      <c r="IE92" s="24"/>
      <c r="IF92" s="24"/>
      <c r="IG92" s="24"/>
      <c r="IH92" s="24"/>
      <c r="II92" s="24"/>
      <c r="IJ92" s="24"/>
      <c r="IK92" s="24"/>
      <c r="IL92" s="24"/>
      <c r="IM92" s="24"/>
      <c r="IN92" s="24"/>
      <c r="IO92" s="24"/>
      <c r="IP92" s="24"/>
      <c r="IQ92" s="24"/>
      <c r="IR92" s="24"/>
      <c r="IS92" s="24">
        <f t="shared" ref="IS92:IS100" si="217">GK92+GM92+GO92+GQ92+GS92+GU92+GW92+GY92+HA92+HC92+HE92+HG92+HI92+HK92+HM92+HO92+HQ92+HS92+HU92+HW92+HY92+IA92+IC92+IE92+IG92+II92+IK92+IM92+IO92+IQ92</f>
        <v>0</v>
      </c>
      <c r="IT92" s="24">
        <f t="shared" ref="IT92:IT100" si="218">GL92+GN92+GP92+GR92+GT92+GV92+GX92+GZ92+HB92+HD92+HF92+HH92+HJ92+HL92+HN92+HP92+HR92+HT92+HV92+HX92+HZ92+IB92+ID92+IF92+IH92+IJ92+IL92+IN92+IP92+IR92</f>
        <v>0</v>
      </c>
      <c r="IU92" s="24"/>
      <c r="IV92" s="24"/>
      <c r="IW92" s="24"/>
      <c r="IX92" s="24"/>
      <c r="IY92" s="24"/>
      <c r="IZ92" s="24"/>
      <c r="JA92" s="24"/>
      <c r="JB92" s="24"/>
      <c r="JC92" s="24"/>
      <c r="JD92" s="24"/>
      <c r="JE92" s="24"/>
      <c r="JF92" s="24"/>
      <c r="JG92" s="24"/>
      <c r="JH92" s="24"/>
      <c r="JI92" s="24"/>
      <c r="JJ92" s="24"/>
      <c r="JK92" s="24"/>
      <c r="JL92" s="24"/>
      <c r="JM92" s="24"/>
      <c r="JN92" s="24"/>
      <c r="JO92" s="24"/>
      <c r="JP92" s="24"/>
      <c r="JQ92" s="24"/>
      <c r="JR92" s="24"/>
      <c r="JS92" s="24"/>
      <c r="JT92" s="24"/>
      <c r="JU92" s="24"/>
      <c r="JV92" s="24"/>
      <c r="JW92" s="24"/>
      <c r="JX92" s="24"/>
      <c r="JY92" s="24"/>
      <c r="JZ92" s="24"/>
      <c r="KA92" s="24"/>
      <c r="KB92" s="24"/>
      <c r="KC92" s="24"/>
      <c r="KD92" s="24"/>
      <c r="KE92" s="24"/>
      <c r="KF92" s="24"/>
      <c r="KG92" s="24"/>
      <c r="KH92" s="24"/>
      <c r="KI92" s="24"/>
      <c r="KJ92" s="24"/>
      <c r="KK92" s="24"/>
      <c r="KL92" s="24"/>
      <c r="KM92" s="24"/>
      <c r="KN92" s="24"/>
      <c r="KO92" s="24"/>
      <c r="KP92" s="24"/>
      <c r="KQ92" s="24"/>
      <c r="KR92" s="24"/>
      <c r="KS92" s="24"/>
      <c r="KT92" s="24"/>
      <c r="KU92" s="24"/>
      <c r="KV92" s="24"/>
      <c r="KW92" s="24"/>
      <c r="KX92" s="24"/>
      <c r="KY92" s="24"/>
      <c r="KZ92" s="24"/>
      <c r="LA92" s="24"/>
      <c r="LB92" s="24"/>
      <c r="LC92" s="24"/>
      <c r="LD92" s="24"/>
      <c r="LE92" s="24">
        <f t="shared" ref="LE92:LE100" si="219">IU92+IW92+IY92+JA92+JC92+JE92+JG92+JI92+JK92+JM92+JO92+JQ92+JS92+JU92+JW92+JY92+KA92+KC92+KE92+KG92+KI92+KK92+KM92+KO92+KQ92+KS92+KU92+KW92+KY92+LA92+LC92</f>
        <v>0</v>
      </c>
      <c r="LF92" s="24">
        <f t="shared" ref="LF92:LF100" si="220">IV92+IX92+IZ92+JB92+JD92+JF92+JH92+JJ92+JL92+JN92+JP92+JR92+JT92+JV92+JX92+JZ92+KB92+KD92+KF92+KH92+KJ92+KL92+KN92+KP92+KR92+KT92+KV92+KX92+KZ92+LB92+LD92</f>
        <v>0</v>
      </c>
      <c r="LG92" s="24"/>
      <c r="LH92" s="24"/>
      <c r="LI92" s="24"/>
      <c r="LJ92" s="24"/>
      <c r="LK92" s="24"/>
      <c r="LL92" s="24"/>
      <c r="LM92" s="24"/>
      <c r="LN92" s="24"/>
      <c r="LO92" s="24"/>
      <c r="LP92" s="24"/>
      <c r="LQ92" s="24"/>
      <c r="LR92" s="24"/>
      <c r="LS92" s="24"/>
      <c r="LT92" s="24"/>
      <c r="LU92" s="24"/>
      <c r="LV92" s="24"/>
      <c r="LW92" s="24"/>
      <c r="LX92" s="24"/>
      <c r="LY92" s="24"/>
      <c r="LZ92" s="24"/>
      <c r="MA92" s="24"/>
      <c r="MB92" s="24"/>
      <c r="MC92" s="24"/>
      <c r="MD92" s="24"/>
      <c r="ME92" s="24"/>
      <c r="MF92" s="24"/>
      <c r="MG92" s="24"/>
      <c r="MH92" s="24"/>
      <c r="MI92" s="24"/>
      <c r="MJ92" s="24"/>
      <c r="MK92" s="24"/>
      <c r="ML92" s="24"/>
      <c r="MM92" s="24"/>
      <c r="MN92" s="24"/>
      <c r="MO92" s="24"/>
      <c r="MP92" s="24"/>
      <c r="MQ92" s="24"/>
      <c r="MR92" s="24"/>
      <c r="MS92" s="24"/>
      <c r="MT92" s="24"/>
      <c r="MU92" s="24"/>
      <c r="MV92" s="24"/>
      <c r="MW92" s="24"/>
      <c r="MX92" s="24"/>
      <c r="MY92" s="24"/>
      <c r="MZ92" s="24"/>
      <c r="NA92" s="24"/>
      <c r="NB92" s="24"/>
      <c r="NC92" s="24"/>
      <c r="ND92" s="24"/>
      <c r="NE92" s="24"/>
      <c r="NF92" s="24"/>
      <c r="NG92" s="24"/>
      <c r="NH92" s="24"/>
      <c r="NI92" s="24"/>
      <c r="NJ92" s="24"/>
      <c r="NK92" s="24"/>
      <c r="NL92" s="24"/>
      <c r="NM92" s="24"/>
      <c r="NN92" s="24"/>
      <c r="NO92" s="24">
        <f t="shared" ref="NO92:NO100" si="221">LG92+LI92+LK92+LM92+LO92+LQ92+LS92+LU92+LW92+LY92+MA92+MC92+ME92+MG92+MI92+MK92+MM92+MO92+MQ92+MS92+MU92+MW92+MY92+NA92+NC92+NE92+NG92+NI92+NK92+NM92</f>
        <v>0</v>
      </c>
      <c r="NP92" s="24">
        <f t="shared" ref="NP92:NP100" si="222">LH92+LJ92+LL92+LN92+LP92+LR92+LT92+LV92+LX92+LZ92+MB92+MD92+MF92+MH92+MJ92+ML92+MN92+MP92+MR92+MT92+MV92+MX92+MZ92+NB92+ND92+NF92+NH92+NJ92+NL92+NN92</f>
        <v>0</v>
      </c>
      <c r="NQ92" s="24"/>
      <c r="NR92" s="24"/>
      <c r="NS92" s="24"/>
      <c r="NT92" s="24"/>
      <c r="NU92" s="24"/>
      <c r="NV92" s="24"/>
      <c r="NW92" s="24"/>
      <c r="NX92" s="24"/>
      <c r="NY92" s="24"/>
      <c r="NZ92" s="24"/>
      <c r="OA92" s="24"/>
      <c r="OB92" s="24"/>
      <c r="OC92" s="24"/>
      <c r="OD92" s="24"/>
      <c r="OE92" s="24"/>
      <c r="OF92" s="24"/>
      <c r="OG92" s="24"/>
      <c r="OH92" s="24"/>
      <c r="OI92" s="24"/>
      <c r="OJ92" s="24"/>
      <c r="OK92" s="24"/>
      <c r="OL92" s="24"/>
      <c r="OM92" s="24"/>
      <c r="ON92" s="24"/>
      <c r="OO92" s="24"/>
      <c r="OP92" s="24"/>
      <c r="OQ92" s="24"/>
      <c r="OR92" s="24"/>
      <c r="OS92" s="24"/>
      <c r="OT92" s="24"/>
      <c r="OU92" s="24"/>
      <c r="OV92" s="24"/>
      <c r="OW92" s="24"/>
      <c r="OX92" s="24"/>
      <c r="OY92" s="24"/>
      <c r="OZ92" s="24"/>
      <c r="PA92" s="24"/>
      <c r="PB92" s="24"/>
      <c r="PC92" s="24"/>
      <c r="PD92" s="24"/>
      <c r="PE92" s="24"/>
      <c r="PF92" s="24"/>
      <c r="PG92" s="24"/>
      <c r="PH92" s="24"/>
      <c r="PI92" s="24"/>
      <c r="PJ92" s="24"/>
      <c r="PK92" s="24"/>
      <c r="PL92" s="24"/>
      <c r="PM92" s="24"/>
      <c r="PN92" s="24"/>
      <c r="PO92" s="24"/>
      <c r="PP92" s="24"/>
      <c r="PQ92" s="24"/>
      <c r="PR92" s="24"/>
      <c r="PS92" s="24"/>
      <c r="PT92" s="24"/>
      <c r="PU92" s="24"/>
      <c r="PV92" s="24"/>
      <c r="PW92" s="24"/>
      <c r="PX92" s="24"/>
      <c r="PY92" s="24"/>
      <c r="PZ92" s="24"/>
      <c r="QA92" s="24">
        <f t="shared" ref="QA92:QA100" si="223">NQ92+NS92+NU92+NW92+NY92+OA92+OC92+OE92+OG92+OI92+OK92+OM92+OO92+OQ92+OS92+OU92+OW92+OY92+PA92+PC92+PE92+PG92+PI92+PK92+PM92+PO92+PQ92+PS92+PU92+PW92+PY92</f>
        <v>0</v>
      </c>
      <c r="QB92" s="24">
        <f t="shared" ref="QB92:QB100" si="224">NR92+NT92+NV92+NX92+NZ92+OB92+OD92+OF92+OH92+OJ92+OL92+ON92+OP92+OR92+OT92+OV92+OX92+OZ92+PB92+PD92+PF92+PH92+PJ92+PL92+PN92+PP92+PR92+PT92+PV92+PX92+PZ92</f>
        <v>0</v>
      </c>
      <c r="QC92" s="24"/>
      <c r="QD92" s="24"/>
      <c r="QE92" s="24"/>
      <c r="QF92" s="24"/>
      <c r="QG92" s="24"/>
      <c r="QH92" s="24"/>
      <c r="QI92" s="24"/>
      <c r="QJ92" s="24"/>
      <c r="QK92" s="24"/>
      <c r="QL92" s="24"/>
      <c r="QM92" s="24"/>
      <c r="QN92" s="24"/>
      <c r="QO92" s="24"/>
      <c r="QP92" s="24"/>
      <c r="QQ92" s="24"/>
      <c r="QR92" s="24"/>
      <c r="QS92" s="24"/>
      <c r="QT92" s="24"/>
      <c r="QU92" s="24"/>
      <c r="QV92" s="24"/>
      <c r="QW92" s="24"/>
      <c r="QX92" s="24"/>
      <c r="QY92" s="24"/>
      <c r="QZ92" s="24"/>
      <c r="RA92" s="24"/>
      <c r="RB92" s="24"/>
      <c r="RC92" s="24"/>
      <c r="RD92" s="24"/>
      <c r="RE92" s="24"/>
      <c r="RF92" s="24"/>
      <c r="RG92" s="24"/>
      <c r="RH92" s="24"/>
      <c r="RI92" s="24"/>
      <c r="RJ92" s="24"/>
      <c r="RK92" s="24"/>
      <c r="RL92" s="24"/>
      <c r="RM92" s="24"/>
      <c r="RN92" s="24"/>
      <c r="RO92" s="24"/>
      <c r="RP92" s="24"/>
      <c r="RQ92" s="24"/>
      <c r="RR92" s="24"/>
      <c r="RS92" s="24"/>
      <c r="RT92" s="24"/>
      <c r="RU92" s="24"/>
      <c r="RV92" s="24"/>
      <c r="RW92" s="24"/>
      <c r="RX92" s="24"/>
      <c r="RY92" s="24"/>
      <c r="RZ92" s="24"/>
      <c r="SA92" s="24"/>
      <c r="SB92" s="24"/>
      <c r="SC92" s="24"/>
      <c r="SD92" s="24"/>
      <c r="SE92" s="24"/>
      <c r="SF92" s="24"/>
      <c r="SG92" s="24"/>
      <c r="SH92" s="24"/>
      <c r="SI92" s="24"/>
      <c r="SJ92" s="24"/>
      <c r="SK92" s="24"/>
      <c r="SL92" s="24"/>
      <c r="SM92" s="24">
        <f t="shared" ref="SM92:SM100" si="225">QC92+QE92+QG92+QI92+QK92+QM92+QO92+QQ92+QS92+QU92+QW92+QY92+RA92+RC92+RE92+RG92+RI92+RK92+RM92+RO92+RQ92+RS92+RU92+RW92+RY92+SA92+SC92+SE92+SG92+SI92+SK92</f>
        <v>0</v>
      </c>
      <c r="SN92" s="24">
        <f t="shared" ref="SN92:SN100" si="226">QD92+QF92+QH92+QJ92+QL92+QN92+QP92+QR92+QT92+QV92+QX92+QZ92+RB92+RD92+RF92+RH92+RJ92+RL92+RN92+RP92+RR92+RT92+RV92+RX92+RZ92+SB92+SD92+SF92+SH92+SJ92+SL92</f>
        <v>0</v>
      </c>
      <c r="SO92" s="24"/>
      <c r="SP92" s="24"/>
      <c r="SQ92" s="24"/>
      <c r="SR92" s="24"/>
      <c r="SS92" s="24"/>
      <c r="ST92" s="24"/>
      <c r="SU92" s="24"/>
      <c r="SV92" s="24"/>
      <c r="SW92" s="24"/>
      <c r="SX92" s="24"/>
      <c r="SY92" s="24"/>
      <c r="SZ92" s="24"/>
      <c r="TA92" s="24"/>
      <c r="TB92" s="24"/>
      <c r="TC92" s="24"/>
      <c r="TD92" s="24"/>
      <c r="TE92" s="24"/>
      <c r="TF92" s="24"/>
      <c r="TG92" s="24"/>
      <c r="TH92" s="24"/>
      <c r="TI92" s="24"/>
      <c r="TJ92" s="24"/>
      <c r="TK92" s="24"/>
      <c r="TL92" s="24"/>
      <c r="TM92" s="24"/>
      <c r="TN92" s="24"/>
      <c r="TO92" s="24"/>
      <c r="TP92" s="24"/>
      <c r="TQ92" s="24"/>
      <c r="TR92" s="24"/>
      <c r="TS92" s="24"/>
      <c r="TT92" s="24"/>
      <c r="TU92" s="24"/>
      <c r="TV92" s="24"/>
      <c r="TW92" s="24"/>
      <c r="TX92" s="24"/>
      <c r="TY92" s="24"/>
      <c r="TZ92" s="24"/>
      <c r="UA92" s="24"/>
      <c r="UB92" s="24"/>
      <c r="UC92" s="24"/>
      <c r="UD92" s="24"/>
      <c r="UE92" s="24"/>
      <c r="UF92" s="24"/>
      <c r="UG92" s="24"/>
      <c r="UH92" s="24"/>
      <c r="UI92" s="24"/>
      <c r="UJ92" s="24"/>
      <c r="UK92" s="24"/>
      <c r="UL92" s="24"/>
      <c r="UM92" s="24"/>
      <c r="UN92" s="24"/>
      <c r="UO92" s="24"/>
      <c r="UP92" s="24"/>
      <c r="UQ92" s="24"/>
      <c r="UR92" s="24"/>
      <c r="US92" s="24"/>
      <c r="UT92" s="24"/>
      <c r="UU92" s="24"/>
      <c r="UV92" s="24"/>
      <c r="UW92" s="24">
        <f t="shared" ref="UW92:UW100" si="227">SO92+SQ92+SS92+SU92+SW92+SY92+TA92+TC92+TE92+TG92+TI92+TK92+TM92+TO92+TQ92+TS92+TU92+TW92+TY92+UA92+UC92+UE92+UG92+UI92+UK92+UM92+UO92+UQ92+US92+UU92</f>
        <v>0</v>
      </c>
      <c r="UX92" s="24">
        <f t="shared" ref="UX92:UX100" si="228">SP92+SR92+ST92+SV92+SX92+SZ92+TB92+TD92+TF92+TH92+TJ92+TL92+TN92+TP92+TR92+TT92+TV92+TX92+TZ92+UB92+UD92+UF92+UH92+UJ92+UL92+UN92+UP92+UR92+UT92+UV92</f>
        <v>0</v>
      </c>
      <c r="UY92" s="24"/>
      <c r="UZ92" s="24"/>
      <c r="VA92" s="24"/>
      <c r="VB92" s="24"/>
      <c r="VC92" s="24"/>
      <c r="VD92" s="24"/>
      <c r="VE92" s="24"/>
      <c r="VF92" s="24"/>
      <c r="VG92" s="24"/>
      <c r="VH92" s="24"/>
      <c r="VI92" s="24"/>
      <c r="VJ92" s="24"/>
      <c r="VK92" s="24"/>
      <c r="VL92" s="24"/>
      <c r="VM92" s="24"/>
      <c r="VN92" s="24"/>
      <c r="VO92" s="24"/>
      <c r="VP92" s="24"/>
      <c r="VQ92" s="24"/>
      <c r="VR92" s="24"/>
      <c r="VS92" s="24"/>
      <c r="VT92" s="24"/>
      <c r="VU92" s="24"/>
      <c r="VV92" s="24"/>
      <c r="VW92" s="24"/>
      <c r="VX92" s="24"/>
      <c r="VY92" s="24"/>
      <c r="VZ92" s="24"/>
      <c r="WA92" s="24"/>
      <c r="WB92" s="24"/>
      <c r="WC92" s="24"/>
      <c r="WD92" s="24"/>
      <c r="WE92" s="24"/>
      <c r="WF92" s="24"/>
      <c r="WG92" s="24"/>
      <c r="WH92" s="24"/>
      <c r="WI92" s="24"/>
      <c r="WJ92" s="24"/>
      <c r="WK92" s="24"/>
      <c r="WL92" s="24"/>
      <c r="WM92" s="24"/>
      <c r="WN92" s="24"/>
      <c r="WO92" s="24"/>
      <c r="WP92" s="24"/>
      <c r="WQ92" s="24"/>
      <c r="WR92" s="24"/>
      <c r="WS92" s="24"/>
      <c r="WT92" s="24"/>
      <c r="WU92" s="24"/>
      <c r="WV92" s="24"/>
      <c r="WW92" s="24"/>
      <c r="WX92" s="24"/>
      <c r="WY92" s="24"/>
      <c r="WZ92" s="24"/>
      <c r="XA92" s="24"/>
      <c r="XB92" s="24"/>
      <c r="XC92" s="24"/>
      <c r="XD92" s="24"/>
      <c r="XE92" s="24"/>
      <c r="XF92" s="24"/>
      <c r="XG92" s="24"/>
      <c r="XH92" s="24"/>
      <c r="XI92" s="24">
        <f t="shared" ref="XI92:XI100" si="229">UY92+VA92+VC92+VE92+VG92+VI92+VK92+VM92+VO92+VQ92+VS92+VU92+VW92+VY92+WA92+WC92+WE92+WG92+WI92+WK92+WM92+WO92+WQ92+WS92+WU92+WW92+WY92+XA92+XC92+XE92+XG92</f>
        <v>0</v>
      </c>
      <c r="XJ92" s="24">
        <f t="shared" ref="XJ92:XJ100" si="230">UZ92+VB92+VD92+VF92+VH92+VJ92+VL92+VN92+VP92+VR92+VT92+VV92+VX92+VZ92+WB92+WD92+WF92+WH92+WJ92+WL92+WN92+WP92+WR92+WT92+WV92+WX92+WZ92+XB92+XD92+XF92+XH92</f>
        <v>0</v>
      </c>
      <c r="XK92" s="24"/>
      <c r="XL92" s="24"/>
      <c r="XM92" s="24"/>
      <c r="XN92" s="24"/>
      <c r="XO92" s="24"/>
      <c r="XP92" s="24"/>
      <c r="XQ92" s="24"/>
      <c r="XR92" s="24"/>
      <c r="XS92" s="24"/>
      <c r="XT92" s="24"/>
      <c r="XU92" s="24"/>
      <c r="XV92" s="24"/>
      <c r="XW92" s="24"/>
      <c r="XX92" s="24"/>
      <c r="XY92" s="24"/>
      <c r="XZ92" s="24"/>
      <c r="YA92" s="24"/>
      <c r="YB92" s="24"/>
      <c r="YC92" s="24"/>
      <c r="YD92" s="24"/>
      <c r="YE92" s="24"/>
      <c r="YF92" s="24"/>
      <c r="YG92" s="24"/>
      <c r="YH92" s="24"/>
      <c r="YI92" s="24"/>
      <c r="YJ92" s="24"/>
      <c r="YK92" s="24"/>
      <c r="YL92" s="24"/>
      <c r="YM92" s="24"/>
      <c r="YN92" s="24"/>
      <c r="YO92" s="24"/>
      <c r="YP92" s="24"/>
      <c r="YQ92" s="24"/>
      <c r="YR92" s="24"/>
      <c r="YS92" s="24"/>
      <c r="YT92" s="24"/>
      <c r="YU92" s="24"/>
      <c r="YV92" s="24"/>
      <c r="YW92" s="24"/>
      <c r="YX92" s="24"/>
      <c r="YY92" s="24"/>
      <c r="YZ92" s="24"/>
      <c r="ZA92" s="24"/>
      <c r="ZB92" s="24"/>
      <c r="ZC92" s="24"/>
      <c r="ZD92" s="24"/>
      <c r="ZE92" s="24"/>
      <c r="ZF92" s="24"/>
      <c r="ZG92" s="24"/>
      <c r="ZH92" s="24"/>
      <c r="ZI92" s="24"/>
      <c r="ZJ92" s="24"/>
      <c r="ZK92" s="24"/>
      <c r="ZL92" s="24"/>
      <c r="ZM92" s="24"/>
      <c r="ZN92" s="24"/>
      <c r="ZO92" s="24"/>
      <c r="ZP92" s="24"/>
      <c r="ZQ92" s="24"/>
      <c r="ZR92" s="24"/>
      <c r="ZS92" s="24">
        <f t="shared" ref="ZS92:ZS100" si="231">XK92+XM92+XO92+XQ92+XS92+XU92+XW92+XY92+YA92+YC92+YE92+YG92+YI92+YK92+YM92+YO92+YQ92+YS92+YU92+YW92+YY92+ZA92+ZC92+ZE92+ZG92+ZI92+ZK92+ZM92+ZO92+ZQ92</f>
        <v>0</v>
      </c>
      <c r="ZT92" s="24">
        <f t="shared" ref="ZT92:ZT100" si="232">XL92+XN92+XP92+XR92+XT92+XV92+XX92+XZ92+YB92+YD92+YF92+YH92+YJ92+YL92+YN92+YP92+YR92+YT92+YV92+YX92+YZ92+ZB92+ZD92+ZF92+ZH92+ZJ92+ZL92+ZN92+ZP92+ZR92</f>
        <v>0</v>
      </c>
      <c r="ZU92" s="24"/>
      <c r="ZV92" s="24"/>
      <c r="ZW92" s="24"/>
      <c r="ZX92" s="24"/>
      <c r="ZY92" s="24"/>
      <c r="ZZ92" s="24"/>
      <c r="AAA92" s="24"/>
      <c r="AAB92" s="24"/>
      <c r="AAC92" s="24"/>
      <c r="AAD92" s="24"/>
      <c r="AAE92" s="24"/>
      <c r="AAF92" s="24"/>
      <c r="AAG92" s="24"/>
      <c r="AAH92" s="24"/>
      <c r="AAI92" s="24"/>
      <c r="AAJ92" s="24"/>
      <c r="AAK92" s="24"/>
      <c r="AAL92" s="24"/>
      <c r="AAM92" s="24"/>
      <c r="AAN92" s="24"/>
      <c r="AAO92" s="24"/>
      <c r="AAP92" s="24"/>
      <c r="AAQ92" s="24"/>
      <c r="AAR92" s="24"/>
      <c r="AAS92" s="24"/>
      <c r="AAT92" s="24"/>
      <c r="AAU92" s="24"/>
      <c r="AAV92" s="24"/>
      <c r="AAW92" s="24"/>
      <c r="AAX92" s="24"/>
      <c r="AAY92" s="24"/>
      <c r="AAZ92" s="24"/>
      <c r="ABA92" s="24"/>
      <c r="ABB92" s="24"/>
      <c r="ABC92" s="24"/>
      <c r="ABD92" s="24"/>
      <c r="ABE92" s="24"/>
      <c r="ABF92" s="24"/>
      <c r="ABG92" s="24"/>
      <c r="ABH92" s="24"/>
      <c r="ABI92" s="24"/>
      <c r="ABJ92" s="24"/>
      <c r="ABK92" s="24"/>
      <c r="ABL92" s="24"/>
      <c r="ABM92" s="24"/>
      <c r="ABN92" s="24"/>
      <c r="ABO92" s="24"/>
      <c r="ABP92" s="24"/>
      <c r="ABQ92" s="24"/>
      <c r="ABR92" s="24"/>
      <c r="ABS92" s="24"/>
      <c r="ABT92" s="24"/>
      <c r="ABU92" s="24"/>
      <c r="ABV92" s="24"/>
      <c r="ABW92" s="24"/>
      <c r="ABX92" s="24"/>
      <c r="ABY92" s="24"/>
      <c r="ABZ92" s="24"/>
      <c r="ACA92" s="24"/>
      <c r="ACB92" s="24"/>
      <c r="ACC92" s="24"/>
      <c r="ACD92" s="24"/>
      <c r="ACE92" s="24">
        <f t="shared" ref="ACE92:ACE100" si="233">ZU92+ZW92+ZY92+AAA92+AAC92+AAE92+AAG92+AAI92+AAK92+AAM92+AAO92+AAQ92+AAS92+AAU92+AAW92+AAY92+ABA92+ABC92+ABE92+ABG92+ABI92+ABK92+ABM92+ABO92+ABQ92+ABS92+ABU92+ABW92+ABY92+ACA92+ACC92</f>
        <v>0</v>
      </c>
      <c r="ACF92" s="24"/>
      <c r="ACG92" s="24">
        <f t="shared" ref="ACG92:ACG100" si="234">BO92+DW92+GI92+IS92+LE92+NO92+QA92+SM92+UW92+XI92+ZS92+ACE92</f>
        <v>0</v>
      </c>
      <c r="ACH92" s="25"/>
      <c r="ACI92" s="71" t="s">
        <v>235</v>
      </c>
      <c r="ACJ92" s="71" t="s">
        <v>92</v>
      </c>
    </row>
    <row r="93" spans="1:764" x14ac:dyDescent="0.25">
      <c r="A93" s="162"/>
      <c r="B93" s="152"/>
      <c r="C93" s="155"/>
      <c r="D93" s="50" t="s">
        <v>4</v>
      </c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24" cm="1">
        <f t="array" ref="BO93">SUMPRODUCT(E93:BM93,--(E$2:BM$2=BO$2))</f>
        <v>0</v>
      </c>
      <c r="BP93" s="24" cm="1">
        <f t="array" ref="BP93">SUMPRODUCT(F93:BN93,--(F$2:BN$2=BP$2))</f>
        <v>0</v>
      </c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 cm="1">
        <f t="array" ref="DW93">SUMPRODUCT(BQ93:DU93,--(BQ$2:DU$2=DW$2))</f>
        <v>0</v>
      </c>
      <c r="DX93" s="24" cm="1">
        <f t="array" ref="DX93">SUMPRODUCT(BR93:DV93,--(BR$2:DV$2=DX$2))</f>
        <v>0</v>
      </c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  <c r="FK93" s="24"/>
      <c r="FL93" s="24"/>
      <c r="FM93" s="24"/>
      <c r="FN93" s="24"/>
      <c r="FO93" s="24"/>
      <c r="FP93" s="24"/>
      <c r="FQ93" s="24"/>
      <c r="FR93" s="24"/>
      <c r="FS93" s="24"/>
      <c r="FT93" s="24"/>
      <c r="FU93" s="24"/>
      <c r="FV93" s="24"/>
      <c r="FW93" s="24"/>
      <c r="FX93" s="24"/>
      <c r="FY93" s="24"/>
      <c r="FZ93" s="24"/>
      <c r="GA93" s="24"/>
      <c r="GB93" s="24"/>
      <c r="GC93" s="24"/>
      <c r="GD93" s="24"/>
      <c r="GE93" s="24"/>
      <c r="GF93" s="24"/>
      <c r="GG93" s="24"/>
      <c r="GH93" s="24"/>
      <c r="GI93" s="24" cm="1">
        <f t="array" ref="GI93">SUMPRODUCT(DY93:GG93,--(DY$2:GG$2=GI$2))</f>
        <v>0</v>
      </c>
      <c r="GJ93" s="24" cm="1">
        <f t="array" ref="GJ93">SUMPRODUCT(DZ93:GH93,--(DZ$2:GH$2=GJ$2))</f>
        <v>0</v>
      </c>
      <c r="GK93" s="24"/>
      <c r="GL93" s="24"/>
      <c r="GM93" s="24"/>
      <c r="GN93" s="24"/>
      <c r="GO93" s="24"/>
      <c r="GP93" s="24"/>
      <c r="GQ93" s="24"/>
      <c r="GR93" s="24"/>
      <c r="GS93" s="24"/>
      <c r="GT93" s="24"/>
      <c r="GU93" s="24"/>
      <c r="GV93" s="24"/>
      <c r="GW93" s="24"/>
      <c r="GX93" s="24"/>
      <c r="GY93" s="24"/>
      <c r="GZ93" s="24"/>
      <c r="HA93" s="24"/>
      <c r="HB93" s="24"/>
      <c r="HC93" s="24"/>
      <c r="HD93" s="24"/>
      <c r="HE93" s="24"/>
      <c r="HF93" s="24"/>
      <c r="HG93" s="24"/>
      <c r="HH93" s="24"/>
      <c r="HI93" s="24"/>
      <c r="HJ93" s="24"/>
      <c r="HK93" s="24"/>
      <c r="HL93" s="24"/>
      <c r="HM93" s="24"/>
      <c r="HN93" s="24"/>
      <c r="HO93" s="24"/>
      <c r="HP93" s="24"/>
      <c r="HQ93" s="24"/>
      <c r="HR93" s="24"/>
      <c r="HS93" s="24"/>
      <c r="HT93" s="24"/>
      <c r="HU93" s="24"/>
      <c r="HV93" s="24"/>
      <c r="HW93" s="24"/>
      <c r="HX93" s="24"/>
      <c r="HY93" s="24"/>
      <c r="HZ93" s="24"/>
      <c r="IA93" s="24"/>
      <c r="IB93" s="24"/>
      <c r="IC93" s="24"/>
      <c r="ID93" s="24"/>
      <c r="IE93" s="24"/>
      <c r="IF93" s="24"/>
      <c r="IG93" s="24"/>
      <c r="IH93" s="24"/>
      <c r="II93" s="24"/>
      <c r="IJ93" s="24"/>
      <c r="IK93" s="24"/>
      <c r="IL93" s="24"/>
      <c r="IM93" s="24"/>
      <c r="IN93" s="24"/>
      <c r="IO93" s="24"/>
      <c r="IP93" s="24"/>
      <c r="IQ93" s="24"/>
      <c r="IR93" s="24"/>
      <c r="IS93" s="24">
        <f t="shared" si="217"/>
        <v>0</v>
      </c>
      <c r="IT93" s="24">
        <f t="shared" si="218"/>
        <v>0</v>
      </c>
      <c r="IU93" s="24"/>
      <c r="IV93" s="24"/>
      <c r="IW93" s="24"/>
      <c r="IX93" s="24"/>
      <c r="IY93" s="24"/>
      <c r="IZ93" s="24"/>
      <c r="JA93" s="24"/>
      <c r="JB93" s="24"/>
      <c r="JC93" s="24"/>
      <c r="JD93" s="24"/>
      <c r="JE93" s="24"/>
      <c r="JF93" s="24"/>
      <c r="JG93" s="24"/>
      <c r="JH93" s="24"/>
      <c r="JI93" s="24"/>
      <c r="JJ93" s="24"/>
      <c r="JK93" s="24"/>
      <c r="JL93" s="24"/>
      <c r="JM93" s="24"/>
      <c r="JN93" s="24"/>
      <c r="JO93" s="24"/>
      <c r="JP93" s="24"/>
      <c r="JQ93" s="24"/>
      <c r="JR93" s="24"/>
      <c r="JS93" s="24"/>
      <c r="JT93" s="24"/>
      <c r="JU93" s="24"/>
      <c r="JV93" s="24"/>
      <c r="JW93" s="24"/>
      <c r="JX93" s="24"/>
      <c r="JY93" s="24"/>
      <c r="JZ93" s="24"/>
      <c r="KA93" s="24"/>
      <c r="KB93" s="24"/>
      <c r="KC93" s="24"/>
      <c r="KD93" s="24"/>
      <c r="KE93" s="24"/>
      <c r="KF93" s="24"/>
      <c r="KG93" s="24"/>
      <c r="KH93" s="24"/>
      <c r="KI93" s="24"/>
      <c r="KJ93" s="24"/>
      <c r="KK93" s="24"/>
      <c r="KL93" s="24"/>
      <c r="KM93" s="24"/>
      <c r="KN93" s="24"/>
      <c r="KO93" s="24"/>
      <c r="KP93" s="24"/>
      <c r="KQ93" s="24"/>
      <c r="KR93" s="24"/>
      <c r="KS93" s="24"/>
      <c r="KT93" s="24"/>
      <c r="KU93" s="24"/>
      <c r="KV93" s="24"/>
      <c r="KW93" s="24"/>
      <c r="KX93" s="24"/>
      <c r="KY93" s="24"/>
      <c r="KZ93" s="24"/>
      <c r="LA93" s="24"/>
      <c r="LB93" s="24"/>
      <c r="LC93" s="24"/>
      <c r="LD93" s="24"/>
      <c r="LE93" s="24">
        <f t="shared" si="219"/>
        <v>0</v>
      </c>
      <c r="LF93" s="24">
        <f t="shared" si="220"/>
        <v>0</v>
      </c>
      <c r="LG93" s="24"/>
      <c r="LH93" s="24"/>
      <c r="LI93" s="24"/>
      <c r="LJ93" s="24"/>
      <c r="LK93" s="24"/>
      <c r="LL93" s="24"/>
      <c r="LM93" s="24"/>
      <c r="LN93" s="24"/>
      <c r="LO93" s="24"/>
      <c r="LP93" s="24"/>
      <c r="LQ93" s="24"/>
      <c r="LR93" s="24"/>
      <c r="LS93" s="24"/>
      <c r="LT93" s="24"/>
      <c r="LU93" s="24"/>
      <c r="LV93" s="24"/>
      <c r="LW93" s="24"/>
      <c r="LX93" s="24"/>
      <c r="LY93" s="24"/>
      <c r="LZ93" s="24"/>
      <c r="MA93" s="24"/>
      <c r="MB93" s="24"/>
      <c r="MC93" s="24"/>
      <c r="MD93" s="24"/>
      <c r="ME93" s="24"/>
      <c r="MF93" s="24"/>
      <c r="MG93" s="24"/>
      <c r="MH93" s="24"/>
      <c r="MI93" s="24"/>
      <c r="MJ93" s="24"/>
      <c r="MK93" s="24"/>
      <c r="ML93" s="24"/>
      <c r="MM93" s="24"/>
      <c r="MN93" s="24"/>
      <c r="MO93" s="24"/>
      <c r="MP93" s="24"/>
      <c r="MQ93" s="24"/>
      <c r="MR93" s="24"/>
      <c r="MS93" s="24"/>
      <c r="MT93" s="24"/>
      <c r="MU93" s="24"/>
      <c r="MV93" s="24"/>
      <c r="MW93" s="24"/>
      <c r="MX93" s="24"/>
      <c r="MY93" s="24"/>
      <c r="MZ93" s="24"/>
      <c r="NA93" s="24"/>
      <c r="NB93" s="24"/>
      <c r="NC93" s="24"/>
      <c r="ND93" s="24"/>
      <c r="NE93" s="24"/>
      <c r="NF93" s="24"/>
      <c r="NG93" s="24"/>
      <c r="NH93" s="24"/>
      <c r="NI93" s="24"/>
      <c r="NJ93" s="24"/>
      <c r="NK93" s="24"/>
      <c r="NL93" s="24"/>
      <c r="NM93" s="24"/>
      <c r="NN93" s="24"/>
      <c r="NO93" s="24">
        <f t="shared" si="221"/>
        <v>0</v>
      </c>
      <c r="NP93" s="24">
        <f t="shared" si="222"/>
        <v>0</v>
      </c>
      <c r="NQ93" s="24"/>
      <c r="NR93" s="24"/>
      <c r="NS93" s="24"/>
      <c r="NT93" s="24"/>
      <c r="NU93" s="24"/>
      <c r="NV93" s="24"/>
      <c r="NW93" s="24"/>
      <c r="NX93" s="24"/>
      <c r="NY93" s="24"/>
      <c r="NZ93" s="24"/>
      <c r="OA93" s="24"/>
      <c r="OB93" s="24"/>
      <c r="OC93" s="24"/>
      <c r="OD93" s="24"/>
      <c r="OE93" s="24"/>
      <c r="OF93" s="24"/>
      <c r="OG93" s="24"/>
      <c r="OH93" s="24"/>
      <c r="OI93" s="24"/>
      <c r="OJ93" s="24"/>
      <c r="OK93" s="24"/>
      <c r="OL93" s="24"/>
      <c r="OM93" s="24"/>
      <c r="ON93" s="24"/>
      <c r="OO93" s="24"/>
      <c r="OP93" s="24"/>
      <c r="OQ93" s="24"/>
      <c r="OR93" s="24"/>
      <c r="OS93" s="24"/>
      <c r="OT93" s="24"/>
      <c r="OU93" s="24"/>
      <c r="OV93" s="24"/>
      <c r="OW93" s="24"/>
      <c r="OX93" s="24"/>
      <c r="OY93" s="24"/>
      <c r="OZ93" s="24"/>
      <c r="PA93" s="24"/>
      <c r="PB93" s="24"/>
      <c r="PC93" s="24"/>
      <c r="PD93" s="24"/>
      <c r="PE93" s="24"/>
      <c r="PF93" s="24"/>
      <c r="PG93" s="24"/>
      <c r="PH93" s="24"/>
      <c r="PI93" s="24"/>
      <c r="PJ93" s="24"/>
      <c r="PK93" s="24"/>
      <c r="PL93" s="24"/>
      <c r="PM93" s="24"/>
      <c r="PN93" s="24"/>
      <c r="PO93" s="24"/>
      <c r="PP93" s="24"/>
      <c r="PQ93" s="24"/>
      <c r="PR93" s="24"/>
      <c r="PS93" s="24"/>
      <c r="PT93" s="24"/>
      <c r="PU93" s="24"/>
      <c r="PV93" s="24"/>
      <c r="PW93" s="24"/>
      <c r="PX93" s="24"/>
      <c r="PY93" s="24"/>
      <c r="PZ93" s="24"/>
      <c r="QA93" s="24">
        <f t="shared" si="223"/>
        <v>0</v>
      </c>
      <c r="QB93" s="24">
        <f t="shared" si="224"/>
        <v>0</v>
      </c>
      <c r="QC93" s="24"/>
      <c r="QD93" s="24"/>
      <c r="QE93" s="24"/>
      <c r="QF93" s="24"/>
      <c r="QG93" s="24"/>
      <c r="QH93" s="24"/>
      <c r="QI93" s="24"/>
      <c r="QJ93" s="24"/>
      <c r="QK93" s="24"/>
      <c r="QL93" s="24"/>
      <c r="QM93" s="24"/>
      <c r="QN93" s="24"/>
      <c r="QO93" s="24"/>
      <c r="QP93" s="24"/>
      <c r="QQ93" s="24"/>
      <c r="QR93" s="24"/>
      <c r="QS93" s="24"/>
      <c r="QT93" s="24"/>
      <c r="QU93" s="24"/>
      <c r="QV93" s="24"/>
      <c r="QW93" s="24"/>
      <c r="QX93" s="24"/>
      <c r="QY93" s="24"/>
      <c r="QZ93" s="24"/>
      <c r="RA93" s="24"/>
      <c r="RB93" s="24"/>
      <c r="RC93" s="24"/>
      <c r="RD93" s="24"/>
      <c r="RE93" s="24"/>
      <c r="RF93" s="24"/>
      <c r="RG93" s="24"/>
      <c r="RH93" s="24"/>
      <c r="RI93" s="24"/>
      <c r="RJ93" s="24"/>
      <c r="RK93" s="24"/>
      <c r="RL93" s="24"/>
      <c r="RM93" s="24"/>
      <c r="RN93" s="24"/>
      <c r="RO93" s="24"/>
      <c r="RP93" s="24"/>
      <c r="RQ93" s="24"/>
      <c r="RR93" s="24"/>
      <c r="RS93" s="24"/>
      <c r="RT93" s="24"/>
      <c r="RU93" s="24"/>
      <c r="RV93" s="24"/>
      <c r="RW93" s="24"/>
      <c r="RX93" s="24"/>
      <c r="RY93" s="24"/>
      <c r="RZ93" s="24"/>
      <c r="SA93" s="24"/>
      <c r="SB93" s="24"/>
      <c r="SC93" s="24"/>
      <c r="SD93" s="24"/>
      <c r="SE93" s="24"/>
      <c r="SF93" s="24"/>
      <c r="SG93" s="24"/>
      <c r="SH93" s="24"/>
      <c r="SI93" s="24"/>
      <c r="SJ93" s="24"/>
      <c r="SK93" s="24"/>
      <c r="SL93" s="24"/>
      <c r="SM93" s="24">
        <f t="shared" si="225"/>
        <v>0</v>
      </c>
      <c r="SN93" s="24">
        <f t="shared" si="226"/>
        <v>0</v>
      </c>
      <c r="SO93" s="24"/>
      <c r="SP93" s="24"/>
      <c r="SQ93" s="24"/>
      <c r="SR93" s="24"/>
      <c r="SS93" s="24"/>
      <c r="ST93" s="24"/>
      <c r="SU93" s="24"/>
      <c r="SV93" s="24"/>
      <c r="SW93" s="24"/>
      <c r="SX93" s="24"/>
      <c r="SY93" s="24"/>
      <c r="SZ93" s="24"/>
      <c r="TA93" s="24"/>
      <c r="TB93" s="24"/>
      <c r="TC93" s="24"/>
      <c r="TD93" s="24"/>
      <c r="TE93" s="24"/>
      <c r="TF93" s="24"/>
      <c r="TG93" s="24"/>
      <c r="TH93" s="24"/>
      <c r="TI93" s="24"/>
      <c r="TJ93" s="24"/>
      <c r="TK93" s="24"/>
      <c r="TL93" s="24"/>
      <c r="TM93" s="24"/>
      <c r="TN93" s="24"/>
      <c r="TO93" s="24"/>
      <c r="TP93" s="24"/>
      <c r="TQ93" s="24"/>
      <c r="TR93" s="24"/>
      <c r="TS93" s="24"/>
      <c r="TT93" s="24"/>
      <c r="TU93" s="24"/>
      <c r="TV93" s="24"/>
      <c r="TW93" s="24"/>
      <c r="TX93" s="24"/>
      <c r="TY93" s="24"/>
      <c r="TZ93" s="24"/>
      <c r="UA93" s="24"/>
      <c r="UB93" s="24"/>
      <c r="UC93" s="24"/>
      <c r="UD93" s="24"/>
      <c r="UE93" s="24"/>
      <c r="UF93" s="24"/>
      <c r="UG93" s="24"/>
      <c r="UH93" s="24"/>
      <c r="UI93" s="24"/>
      <c r="UJ93" s="24"/>
      <c r="UK93" s="24"/>
      <c r="UL93" s="24"/>
      <c r="UM93" s="24"/>
      <c r="UN93" s="24"/>
      <c r="UO93" s="24"/>
      <c r="UP93" s="24"/>
      <c r="UQ93" s="24"/>
      <c r="UR93" s="24"/>
      <c r="US93" s="24"/>
      <c r="UT93" s="24"/>
      <c r="UU93" s="24"/>
      <c r="UV93" s="24"/>
      <c r="UW93" s="24">
        <f t="shared" si="227"/>
        <v>0</v>
      </c>
      <c r="UX93" s="24">
        <f t="shared" si="228"/>
        <v>0</v>
      </c>
      <c r="UY93" s="24"/>
      <c r="UZ93" s="24"/>
      <c r="VA93" s="24"/>
      <c r="VB93" s="24"/>
      <c r="VC93" s="24"/>
      <c r="VD93" s="24"/>
      <c r="VE93" s="24"/>
      <c r="VF93" s="24"/>
      <c r="VG93" s="24"/>
      <c r="VH93" s="24"/>
      <c r="VI93" s="24"/>
      <c r="VJ93" s="24"/>
      <c r="VK93" s="24"/>
      <c r="VL93" s="24"/>
      <c r="VM93" s="24"/>
      <c r="VN93" s="24"/>
      <c r="VO93" s="24"/>
      <c r="VP93" s="24"/>
      <c r="VQ93" s="24"/>
      <c r="VR93" s="24"/>
      <c r="VS93" s="24"/>
      <c r="VT93" s="24"/>
      <c r="VU93" s="24"/>
      <c r="VV93" s="24"/>
      <c r="VW93" s="24"/>
      <c r="VX93" s="24"/>
      <c r="VY93" s="24"/>
      <c r="VZ93" s="24"/>
      <c r="WA93" s="24"/>
      <c r="WB93" s="24"/>
      <c r="WC93" s="24"/>
      <c r="WD93" s="24"/>
      <c r="WE93" s="24"/>
      <c r="WF93" s="24"/>
      <c r="WG93" s="24"/>
      <c r="WH93" s="24"/>
      <c r="WI93" s="24"/>
      <c r="WJ93" s="24"/>
      <c r="WK93" s="24"/>
      <c r="WL93" s="24"/>
      <c r="WM93" s="24"/>
      <c r="WN93" s="24"/>
      <c r="WO93" s="24"/>
      <c r="WP93" s="24"/>
      <c r="WQ93" s="24"/>
      <c r="WR93" s="24"/>
      <c r="WS93" s="24"/>
      <c r="WT93" s="24"/>
      <c r="WU93" s="24"/>
      <c r="WV93" s="24"/>
      <c r="WW93" s="24"/>
      <c r="WX93" s="24"/>
      <c r="WY93" s="24"/>
      <c r="WZ93" s="24"/>
      <c r="XA93" s="24"/>
      <c r="XB93" s="24"/>
      <c r="XC93" s="24"/>
      <c r="XD93" s="24"/>
      <c r="XE93" s="24"/>
      <c r="XF93" s="24"/>
      <c r="XG93" s="24"/>
      <c r="XH93" s="24"/>
      <c r="XI93" s="24">
        <f t="shared" si="229"/>
        <v>0</v>
      </c>
      <c r="XJ93" s="24">
        <f t="shared" si="230"/>
        <v>0</v>
      </c>
      <c r="XK93" s="24"/>
      <c r="XL93" s="24"/>
      <c r="XM93" s="24"/>
      <c r="XN93" s="24"/>
      <c r="XO93" s="24"/>
      <c r="XP93" s="24"/>
      <c r="XQ93" s="24"/>
      <c r="XR93" s="24"/>
      <c r="XS93" s="24"/>
      <c r="XT93" s="24"/>
      <c r="XU93" s="24"/>
      <c r="XV93" s="24"/>
      <c r="XW93" s="24"/>
      <c r="XX93" s="24"/>
      <c r="XY93" s="24"/>
      <c r="XZ93" s="24"/>
      <c r="YA93" s="24"/>
      <c r="YB93" s="24"/>
      <c r="YC93" s="24"/>
      <c r="YD93" s="24"/>
      <c r="YE93" s="24"/>
      <c r="YF93" s="24"/>
      <c r="YG93" s="24"/>
      <c r="YH93" s="24"/>
      <c r="YI93" s="24"/>
      <c r="YJ93" s="24"/>
      <c r="YK93" s="24"/>
      <c r="YL93" s="24"/>
      <c r="YM93" s="24"/>
      <c r="YN93" s="24"/>
      <c r="YO93" s="24"/>
      <c r="YP93" s="24"/>
      <c r="YQ93" s="24"/>
      <c r="YR93" s="24"/>
      <c r="YS93" s="24"/>
      <c r="YT93" s="24"/>
      <c r="YU93" s="24"/>
      <c r="YV93" s="24"/>
      <c r="YW93" s="24"/>
      <c r="YX93" s="24"/>
      <c r="YY93" s="24"/>
      <c r="YZ93" s="24"/>
      <c r="ZA93" s="24"/>
      <c r="ZB93" s="24"/>
      <c r="ZC93" s="24"/>
      <c r="ZD93" s="24"/>
      <c r="ZE93" s="24"/>
      <c r="ZF93" s="24"/>
      <c r="ZG93" s="24"/>
      <c r="ZH93" s="24"/>
      <c r="ZI93" s="24"/>
      <c r="ZJ93" s="24"/>
      <c r="ZK93" s="24"/>
      <c r="ZL93" s="24"/>
      <c r="ZM93" s="24"/>
      <c r="ZN93" s="24"/>
      <c r="ZO93" s="24"/>
      <c r="ZP93" s="24"/>
      <c r="ZQ93" s="24"/>
      <c r="ZR93" s="24"/>
      <c r="ZS93" s="24">
        <f t="shared" si="231"/>
        <v>0</v>
      </c>
      <c r="ZT93" s="24">
        <f t="shared" si="232"/>
        <v>0</v>
      </c>
      <c r="ZU93" s="24"/>
      <c r="ZV93" s="24"/>
      <c r="ZW93" s="24"/>
      <c r="ZX93" s="24"/>
      <c r="ZY93" s="24"/>
      <c r="ZZ93" s="24"/>
      <c r="AAA93" s="24"/>
      <c r="AAB93" s="24"/>
      <c r="AAC93" s="24"/>
      <c r="AAD93" s="24"/>
      <c r="AAE93" s="24"/>
      <c r="AAF93" s="24"/>
      <c r="AAG93" s="24"/>
      <c r="AAH93" s="24"/>
      <c r="AAI93" s="24"/>
      <c r="AAJ93" s="24"/>
      <c r="AAK93" s="24"/>
      <c r="AAL93" s="24"/>
      <c r="AAM93" s="24"/>
      <c r="AAN93" s="24"/>
      <c r="AAO93" s="24"/>
      <c r="AAP93" s="24"/>
      <c r="AAQ93" s="24"/>
      <c r="AAR93" s="24"/>
      <c r="AAS93" s="24"/>
      <c r="AAT93" s="24"/>
      <c r="AAU93" s="24"/>
      <c r="AAV93" s="24"/>
      <c r="AAW93" s="24"/>
      <c r="AAX93" s="24"/>
      <c r="AAY93" s="24"/>
      <c r="AAZ93" s="24"/>
      <c r="ABA93" s="24"/>
      <c r="ABB93" s="24"/>
      <c r="ABC93" s="24"/>
      <c r="ABD93" s="24"/>
      <c r="ABE93" s="24"/>
      <c r="ABF93" s="24"/>
      <c r="ABG93" s="24"/>
      <c r="ABH93" s="24"/>
      <c r="ABI93" s="24"/>
      <c r="ABJ93" s="24"/>
      <c r="ABK93" s="24"/>
      <c r="ABL93" s="24"/>
      <c r="ABM93" s="24"/>
      <c r="ABN93" s="24"/>
      <c r="ABO93" s="24"/>
      <c r="ABP93" s="24"/>
      <c r="ABQ93" s="24"/>
      <c r="ABR93" s="24"/>
      <c r="ABS93" s="24"/>
      <c r="ABT93" s="24"/>
      <c r="ABU93" s="24"/>
      <c r="ABV93" s="24"/>
      <c r="ABW93" s="24"/>
      <c r="ABX93" s="24"/>
      <c r="ABY93" s="24"/>
      <c r="ABZ93" s="24"/>
      <c r="ACA93" s="24"/>
      <c r="ACB93" s="24"/>
      <c r="ACC93" s="24"/>
      <c r="ACD93" s="24"/>
      <c r="ACE93" s="24">
        <f t="shared" si="233"/>
        <v>0</v>
      </c>
      <c r="ACF93" s="24"/>
      <c r="ACG93" s="24">
        <f t="shared" si="234"/>
        <v>0</v>
      </c>
      <c r="ACH93" s="25"/>
      <c r="ACI93" s="71" t="s">
        <v>236</v>
      </c>
      <c r="ACJ93" s="71" t="s">
        <v>92</v>
      </c>
    </row>
    <row r="94" spans="1:764" x14ac:dyDescent="0.25">
      <c r="A94" s="162"/>
      <c r="B94" s="152"/>
      <c r="C94" s="155"/>
      <c r="D94" s="50" t="s">
        <v>8</v>
      </c>
      <c r="E94" s="74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24" cm="1">
        <f t="array" ref="BO94">SUMPRODUCT(E94:BM94,--(E$2:BM$2=BO$2))</f>
        <v>0</v>
      </c>
      <c r="BP94" s="24" cm="1">
        <f t="array" ref="BP94">SUMPRODUCT(F94:BN94,--(F$2:BN$2=BP$2))</f>
        <v>0</v>
      </c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 cm="1">
        <f t="array" ref="DW94">SUMPRODUCT(BQ94:DU94,--(BQ$2:DU$2=DW$2))</f>
        <v>0</v>
      </c>
      <c r="DX94" s="24" cm="1">
        <f t="array" ref="DX94">SUMPRODUCT(BR94:DV94,--(BR$2:DV$2=DX$2))</f>
        <v>0</v>
      </c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  <c r="FK94" s="24"/>
      <c r="FL94" s="24"/>
      <c r="FM94" s="24"/>
      <c r="FN94" s="24"/>
      <c r="FO94" s="24"/>
      <c r="FP94" s="24"/>
      <c r="FQ94" s="24"/>
      <c r="FR94" s="24"/>
      <c r="FS94" s="24"/>
      <c r="FT94" s="24"/>
      <c r="FU94" s="24"/>
      <c r="FV94" s="24"/>
      <c r="FW94" s="24"/>
      <c r="FX94" s="24"/>
      <c r="FY94" s="24"/>
      <c r="FZ94" s="24"/>
      <c r="GA94" s="24"/>
      <c r="GB94" s="24"/>
      <c r="GC94" s="24"/>
      <c r="GD94" s="24"/>
      <c r="GE94" s="24"/>
      <c r="GF94" s="24"/>
      <c r="GG94" s="24"/>
      <c r="GH94" s="24"/>
      <c r="GI94" s="24" cm="1">
        <f t="array" ref="GI94">SUMPRODUCT(DY94:GG94,--(DY$2:GG$2=GI$2))</f>
        <v>0</v>
      </c>
      <c r="GJ94" s="24" cm="1">
        <f t="array" ref="GJ94">SUMPRODUCT(DZ94:GH94,--(DZ$2:GH$2=GJ$2))</f>
        <v>0</v>
      </c>
      <c r="GK94" s="24"/>
      <c r="GL94" s="24"/>
      <c r="GM94" s="24"/>
      <c r="GN94" s="24"/>
      <c r="GO94" s="24"/>
      <c r="GP94" s="24"/>
      <c r="GQ94" s="24"/>
      <c r="GR94" s="24"/>
      <c r="GS94" s="24"/>
      <c r="GT94" s="24"/>
      <c r="GU94" s="24"/>
      <c r="GV94" s="24"/>
      <c r="GW94" s="24"/>
      <c r="GX94" s="24"/>
      <c r="GY94" s="24"/>
      <c r="GZ94" s="24"/>
      <c r="HA94" s="24"/>
      <c r="HB94" s="24"/>
      <c r="HC94" s="24"/>
      <c r="HD94" s="24"/>
      <c r="HE94" s="24"/>
      <c r="HF94" s="24"/>
      <c r="HG94" s="24"/>
      <c r="HH94" s="24"/>
      <c r="HI94" s="24"/>
      <c r="HJ94" s="24"/>
      <c r="HK94" s="24"/>
      <c r="HL94" s="24"/>
      <c r="HM94" s="24"/>
      <c r="HN94" s="24"/>
      <c r="HO94" s="24"/>
      <c r="HP94" s="24"/>
      <c r="HQ94" s="24"/>
      <c r="HR94" s="24"/>
      <c r="HS94" s="24"/>
      <c r="HT94" s="24"/>
      <c r="HU94" s="24"/>
      <c r="HV94" s="24"/>
      <c r="HW94" s="24"/>
      <c r="HX94" s="24"/>
      <c r="HY94" s="24"/>
      <c r="HZ94" s="24"/>
      <c r="IA94" s="24"/>
      <c r="IB94" s="24"/>
      <c r="IC94" s="24"/>
      <c r="ID94" s="24"/>
      <c r="IE94" s="24"/>
      <c r="IF94" s="24"/>
      <c r="IG94" s="24"/>
      <c r="IH94" s="24"/>
      <c r="II94" s="24"/>
      <c r="IJ94" s="24"/>
      <c r="IK94" s="24"/>
      <c r="IL94" s="24"/>
      <c r="IM94" s="24"/>
      <c r="IN94" s="24"/>
      <c r="IO94" s="24"/>
      <c r="IP94" s="24"/>
      <c r="IQ94" s="24"/>
      <c r="IR94" s="24"/>
      <c r="IS94" s="24">
        <f t="shared" si="217"/>
        <v>0</v>
      </c>
      <c r="IT94" s="24">
        <f t="shared" si="218"/>
        <v>0</v>
      </c>
      <c r="IU94" s="24"/>
      <c r="IV94" s="24"/>
      <c r="IW94" s="24"/>
      <c r="IX94" s="24"/>
      <c r="IY94" s="24"/>
      <c r="IZ94" s="24"/>
      <c r="JA94" s="24"/>
      <c r="JB94" s="24"/>
      <c r="JC94" s="24"/>
      <c r="JD94" s="24"/>
      <c r="JE94" s="24"/>
      <c r="JF94" s="24"/>
      <c r="JG94" s="24"/>
      <c r="JH94" s="24"/>
      <c r="JI94" s="24"/>
      <c r="JJ94" s="24"/>
      <c r="JK94" s="24"/>
      <c r="JL94" s="24"/>
      <c r="JM94" s="24"/>
      <c r="JN94" s="24"/>
      <c r="JO94" s="24"/>
      <c r="JP94" s="24"/>
      <c r="JQ94" s="24"/>
      <c r="JR94" s="24"/>
      <c r="JS94" s="24"/>
      <c r="JT94" s="24"/>
      <c r="JU94" s="24"/>
      <c r="JV94" s="24"/>
      <c r="JW94" s="24"/>
      <c r="JX94" s="24"/>
      <c r="JY94" s="24"/>
      <c r="JZ94" s="24"/>
      <c r="KA94" s="24"/>
      <c r="KB94" s="24"/>
      <c r="KC94" s="24"/>
      <c r="KD94" s="24"/>
      <c r="KE94" s="24"/>
      <c r="KF94" s="24"/>
      <c r="KG94" s="24"/>
      <c r="KH94" s="24"/>
      <c r="KI94" s="24"/>
      <c r="KJ94" s="24"/>
      <c r="KK94" s="24"/>
      <c r="KL94" s="24"/>
      <c r="KM94" s="24"/>
      <c r="KN94" s="24"/>
      <c r="KO94" s="24"/>
      <c r="KP94" s="24"/>
      <c r="KQ94" s="24"/>
      <c r="KR94" s="24"/>
      <c r="KS94" s="24"/>
      <c r="KT94" s="24"/>
      <c r="KU94" s="24"/>
      <c r="KV94" s="24"/>
      <c r="KW94" s="24"/>
      <c r="KX94" s="24"/>
      <c r="KY94" s="24"/>
      <c r="KZ94" s="24"/>
      <c r="LA94" s="24"/>
      <c r="LB94" s="24"/>
      <c r="LC94" s="24"/>
      <c r="LD94" s="24"/>
      <c r="LE94" s="24">
        <f t="shared" si="219"/>
        <v>0</v>
      </c>
      <c r="LF94" s="24">
        <f t="shared" si="220"/>
        <v>0</v>
      </c>
      <c r="LG94" s="24"/>
      <c r="LH94" s="24"/>
      <c r="LI94" s="24"/>
      <c r="LJ94" s="24"/>
      <c r="LK94" s="24"/>
      <c r="LL94" s="24"/>
      <c r="LM94" s="24"/>
      <c r="LN94" s="24"/>
      <c r="LO94" s="24"/>
      <c r="LP94" s="24"/>
      <c r="LQ94" s="24"/>
      <c r="LR94" s="24"/>
      <c r="LS94" s="24"/>
      <c r="LT94" s="24"/>
      <c r="LU94" s="24"/>
      <c r="LV94" s="24"/>
      <c r="LW94" s="24"/>
      <c r="LX94" s="24"/>
      <c r="LY94" s="24"/>
      <c r="LZ94" s="24"/>
      <c r="MA94" s="24"/>
      <c r="MB94" s="24"/>
      <c r="MC94" s="24"/>
      <c r="MD94" s="24"/>
      <c r="ME94" s="24"/>
      <c r="MF94" s="24"/>
      <c r="MG94" s="24"/>
      <c r="MH94" s="24"/>
      <c r="MI94" s="24"/>
      <c r="MJ94" s="24"/>
      <c r="MK94" s="24"/>
      <c r="ML94" s="24"/>
      <c r="MM94" s="24"/>
      <c r="MN94" s="24"/>
      <c r="MO94" s="24"/>
      <c r="MP94" s="24"/>
      <c r="MQ94" s="24"/>
      <c r="MR94" s="24"/>
      <c r="MS94" s="24"/>
      <c r="MT94" s="24"/>
      <c r="MU94" s="24"/>
      <c r="MV94" s="24"/>
      <c r="MW94" s="24"/>
      <c r="MX94" s="24"/>
      <c r="MY94" s="24"/>
      <c r="MZ94" s="24"/>
      <c r="NA94" s="24"/>
      <c r="NB94" s="24"/>
      <c r="NC94" s="24"/>
      <c r="ND94" s="24"/>
      <c r="NE94" s="24"/>
      <c r="NF94" s="24"/>
      <c r="NG94" s="24"/>
      <c r="NH94" s="24"/>
      <c r="NI94" s="24"/>
      <c r="NJ94" s="24"/>
      <c r="NK94" s="24"/>
      <c r="NL94" s="24"/>
      <c r="NM94" s="24"/>
      <c r="NN94" s="24"/>
      <c r="NO94" s="24">
        <f t="shared" si="221"/>
        <v>0</v>
      </c>
      <c r="NP94" s="24">
        <f t="shared" si="222"/>
        <v>0</v>
      </c>
      <c r="NQ94" s="24"/>
      <c r="NR94" s="24"/>
      <c r="NS94" s="24"/>
      <c r="NT94" s="24"/>
      <c r="NU94" s="24"/>
      <c r="NV94" s="24"/>
      <c r="NW94" s="24"/>
      <c r="NX94" s="24"/>
      <c r="NY94" s="24"/>
      <c r="NZ94" s="24"/>
      <c r="OA94" s="24"/>
      <c r="OB94" s="24"/>
      <c r="OC94" s="24"/>
      <c r="OD94" s="24"/>
      <c r="OE94" s="24"/>
      <c r="OF94" s="24"/>
      <c r="OG94" s="24"/>
      <c r="OH94" s="24"/>
      <c r="OI94" s="24"/>
      <c r="OJ94" s="24"/>
      <c r="OK94" s="24"/>
      <c r="OL94" s="24"/>
      <c r="OM94" s="24"/>
      <c r="ON94" s="24"/>
      <c r="OO94" s="24"/>
      <c r="OP94" s="24"/>
      <c r="OQ94" s="24"/>
      <c r="OR94" s="24"/>
      <c r="OS94" s="24"/>
      <c r="OT94" s="24"/>
      <c r="OU94" s="24"/>
      <c r="OV94" s="24"/>
      <c r="OW94" s="24"/>
      <c r="OX94" s="24"/>
      <c r="OY94" s="24"/>
      <c r="OZ94" s="24"/>
      <c r="PA94" s="24"/>
      <c r="PB94" s="24"/>
      <c r="PC94" s="24"/>
      <c r="PD94" s="24"/>
      <c r="PE94" s="24"/>
      <c r="PF94" s="24"/>
      <c r="PG94" s="24"/>
      <c r="PH94" s="24"/>
      <c r="PI94" s="24"/>
      <c r="PJ94" s="24"/>
      <c r="PK94" s="24"/>
      <c r="PL94" s="24"/>
      <c r="PM94" s="24"/>
      <c r="PN94" s="24"/>
      <c r="PO94" s="24"/>
      <c r="PP94" s="24"/>
      <c r="PQ94" s="24"/>
      <c r="PR94" s="24"/>
      <c r="PS94" s="24"/>
      <c r="PT94" s="24"/>
      <c r="PU94" s="24"/>
      <c r="PV94" s="24"/>
      <c r="PW94" s="24"/>
      <c r="PX94" s="24"/>
      <c r="PY94" s="24"/>
      <c r="PZ94" s="24"/>
      <c r="QA94" s="24">
        <f t="shared" si="223"/>
        <v>0</v>
      </c>
      <c r="QB94" s="24">
        <f t="shared" si="224"/>
        <v>0</v>
      </c>
      <c r="QC94" s="24"/>
      <c r="QD94" s="24"/>
      <c r="QE94" s="24"/>
      <c r="QF94" s="24"/>
      <c r="QG94" s="24"/>
      <c r="QH94" s="24"/>
      <c r="QI94" s="24"/>
      <c r="QJ94" s="24"/>
      <c r="QK94" s="24"/>
      <c r="QL94" s="24"/>
      <c r="QM94" s="24"/>
      <c r="QN94" s="24"/>
      <c r="QO94" s="24"/>
      <c r="QP94" s="24"/>
      <c r="QQ94" s="24"/>
      <c r="QR94" s="24"/>
      <c r="QS94" s="24"/>
      <c r="QT94" s="24"/>
      <c r="QU94" s="24"/>
      <c r="QV94" s="24"/>
      <c r="QW94" s="24"/>
      <c r="QX94" s="24"/>
      <c r="QY94" s="24"/>
      <c r="QZ94" s="24"/>
      <c r="RA94" s="24"/>
      <c r="RB94" s="24"/>
      <c r="RC94" s="24"/>
      <c r="RD94" s="24"/>
      <c r="RE94" s="24"/>
      <c r="RF94" s="24"/>
      <c r="RG94" s="24"/>
      <c r="RH94" s="24"/>
      <c r="RI94" s="24"/>
      <c r="RJ94" s="24"/>
      <c r="RK94" s="24"/>
      <c r="RL94" s="24"/>
      <c r="RM94" s="24"/>
      <c r="RN94" s="24"/>
      <c r="RO94" s="24"/>
      <c r="RP94" s="24"/>
      <c r="RQ94" s="24"/>
      <c r="RR94" s="24"/>
      <c r="RS94" s="24"/>
      <c r="RT94" s="24"/>
      <c r="RU94" s="24"/>
      <c r="RV94" s="24"/>
      <c r="RW94" s="24"/>
      <c r="RX94" s="24"/>
      <c r="RY94" s="24"/>
      <c r="RZ94" s="24"/>
      <c r="SA94" s="24"/>
      <c r="SB94" s="24"/>
      <c r="SC94" s="24"/>
      <c r="SD94" s="24"/>
      <c r="SE94" s="24"/>
      <c r="SF94" s="24"/>
      <c r="SG94" s="24"/>
      <c r="SH94" s="24"/>
      <c r="SI94" s="24"/>
      <c r="SJ94" s="24"/>
      <c r="SK94" s="24"/>
      <c r="SL94" s="24"/>
      <c r="SM94" s="24">
        <f t="shared" si="225"/>
        <v>0</v>
      </c>
      <c r="SN94" s="24">
        <f t="shared" si="226"/>
        <v>0</v>
      </c>
      <c r="SO94" s="24"/>
      <c r="SP94" s="24"/>
      <c r="SQ94" s="24"/>
      <c r="SR94" s="24"/>
      <c r="SS94" s="24"/>
      <c r="ST94" s="24"/>
      <c r="SU94" s="24"/>
      <c r="SV94" s="24"/>
      <c r="SW94" s="24"/>
      <c r="SX94" s="24"/>
      <c r="SY94" s="24"/>
      <c r="SZ94" s="24"/>
      <c r="TA94" s="24"/>
      <c r="TB94" s="24"/>
      <c r="TC94" s="24"/>
      <c r="TD94" s="24"/>
      <c r="TE94" s="24"/>
      <c r="TF94" s="24"/>
      <c r="TG94" s="24"/>
      <c r="TH94" s="24"/>
      <c r="TI94" s="24"/>
      <c r="TJ94" s="24"/>
      <c r="TK94" s="24"/>
      <c r="TL94" s="24"/>
      <c r="TM94" s="24"/>
      <c r="TN94" s="24"/>
      <c r="TO94" s="24"/>
      <c r="TP94" s="24"/>
      <c r="TQ94" s="24"/>
      <c r="TR94" s="24"/>
      <c r="TS94" s="24"/>
      <c r="TT94" s="24"/>
      <c r="TU94" s="24"/>
      <c r="TV94" s="24"/>
      <c r="TW94" s="24"/>
      <c r="TX94" s="24"/>
      <c r="TY94" s="24"/>
      <c r="TZ94" s="24"/>
      <c r="UA94" s="24"/>
      <c r="UB94" s="24"/>
      <c r="UC94" s="24"/>
      <c r="UD94" s="24"/>
      <c r="UE94" s="24"/>
      <c r="UF94" s="24"/>
      <c r="UG94" s="24"/>
      <c r="UH94" s="24"/>
      <c r="UI94" s="24"/>
      <c r="UJ94" s="24"/>
      <c r="UK94" s="24"/>
      <c r="UL94" s="24"/>
      <c r="UM94" s="24"/>
      <c r="UN94" s="24"/>
      <c r="UO94" s="24"/>
      <c r="UP94" s="24"/>
      <c r="UQ94" s="24"/>
      <c r="UR94" s="24"/>
      <c r="US94" s="24"/>
      <c r="UT94" s="24"/>
      <c r="UU94" s="24"/>
      <c r="UV94" s="24"/>
      <c r="UW94" s="24">
        <f t="shared" si="227"/>
        <v>0</v>
      </c>
      <c r="UX94" s="24">
        <f t="shared" si="228"/>
        <v>0</v>
      </c>
      <c r="UY94" s="24"/>
      <c r="UZ94" s="24"/>
      <c r="VA94" s="24"/>
      <c r="VB94" s="24"/>
      <c r="VC94" s="24"/>
      <c r="VD94" s="24"/>
      <c r="VE94" s="24"/>
      <c r="VF94" s="24"/>
      <c r="VG94" s="24"/>
      <c r="VH94" s="24"/>
      <c r="VI94" s="24"/>
      <c r="VJ94" s="24"/>
      <c r="VK94" s="24"/>
      <c r="VL94" s="24"/>
      <c r="VM94" s="24"/>
      <c r="VN94" s="24"/>
      <c r="VO94" s="24"/>
      <c r="VP94" s="24"/>
      <c r="VQ94" s="24"/>
      <c r="VR94" s="24"/>
      <c r="VS94" s="24"/>
      <c r="VT94" s="24"/>
      <c r="VU94" s="24"/>
      <c r="VV94" s="24"/>
      <c r="VW94" s="24"/>
      <c r="VX94" s="24"/>
      <c r="VY94" s="24"/>
      <c r="VZ94" s="24"/>
      <c r="WA94" s="24"/>
      <c r="WB94" s="24"/>
      <c r="WC94" s="24"/>
      <c r="WD94" s="24"/>
      <c r="WE94" s="24"/>
      <c r="WF94" s="24"/>
      <c r="WG94" s="24"/>
      <c r="WH94" s="24"/>
      <c r="WI94" s="24"/>
      <c r="WJ94" s="24"/>
      <c r="WK94" s="24"/>
      <c r="WL94" s="24"/>
      <c r="WM94" s="24"/>
      <c r="WN94" s="24"/>
      <c r="WO94" s="24"/>
      <c r="WP94" s="24"/>
      <c r="WQ94" s="24"/>
      <c r="WR94" s="24"/>
      <c r="WS94" s="24"/>
      <c r="WT94" s="24"/>
      <c r="WU94" s="24"/>
      <c r="WV94" s="24"/>
      <c r="WW94" s="24"/>
      <c r="WX94" s="24"/>
      <c r="WY94" s="24"/>
      <c r="WZ94" s="24"/>
      <c r="XA94" s="24"/>
      <c r="XB94" s="24"/>
      <c r="XC94" s="24"/>
      <c r="XD94" s="24"/>
      <c r="XE94" s="24"/>
      <c r="XF94" s="24"/>
      <c r="XG94" s="24"/>
      <c r="XH94" s="24"/>
      <c r="XI94" s="24">
        <f t="shared" si="229"/>
        <v>0</v>
      </c>
      <c r="XJ94" s="24">
        <f t="shared" si="230"/>
        <v>0</v>
      </c>
      <c r="XK94" s="24"/>
      <c r="XL94" s="24"/>
      <c r="XM94" s="24"/>
      <c r="XN94" s="24"/>
      <c r="XO94" s="24"/>
      <c r="XP94" s="24"/>
      <c r="XQ94" s="24"/>
      <c r="XR94" s="24"/>
      <c r="XS94" s="24"/>
      <c r="XT94" s="24"/>
      <c r="XU94" s="24"/>
      <c r="XV94" s="24"/>
      <c r="XW94" s="24"/>
      <c r="XX94" s="24"/>
      <c r="XY94" s="24"/>
      <c r="XZ94" s="24"/>
      <c r="YA94" s="24"/>
      <c r="YB94" s="24"/>
      <c r="YC94" s="24"/>
      <c r="YD94" s="24"/>
      <c r="YE94" s="24"/>
      <c r="YF94" s="24"/>
      <c r="YG94" s="24"/>
      <c r="YH94" s="24"/>
      <c r="YI94" s="24"/>
      <c r="YJ94" s="24"/>
      <c r="YK94" s="24"/>
      <c r="YL94" s="24"/>
      <c r="YM94" s="24"/>
      <c r="YN94" s="24"/>
      <c r="YO94" s="24"/>
      <c r="YP94" s="24"/>
      <c r="YQ94" s="24"/>
      <c r="YR94" s="24"/>
      <c r="YS94" s="24"/>
      <c r="YT94" s="24"/>
      <c r="YU94" s="24"/>
      <c r="YV94" s="24"/>
      <c r="YW94" s="24"/>
      <c r="YX94" s="24"/>
      <c r="YY94" s="24"/>
      <c r="YZ94" s="24"/>
      <c r="ZA94" s="24"/>
      <c r="ZB94" s="24"/>
      <c r="ZC94" s="24"/>
      <c r="ZD94" s="24"/>
      <c r="ZE94" s="24"/>
      <c r="ZF94" s="24"/>
      <c r="ZG94" s="24"/>
      <c r="ZH94" s="24"/>
      <c r="ZI94" s="24"/>
      <c r="ZJ94" s="24"/>
      <c r="ZK94" s="24"/>
      <c r="ZL94" s="24"/>
      <c r="ZM94" s="24"/>
      <c r="ZN94" s="24"/>
      <c r="ZO94" s="24"/>
      <c r="ZP94" s="24"/>
      <c r="ZQ94" s="24"/>
      <c r="ZR94" s="24"/>
      <c r="ZS94" s="24">
        <f t="shared" si="231"/>
        <v>0</v>
      </c>
      <c r="ZT94" s="24">
        <f t="shared" si="232"/>
        <v>0</v>
      </c>
      <c r="ZU94" s="24"/>
      <c r="ZV94" s="24"/>
      <c r="ZW94" s="24"/>
      <c r="ZX94" s="24"/>
      <c r="ZY94" s="24"/>
      <c r="ZZ94" s="24"/>
      <c r="AAA94" s="24"/>
      <c r="AAB94" s="24"/>
      <c r="AAC94" s="24"/>
      <c r="AAD94" s="24"/>
      <c r="AAE94" s="24"/>
      <c r="AAF94" s="24"/>
      <c r="AAG94" s="24"/>
      <c r="AAH94" s="24"/>
      <c r="AAI94" s="24"/>
      <c r="AAJ94" s="24"/>
      <c r="AAK94" s="24"/>
      <c r="AAL94" s="24"/>
      <c r="AAM94" s="24"/>
      <c r="AAN94" s="24"/>
      <c r="AAO94" s="24"/>
      <c r="AAP94" s="24"/>
      <c r="AAQ94" s="24"/>
      <c r="AAR94" s="24"/>
      <c r="AAS94" s="24"/>
      <c r="AAT94" s="24"/>
      <c r="AAU94" s="24"/>
      <c r="AAV94" s="24"/>
      <c r="AAW94" s="24"/>
      <c r="AAX94" s="24"/>
      <c r="AAY94" s="24"/>
      <c r="AAZ94" s="24"/>
      <c r="ABA94" s="24"/>
      <c r="ABB94" s="24"/>
      <c r="ABC94" s="24"/>
      <c r="ABD94" s="24"/>
      <c r="ABE94" s="24"/>
      <c r="ABF94" s="24"/>
      <c r="ABG94" s="24"/>
      <c r="ABH94" s="24"/>
      <c r="ABI94" s="24"/>
      <c r="ABJ94" s="24"/>
      <c r="ABK94" s="24"/>
      <c r="ABL94" s="24"/>
      <c r="ABM94" s="24"/>
      <c r="ABN94" s="24"/>
      <c r="ABO94" s="24"/>
      <c r="ABP94" s="24"/>
      <c r="ABQ94" s="24"/>
      <c r="ABR94" s="24"/>
      <c r="ABS94" s="24"/>
      <c r="ABT94" s="24"/>
      <c r="ABU94" s="24"/>
      <c r="ABV94" s="24"/>
      <c r="ABW94" s="24"/>
      <c r="ABX94" s="24"/>
      <c r="ABY94" s="24"/>
      <c r="ABZ94" s="24"/>
      <c r="ACA94" s="24"/>
      <c r="ACB94" s="24"/>
      <c r="ACC94" s="24"/>
      <c r="ACD94" s="24"/>
      <c r="ACE94" s="24">
        <f t="shared" si="233"/>
        <v>0</v>
      </c>
      <c r="ACF94" s="24"/>
      <c r="ACG94" s="24">
        <f t="shared" si="234"/>
        <v>0</v>
      </c>
      <c r="ACH94" s="25"/>
      <c r="ACI94" s="71" t="s">
        <v>237</v>
      </c>
      <c r="ACJ94" s="71" t="s">
        <v>92</v>
      </c>
    </row>
    <row r="95" spans="1:764" x14ac:dyDescent="0.25">
      <c r="A95" s="162"/>
      <c r="B95" s="152"/>
      <c r="C95" s="156"/>
      <c r="D95" s="51" t="s">
        <v>9</v>
      </c>
      <c r="E95" s="74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24" cm="1">
        <f t="array" ref="BO95">SUMPRODUCT(E95:BM95,--(E$2:BM$2=BO$2))</f>
        <v>0</v>
      </c>
      <c r="BP95" s="24" cm="1">
        <f t="array" ref="BP95">SUMPRODUCT(F95:BN95,--(F$2:BN$2=BP$2))</f>
        <v>0</v>
      </c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4"/>
      <c r="DC95" s="24"/>
      <c r="DD95" s="24"/>
      <c r="DE95" s="24"/>
      <c r="DF95" s="24"/>
      <c r="DG95" s="24"/>
      <c r="DH95" s="24"/>
      <c r="DI95" s="24"/>
      <c r="DJ95" s="24"/>
      <c r="DK95" s="24"/>
      <c r="DL95" s="24"/>
      <c r="DM95" s="24"/>
      <c r="DN95" s="24"/>
      <c r="DO95" s="24"/>
      <c r="DP95" s="24"/>
      <c r="DQ95" s="24"/>
      <c r="DR95" s="24"/>
      <c r="DS95" s="24"/>
      <c r="DT95" s="24"/>
      <c r="DU95" s="24"/>
      <c r="DV95" s="24"/>
      <c r="DW95" s="24" cm="1">
        <f t="array" ref="DW95">SUMPRODUCT(BQ95:DU95,--(BQ$2:DU$2=DW$2))</f>
        <v>0</v>
      </c>
      <c r="DX95" s="24" cm="1">
        <f t="array" ref="DX95">SUMPRODUCT(BR95:DV95,--(BR$2:DV$2=DX$2))</f>
        <v>0</v>
      </c>
      <c r="DY95" s="24"/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  <c r="FC95" s="24"/>
      <c r="FD95" s="24"/>
      <c r="FE95" s="24"/>
      <c r="FF95" s="24"/>
      <c r="FG95" s="24"/>
      <c r="FH95" s="24"/>
      <c r="FI95" s="24"/>
      <c r="FJ95" s="24"/>
      <c r="FK95" s="24"/>
      <c r="FL95" s="24"/>
      <c r="FM95" s="24"/>
      <c r="FN95" s="24"/>
      <c r="FO95" s="24"/>
      <c r="FP95" s="24"/>
      <c r="FQ95" s="24"/>
      <c r="FR95" s="24"/>
      <c r="FS95" s="24"/>
      <c r="FT95" s="24"/>
      <c r="FU95" s="24"/>
      <c r="FV95" s="24"/>
      <c r="FW95" s="24"/>
      <c r="FX95" s="24"/>
      <c r="FY95" s="24"/>
      <c r="FZ95" s="24"/>
      <c r="GA95" s="24"/>
      <c r="GB95" s="24"/>
      <c r="GC95" s="24"/>
      <c r="GD95" s="24"/>
      <c r="GE95" s="24"/>
      <c r="GF95" s="24"/>
      <c r="GG95" s="24"/>
      <c r="GH95" s="24"/>
      <c r="GI95" s="24" cm="1">
        <f t="array" ref="GI95">SUMPRODUCT(DY95:GG95,--(DY$2:GG$2=GI$2))</f>
        <v>0</v>
      </c>
      <c r="GJ95" s="24" cm="1">
        <f t="array" ref="GJ95">SUMPRODUCT(DZ95:GH95,--(DZ$2:GH$2=GJ$2))</f>
        <v>0</v>
      </c>
      <c r="GK95" s="24"/>
      <c r="GL95" s="24"/>
      <c r="GM95" s="24"/>
      <c r="GN95" s="24"/>
      <c r="GO95" s="24"/>
      <c r="GP95" s="24"/>
      <c r="GQ95" s="24"/>
      <c r="GR95" s="24"/>
      <c r="GS95" s="24"/>
      <c r="GT95" s="24"/>
      <c r="GU95" s="24"/>
      <c r="GV95" s="24"/>
      <c r="GW95" s="24"/>
      <c r="GX95" s="24"/>
      <c r="GY95" s="24"/>
      <c r="GZ95" s="24"/>
      <c r="HA95" s="24"/>
      <c r="HB95" s="24"/>
      <c r="HC95" s="24"/>
      <c r="HD95" s="24"/>
      <c r="HE95" s="24"/>
      <c r="HF95" s="24"/>
      <c r="HG95" s="24"/>
      <c r="HH95" s="24"/>
      <c r="HI95" s="24"/>
      <c r="HJ95" s="24"/>
      <c r="HK95" s="24"/>
      <c r="HL95" s="24"/>
      <c r="HM95" s="24"/>
      <c r="HN95" s="24"/>
      <c r="HO95" s="24"/>
      <c r="HP95" s="24"/>
      <c r="HQ95" s="24"/>
      <c r="HR95" s="24"/>
      <c r="HS95" s="24"/>
      <c r="HT95" s="24"/>
      <c r="HU95" s="24"/>
      <c r="HV95" s="24"/>
      <c r="HW95" s="24"/>
      <c r="HX95" s="24"/>
      <c r="HY95" s="24"/>
      <c r="HZ95" s="24"/>
      <c r="IA95" s="24"/>
      <c r="IB95" s="24"/>
      <c r="IC95" s="24"/>
      <c r="ID95" s="24"/>
      <c r="IE95" s="24"/>
      <c r="IF95" s="24"/>
      <c r="IG95" s="24"/>
      <c r="IH95" s="24"/>
      <c r="II95" s="24"/>
      <c r="IJ95" s="24"/>
      <c r="IK95" s="24"/>
      <c r="IL95" s="24"/>
      <c r="IM95" s="24"/>
      <c r="IN95" s="24"/>
      <c r="IO95" s="24"/>
      <c r="IP95" s="24"/>
      <c r="IQ95" s="24"/>
      <c r="IR95" s="24"/>
      <c r="IS95" s="24">
        <f t="shared" si="217"/>
        <v>0</v>
      </c>
      <c r="IT95" s="24">
        <f t="shared" si="218"/>
        <v>0</v>
      </c>
      <c r="IU95" s="24"/>
      <c r="IV95" s="24"/>
      <c r="IW95" s="24"/>
      <c r="IX95" s="24"/>
      <c r="IY95" s="24"/>
      <c r="IZ95" s="24"/>
      <c r="JA95" s="24"/>
      <c r="JB95" s="24"/>
      <c r="JC95" s="24"/>
      <c r="JD95" s="24"/>
      <c r="JE95" s="24"/>
      <c r="JF95" s="24"/>
      <c r="JG95" s="24"/>
      <c r="JH95" s="24"/>
      <c r="JI95" s="24"/>
      <c r="JJ95" s="24"/>
      <c r="JK95" s="24"/>
      <c r="JL95" s="24"/>
      <c r="JM95" s="24"/>
      <c r="JN95" s="24"/>
      <c r="JO95" s="24"/>
      <c r="JP95" s="24"/>
      <c r="JQ95" s="24"/>
      <c r="JR95" s="24"/>
      <c r="JS95" s="24"/>
      <c r="JT95" s="24"/>
      <c r="JU95" s="24"/>
      <c r="JV95" s="24"/>
      <c r="JW95" s="24"/>
      <c r="JX95" s="24"/>
      <c r="JY95" s="24"/>
      <c r="JZ95" s="24"/>
      <c r="KA95" s="24"/>
      <c r="KB95" s="24"/>
      <c r="KC95" s="24"/>
      <c r="KD95" s="24"/>
      <c r="KE95" s="24"/>
      <c r="KF95" s="24"/>
      <c r="KG95" s="24"/>
      <c r="KH95" s="24"/>
      <c r="KI95" s="24"/>
      <c r="KJ95" s="24"/>
      <c r="KK95" s="24"/>
      <c r="KL95" s="24"/>
      <c r="KM95" s="24"/>
      <c r="KN95" s="24"/>
      <c r="KO95" s="24"/>
      <c r="KP95" s="24"/>
      <c r="KQ95" s="24"/>
      <c r="KR95" s="24"/>
      <c r="KS95" s="24"/>
      <c r="KT95" s="24"/>
      <c r="KU95" s="24"/>
      <c r="KV95" s="24"/>
      <c r="KW95" s="24"/>
      <c r="KX95" s="24"/>
      <c r="KY95" s="24"/>
      <c r="KZ95" s="24"/>
      <c r="LA95" s="24"/>
      <c r="LB95" s="24"/>
      <c r="LC95" s="24"/>
      <c r="LD95" s="24"/>
      <c r="LE95" s="24">
        <f t="shared" si="219"/>
        <v>0</v>
      </c>
      <c r="LF95" s="24">
        <f t="shared" si="220"/>
        <v>0</v>
      </c>
      <c r="LG95" s="24"/>
      <c r="LH95" s="24"/>
      <c r="LI95" s="24"/>
      <c r="LJ95" s="24"/>
      <c r="LK95" s="24"/>
      <c r="LL95" s="24"/>
      <c r="LM95" s="24"/>
      <c r="LN95" s="24"/>
      <c r="LO95" s="24"/>
      <c r="LP95" s="24"/>
      <c r="LQ95" s="24"/>
      <c r="LR95" s="24"/>
      <c r="LS95" s="24"/>
      <c r="LT95" s="24"/>
      <c r="LU95" s="24"/>
      <c r="LV95" s="24"/>
      <c r="LW95" s="24"/>
      <c r="LX95" s="24"/>
      <c r="LY95" s="24"/>
      <c r="LZ95" s="24"/>
      <c r="MA95" s="24"/>
      <c r="MB95" s="24"/>
      <c r="MC95" s="24"/>
      <c r="MD95" s="24"/>
      <c r="ME95" s="24"/>
      <c r="MF95" s="24"/>
      <c r="MG95" s="24"/>
      <c r="MH95" s="24"/>
      <c r="MI95" s="24"/>
      <c r="MJ95" s="24"/>
      <c r="MK95" s="24"/>
      <c r="ML95" s="24"/>
      <c r="MM95" s="24"/>
      <c r="MN95" s="24"/>
      <c r="MO95" s="24"/>
      <c r="MP95" s="24"/>
      <c r="MQ95" s="24"/>
      <c r="MR95" s="24"/>
      <c r="MS95" s="24"/>
      <c r="MT95" s="24"/>
      <c r="MU95" s="24"/>
      <c r="MV95" s="24"/>
      <c r="MW95" s="24"/>
      <c r="MX95" s="24"/>
      <c r="MY95" s="24"/>
      <c r="MZ95" s="24"/>
      <c r="NA95" s="24"/>
      <c r="NB95" s="24"/>
      <c r="NC95" s="24"/>
      <c r="ND95" s="24"/>
      <c r="NE95" s="24"/>
      <c r="NF95" s="24"/>
      <c r="NG95" s="24"/>
      <c r="NH95" s="24"/>
      <c r="NI95" s="24"/>
      <c r="NJ95" s="24"/>
      <c r="NK95" s="24"/>
      <c r="NL95" s="24"/>
      <c r="NM95" s="24"/>
      <c r="NN95" s="24"/>
      <c r="NO95" s="24">
        <f t="shared" si="221"/>
        <v>0</v>
      </c>
      <c r="NP95" s="24">
        <f t="shared" si="222"/>
        <v>0</v>
      </c>
      <c r="NQ95" s="24"/>
      <c r="NR95" s="24"/>
      <c r="NS95" s="24"/>
      <c r="NT95" s="24"/>
      <c r="NU95" s="24"/>
      <c r="NV95" s="24"/>
      <c r="NW95" s="24"/>
      <c r="NX95" s="24"/>
      <c r="NY95" s="24"/>
      <c r="NZ95" s="24"/>
      <c r="OA95" s="24"/>
      <c r="OB95" s="24"/>
      <c r="OC95" s="24"/>
      <c r="OD95" s="24"/>
      <c r="OE95" s="24"/>
      <c r="OF95" s="24"/>
      <c r="OG95" s="24"/>
      <c r="OH95" s="24"/>
      <c r="OI95" s="24"/>
      <c r="OJ95" s="24"/>
      <c r="OK95" s="24"/>
      <c r="OL95" s="24"/>
      <c r="OM95" s="24"/>
      <c r="ON95" s="24"/>
      <c r="OO95" s="24"/>
      <c r="OP95" s="24"/>
      <c r="OQ95" s="24"/>
      <c r="OR95" s="24"/>
      <c r="OS95" s="24"/>
      <c r="OT95" s="24"/>
      <c r="OU95" s="24"/>
      <c r="OV95" s="24"/>
      <c r="OW95" s="24"/>
      <c r="OX95" s="24"/>
      <c r="OY95" s="24"/>
      <c r="OZ95" s="24"/>
      <c r="PA95" s="24"/>
      <c r="PB95" s="24"/>
      <c r="PC95" s="24"/>
      <c r="PD95" s="24"/>
      <c r="PE95" s="24"/>
      <c r="PF95" s="24"/>
      <c r="PG95" s="24"/>
      <c r="PH95" s="24"/>
      <c r="PI95" s="24"/>
      <c r="PJ95" s="24"/>
      <c r="PK95" s="24"/>
      <c r="PL95" s="24"/>
      <c r="PM95" s="24"/>
      <c r="PN95" s="24"/>
      <c r="PO95" s="24"/>
      <c r="PP95" s="24"/>
      <c r="PQ95" s="24"/>
      <c r="PR95" s="24"/>
      <c r="PS95" s="24"/>
      <c r="PT95" s="24"/>
      <c r="PU95" s="24"/>
      <c r="PV95" s="24"/>
      <c r="PW95" s="24"/>
      <c r="PX95" s="24"/>
      <c r="PY95" s="24"/>
      <c r="PZ95" s="24"/>
      <c r="QA95" s="24">
        <f t="shared" si="223"/>
        <v>0</v>
      </c>
      <c r="QB95" s="24">
        <f t="shared" si="224"/>
        <v>0</v>
      </c>
      <c r="QC95" s="24"/>
      <c r="QD95" s="24"/>
      <c r="QE95" s="24"/>
      <c r="QF95" s="24"/>
      <c r="QG95" s="24"/>
      <c r="QH95" s="24"/>
      <c r="QI95" s="24"/>
      <c r="QJ95" s="24"/>
      <c r="QK95" s="24"/>
      <c r="QL95" s="24"/>
      <c r="QM95" s="24"/>
      <c r="QN95" s="24"/>
      <c r="QO95" s="24"/>
      <c r="QP95" s="24"/>
      <c r="QQ95" s="24"/>
      <c r="QR95" s="24"/>
      <c r="QS95" s="24"/>
      <c r="QT95" s="24"/>
      <c r="QU95" s="24"/>
      <c r="QV95" s="24"/>
      <c r="QW95" s="24"/>
      <c r="QX95" s="24"/>
      <c r="QY95" s="24"/>
      <c r="QZ95" s="24"/>
      <c r="RA95" s="24"/>
      <c r="RB95" s="24"/>
      <c r="RC95" s="24"/>
      <c r="RD95" s="24"/>
      <c r="RE95" s="24"/>
      <c r="RF95" s="24"/>
      <c r="RG95" s="24"/>
      <c r="RH95" s="24"/>
      <c r="RI95" s="24"/>
      <c r="RJ95" s="24"/>
      <c r="RK95" s="24"/>
      <c r="RL95" s="24"/>
      <c r="RM95" s="24"/>
      <c r="RN95" s="24"/>
      <c r="RO95" s="24"/>
      <c r="RP95" s="24"/>
      <c r="RQ95" s="24"/>
      <c r="RR95" s="24"/>
      <c r="RS95" s="24"/>
      <c r="RT95" s="24"/>
      <c r="RU95" s="24"/>
      <c r="RV95" s="24"/>
      <c r="RW95" s="24"/>
      <c r="RX95" s="24"/>
      <c r="RY95" s="24"/>
      <c r="RZ95" s="24"/>
      <c r="SA95" s="24"/>
      <c r="SB95" s="24"/>
      <c r="SC95" s="24"/>
      <c r="SD95" s="24"/>
      <c r="SE95" s="24"/>
      <c r="SF95" s="24"/>
      <c r="SG95" s="24"/>
      <c r="SH95" s="24"/>
      <c r="SI95" s="24"/>
      <c r="SJ95" s="24"/>
      <c r="SK95" s="24"/>
      <c r="SL95" s="24"/>
      <c r="SM95" s="24">
        <f t="shared" si="225"/>
        <v>0</v>
      </c>
      <c r="SN95" s="24">
        <f t="shared" si="226"/>
        <v>0</v>
      </c>
      <c r="SO95" s="24"/>
      <c r="SP95" s="24"/>
      <c r="SQ95" s="24"/>
      <c r="SR95" s="24"/>
      <c r="SS95" s="24"/>
      <c r="ST95" s="24"/>
      <c r="SU95" s="24"/>
      <c r="SV95" s="24"/>
      <c r="SW95" s="24"/>
      <c r="SX95" s="24"/>
      <c r="SY95" s="24"/>
      <c r="SZ95" s="24"/>
      <c r="TA95" s="24"/>
      <c r="TB95" s="24"/>
      <c r="TC95" s="24"/>
      <c r="TD95" s="24"/>
      <c r="TE95" s="24"/>
      <c r="TF95" s="24"/>
      <c r="TG95" s="24"/>
      <c r="TH95" s="24"/>
      <c r="TI95" s="24"/>
      <c r="TJ95" s="24"/>
      <c r="TK95" s="24"/>
      <c r="TL95" s="24"/>
      <c r="TM95" s="24"/>
      <c r="TN95" s="24"/>
      <c r="TO95" s="24"/>
      <c r="TP95" s="24"/>
      <c r="TQ95" s="24"/>
      <c r="TR95" s="24"/>
      <c r="TS95" s="24"/>
      <c r="TT95" s="24"/>
      <c r="TU95" s="24"/>
      <c r="TV95" s="24"/>
      <c r="TW95" s="24"/>
      <c r="TX95" s="24"/>
      <c r="TY95" s="24"/>
      <c r="TZ95" s="24"/>
      <c r="UA95" s="24"/>
      <c r="UB95" s="24"/>
      <c r="UC95" s="24"/>
      <c r="UD95" s="24"/>
      <c r="UE95" s="24"/>
      <c r="UF95" s="24"/>
      <c r="UG95" s="24"/>
      <c r="UH95" s="24"/>
      <c r="UI95" s="24"/>
      <c r="UJ95" s="24"/>
      <c r="UK95" s="24"/>
      <c r="UL95" s="24"/>
      <c r="UM95" s="24"/>
      <c r="UN95" s="24"/>
      <c r="UO95" s="24"/>
      <c r="UP95" s="24"/>
      <c r="UQ95" s="24"/>
      <c r="UR95" s="24"/>
      <c r="US95" s="24"/>
      <c r="UT95" s="24"/>
      <c r="UU95" s="24"/>
      <c r="UV95" s="24"/>
      <c r="UW95" s="24">
        <f t="shared" si="227"/>
        <v>0</v>
      </c>
      <c r="UX95" s="24">
        <f t="shared" si="228"/>
        <v>0</v>
      </c>
      <c r="UY95" s="24"/>
      <c r="UZ95" s="24"/>
      <c r="VA95" s="24"/>
      <c r="VB95" s="24"/>
      <c r="VC95" s="24"/>
      <c r="VD95" s="24"/>
      <c r="VE95" s="24"/>
      <c r="VF95" s="24"/>
      <c r="VG95" s="24"/>
      <c r="VH95" s="24"/>
      <c r="VI95" s="24"/>
      <c r="VJ95" s="24"/>
      <c r="VK95" s="24"/>
      <c r="VL95" s="24"/>
      <c r="VM95" s="24"/>
      <c r="VN95" s="24"/>
      <c r="VO95" s="24"/>
      <c r="VP95" s="24"/>
      <c r="VQ95" s="24"/>
      <c r="VR95" s="24"/>
      <c r="VS95" s="24"/>
      <c r="VT95" s="24"/>
      <c r="VU95" s="24"/>
      <c r="VV95" s="24"/>
      <c r="VW95" s="24"/>
      <c r="VX95" s="24"/>
      <c r="VY95" s="24"/>
      <c r="VZ95" s="24"/>
      <c r="WA95" s="24"/>
      <c r="WB95" s="24"/>
      <c r="WC95" s="24"/>
      <c r="WD95" s="24"/>
      <c r="WE95" s="24"/>
      <c r="WF95" s="24"/>
      <c r="WG95" s="24"/>
      <c r="WH95" s="24"/>
      <c r="WI95" s="24"/>
      <c r="WJ95" s="24"/>
      <c r="WK95" s="24"/>
      <c r="WL95" s="24"/>
      <c r="WM95" s="24"/>
      <c r="WN95" s="24"/>
      <c r="WO95" s="24"/>
      <c r="WP95" s="24"/>
      <c r="WQ95" s="24"/>
      <c r="WR95" s="24"/>
      <c r="WS95" s="24"/>
      <c r="WT95" s="24"/>
      <c r="WU95" s="24"/>
      <c r="WV95" s="24"/>
      <c r="WW95" s="24"/>
      <c r="WX95" s="24"/>
      <c r="WY95" s="24"/>
      <c r="WZ95" s="24"/>
      <c r="XA95" s="24"/>
      <c r="XB95" s="24"/>
      <c r="XC95" s="24"/>
      <c r="XD95" s="24"/>
      <c r="XE95" s="24"/>
      <c r="XF95" s="24"/>
      <c r="XG95" s="24"/>
      <c r="XH95" s="24"/>
      <c r="XI95" s="24">
        <f t="shared" si="229"/>
        <v>0</v>
      </c>
      <c r="XJ95" s="24">
        <f t="shared" si="230"/>
        <v>0</v>
      </c>
      <c r="XK95" s="24"/>
      <c r="XL95" s="24"/>
      <c r="XM95" s="24"/>
      <c r="XN95" s="24"/>
      <c r="XO95" s="24"/>
      <c r="XP95" s="24"/>
      <c r="XQ95" s="24"/>
      <c r="XR95" s="24"/>
      <c r="XS95" s="24"/>
      <c r="XT95" s="24"/>
      <c r="XU95" s="24"/>
      <c r="XV95" s="24"/>
      <c r="XW95" s="24"/>
      <c r="XX95" s="24"/>
      <c r="XY95" s="24"/>
      <c r="XZ95" s="24"/>
      <c r="YA95" s="24"/>
      <c r="YB95" s="24"/>
      <c r="YC95" s="24"/>
      <c r="YD95" s="24"/>
      <c r="YE95" s="24"/>
      <c r="YF95" s="24"/>
      <c r="YG95" s="24"/>
      <c r="YH95" s="24"/>
      <c r="YI95" s="24"/>
      <c r="YJ95" s="24"/>
      <c r="YK95" s="24"/>
      <c r="YL95" s="24"/>
      <c r="YM95" s="24"/>
      <c r="YN95" s="24"/>
      <c r="YO95" s="24"/>
      <c r="YP95" s="24"/>
      <c r="YQ95" s="24"/>
      <c r="YR95" s="24"/>
      <c r="YS95" s="24"/>
      <c r="YT95" s="24"/>
      <c r="YU95" s="24"/>
      <c r="YV95" s="24"/>
      <c r="YW95" s="24"/>
      <c r="YX95" s="24"/>
      <c r="YY95" s="24"/>
      <c r="YZ95" s="24"/>
      <c r="ZA95" s="24"/>
      <c r="ZB95" s="24"/>
      <c r="ZC95" s="24"/>
      <c r="ZD95" s="24"/>
      <c r="ZE95" s="24"/>
      <c r="ZF95" s="24"/>
      <c r="ZG95" s="24"/>
      <c r="ZH95" s="24"/>
      <c r="ZI95" s="24"/>
      <c r="ZJ95" s="24"/>
      <c r="ZK95" s="24"/>
      <c r="ZL95" s="24"/>
      <c r="ZM95" s="24"/>
      <c r="ZN95" s="24"/>
      <c r="ZO95" s="24"/>
      <c r="ZP95" s="24"/>
      <c r="ZQ95" s="24"/>
      <c r="ZR95" s="24"/>
      <c r="ZS95" s="24">
        <f t="shared" si="231"/>
        <v>0</v>
      </c>
      <c r="ZT95" s="24">
        <f t="shared" si="232"/>
        <v>0</v>
      </c>
      <c r="ZU95" s="24"/>
      <c r="ZV95" s="24"/>
      <c r="ZW95" s="24"/>
      <c r="ZX95" s="24"/>
      <c r="ZY95" s="24"/>
      <c r="ZZ95" s="24"/>
      <c r="AAA95" s="24"/>
      <c r="AAB95" s="24"/>
      <c r="AAC95" s="24"/>
      <c r="AAD95" s="24"/>
      <c r="AAE95" s="24"/>
      <c r="AAF95" s="24"/>
      <c r="AAG95" s="24"/>
      <c r="AAH95" s="24"/>
      <c r="AAI95" s="24"/>
      <c r="AAJ95" s="24"/>
      <c r="AAK95" s="24"/>
      <c r="AAL95" s="24"/>
      <c r="AAM95" s="24"/>
      <c r="AAN95" s="24"/>
      <c r="AAO95" s="24"/>
      <c r="AAP95" s="24"/>
      <c r="AAQ95" s="24"/>
      <c r="AAR95" s="24"/>
      <c r="AAS95" s="24"/>
      <c r="AAT95" s="24"/>
      <c r="AAU95" s="24"/>
      <c r="AAV95" s="24"/>
      <c r="AAW95" s="24"/>
      <c r="AAX95" s="24"/>
      <c r="AAY95" s="24"/>
      <c r="AAZ95" s="24"/>
      <c r="ABA95" s="24"/>
      <c r="ABB95" s="24"/>
      <c r="ABC95" s="24"/>
      <c r="ABD95" s="24"/>
      <c r="ABE95" s="24"/>
      <c r="ABF95" s="24"/>
      <c r="ABG95" s="24"/>
      <c r="ABH95" s="24"/>
      <c r="ABI95" s="24"/>
      <c r="ABJ95" s="24"/>
      <c r="ABK95" s="24"/>
      <c r="ABL95" s="24"/>
      <c r="ABM95" s="24"/>
      <c r="ABN95" s="24"/>
      <c r="ABO95" s="24"/>
      <c r="ABP95" s="24"/>
      <c r="ABQ95" s="24"/>
      <c r="ABR95" s="24"/>
      <c r="ABS95" s="24"/>
      <c r="ABT95" s="24"/>
      <c r="ABU95" s="24"/>
      <c r="ABV95" s="24"/>
      <c r="ABW95" s="24"/>
      <c r="ABX95" s="24"/>
      <c r="ABY95" s="24"/>
      <c r="ABZ95" s="24"/>
      <c r="ACA95" s="24"/>
      <c r="ACB95" s="24"/>
      <c r="ACC95" s="24"/>
      <c r="ACD95" s="24"/>
      <c r="ACE95" s="24">
        <f t="shared" si="233"/>
        <v>0</v>
      </c>
      <c r="ACF95" s="24"/>
      <c r="ACG95" s="24">
        <f t="shared" si="234"/>
        <v>0</v>
      </c>
      <c r="ACH95" s="25"/>
      <c r="ACI95" s="71" t="s">
        <v>238</v>
      </c>
      <c r="ACJ95" s="71" t="s">
        <v>92</v>
      </c>
    </row>
    <row r="96" spans="1:764" x14ac:dyDescent="0.25">
      <c r="A96" s="162"/>
      <c r="B96" s="152"/>
      <c r="C96" s="157" t="s">
        <v>2</v>
      </c>
      <c r="D96" s="50" t="s">
        <v>6</v>
      </c>
      <c r="E96" s="74">
        <v>202.42000000000002</v>
      </c>
      <c r="F96" s="75">
        <v>202.42000000000002</v>
      </c>
      <c r="G96" s="75">
        <v>280.27</v>
      </c>
      <c r="H96" s="75">
        <v>280.27</v>
      </c>
      <c r="I96" s="75">
        <v>181.41000000000003</v>
      </c>
      <c r="J96" s="75">
        <v>181.41000000000003</v>
      </c>
      <c r="K96" s="75">
        <v>219.25</v>
      </c>
      <c r="L96" s="75">
        <v>219.25</v>
      </c>
      <c r="M96" s="75">
        <v>300.08000000000004</v>
      </c>
      <c r="N96" s="75">
        <v>300.08000000000004</v>
      </c>
      <c r="O96" s="75">
        <v>340.46000000000004</v>
      </c>
      <c r="P96" s="75">
        <v>340.46000000000004</v>
      </c>
      <c r="Q96" s="75">
        <v>146.19999999999999</v>
      </c>
      <c r="R96" s="75">
        <v>146.19999999999999</v>
      </c>
      <c r="S96" s="75">
        <v>239.56</v>
      </c>
      <c r="T96" s="75">
        <v>239.56</v>
      </c>
      <c r="U96" s="75">
        <v>319.60999999999996</v>
      </c>
      <c r="V96" s="75">
        <v>319.60999999999996</v>
      </c>
      <c r="W96" s="75">
        <v>365.92000000000007</v>
      </c>
      <c r="X96" s="75">
        <v>365.92000000000007</v>
      </c>
      <c r="Y96" s="75">
        <v>292.19</v>
      </c>
      <c r="Z96" s="75">
        <v>292.19</v>
      </c>
      <c r="AA96" s="75">
        <v>290.64000000000004</v>
      </c>
      <c r="AB96" s="75">
        <v>290.64000000000004</v>
      </c>
      <c r="AC96" s="75">
        <v>380.45999999999992</v>
      </c>
      <c r="AD96" s="75">
        <v>380.45999999999992</v>
      </c>
      <c r="AE96" s="75">
        <v>223.29999999999998</v>
      </c>
      <c r="AF96" s="75">
        <v>223.29999999999998</v>
      </c>
      <c r="AG96" s="75">
        <v>171.32</v>
      </c>
      <c r="AH96" s="75">
        <v>171.32</v>
      </c>
      <c r="AI96" s="75">
        <v>316.46999999999997</v>
      </c>
      <c r="AJ96" s="75">
        <v>316.46999999999997</v>
      </c>
      <c r="AK96" s="75">
        <v>372.78000000000003</v>
      </c>
      <c r="AL96" s="75">
        <v>372.78000000000003</v>
      </c>
      <c r="AM96" s="75">
        <v>294.65999999999997</v>
      </c>
      <c r="AN96" s="75">
        <v>294.65999999999997</v>
      </c>
      <c r="AO96" s="75">
        <v>357.04999999999995</v>
      </c>
      <c r="AP96" s="75">
        <v>357.04999999999995</v>
      </c>
      <c r="AQ96" s="75">
        <v>309.59999999999997</v>
      </c>
      <c r="AR96" s="75">
        <v>309.59999999999997</v>
      </c>
      <c r="AS96" s="75">
        <v>241.39</v>
      </c>
      <c r="AT96" s="75">
        <v>241.39</v>
      </c>
      <c r="AU96" s="75">
        <v>232.18</v>
      </c>
      <c r="AV96" s="75">
        <v>232.18</v>
      </c>
      <c r="AW96" s="75">
        <v>362.04</v>
      </c>
      <c r="AX96" s="75">
        <v>362.04</v>
      </c>
      <c r="AY96" s="75">
        <v>474.01000000000005</v>
      </c>
      <c r="AZ96" s="75">
        <v>474.01000000000005</v>
      </c>
      <c r="BA96" s="75">
        <v>226.06</v>
      </c>
      <c r="BB96" s="75">
        <v>226.06</v>
      </c>
      <c r="BC96" s="75">
        <v>336.76</v>
      </c>
      <c r="BD96" s="75">
        <v>336.76</v>
      </c>
      <c r="BE96" s="75">
        <v>228.67999999999998</v>
      </c>
      <c r="BF96" s="75">
        <v>228.67999999999998</v>
      </c>
      <c r="BG96" s="75">
        <v>319.95999999999998</v>
      </c>
      <c r="BH96" s="75">
        <v>319.95999999999998</v>
      </c>
      <c r="BI96" s="75">
        <v>370.28000000000003</v>
      </c>
      <c r="BJ96" s="75">
        <v>370.28000000000003</v>
      </c>
      <c r="BK96" s="75">
        <v>184.44</v>
      </c>
      <c r="BL96" s="75">
        <v>184.44</v>
      </c>
      <c r="BM96" s="75"/>
      <c r="BN96" s="75"/>
      <c r="BO96" s="24" cm="1">
        <f t="array" ref="BO96">SUMPRODUCT(E96:BM96,--(E$2:BM$2=BO$2))</f>
        <v>8579.4500000000025</v>
      </c>
      <c r="BP96" s="24" cm="1">
        <f t="array" ref="BP96">SUMPRODUCT(F96:BN96,--(F$2:BN$2=BP$2))</f>
        <v>8579.4500000000025</v>
      </c>
      <c r="BQ96" s="24">
        <v>223.12</v>
      </c>
      <c r="BR96" s="24">
        <v>0</v>
      </c>
      <c r="BS96" s="24">
        <v>276.52000000000004</v>
      </c>
      <c r="BT96" s="24">
        <v>0</v>
      </c>
      <c r="BU96" s="24">
        <v>295.49</v>
      </c>
      <c r="BV96" s="24">
        <v>0</v>
      </c>
      <c r="BW96" s="24">
        <v>269.71999999999997</v>
      </c>
      <c r="BX96" s="24">
        <v>0</v>
      </c>
      <c r="BY96" s="24">
        <v>266.68000000000006</v>
      </c>
      <c r="BZ96" s="24">
        <v>0</v>
      </c>
      <c r="CA96" s="24">
        <v>270.5</v>
      </c>
      <c r="CB96" s="24">
        <v>0</v>
      </c>
      <c r="CC96" s="24">
        <v>246.00000000000003</v>
      </c>
      <c r="CD96" s="24">
        <v>0</v>
      </c>
      <c r="CE96" s="24">
        <v>215.4</v>
      </c>
      <c r="CF96" s="24">
        <v>0</v>
      </c>
      <c r="CG96" s="24">
        <v>247.68</v>
      </c>
      <c r="CH96" s="24">
        <v>0</v>
      </c>
      <c r="CI96" s="24">
        <v>300.98</v>
      </c>
      <c r="CJ96" s="24">
        <v>0</v>
      </c>
      <c r="CK96" s="24">
        <v>188.46</v>
      </c>
      <c r="CL96" s="24">
        <v>0</v>
      </c>
      <c r="CM96" s="24">
        <v>269.64</v>
      </c>
      <c r="CN96" s="24">
        <v>0</v>
      </c>
      <c r="CO96" s="24">
        <v>311</v>
      </c>
      <c r="CP96" s="24">
        <v>0</v>
      </c>
      <c r="CQ96" s="24">
        <v>283.87999999999994</v>
      </c>
      <c r="CR96" s="24">
        <v>0</v>
      </c>
      <c r="CS96" s="24">
        <v>320.00999999999993</v>
      </c>
      <c r="CT96" s="24">
        <v>0</v>
      </c>
      <c r="CU96" s="24">
        <v>334.6</v>
      </c>
      <c r="CV96" s="24">
        <v>0</v>
      </c>
      <c r="CW96" s="24">
        <v>288</v>
      </c>
      <c r="CX96" s="24">
        <v>0</v>
      </c>
      <c r="CY96" s="24">
        <v>258.34000000000003</v>
      </c>
      <c r="CZ96" s="24">
        <v>0</v>
      </c>
      <c r="DA96" s="24">
        <v>243.11999999999998</v>
      </c>
      <c r="DB96" s="24">
        <v>0</v>
      </c>
      <c r="DC96" s="24">
        <v>332.48</v>
      </c>
      <c r="DD96" s="24">
        <v>0</v>
      </c>
      <c r="DE96" s="24">
        <v>204.14</v>
      </c>
      <c r="DF96" s="24">
        <v>0</v>
      </c>
      <c r="DG96" s="24">
        <v>319.78999999999996</v>
      </c>
      <c r="DH96" s="24">
        <v>0</v>
      </c>
      <c r="DI96" s="24">
        <v>291.62</v>
      </c>
      <c r="DJ96" s="24">
        <v>0</v>
      </c>
      <c r="DK96" s="24">
        <v>184.14000000000001</v>
      </c>
      <c r="DL96" s="24">
        <v>0</v>
      </c>
      <c r="DM96" s="24">
        <v>195.78</v>
      </c>
      <c r="DN96" s="24">
        <v>0</v>
      </c>
      <c r="DO96" s="24">
        <v>275.78000000000003</v>
      </c>
      <c r="DP96" s="24">
        <v>0</v>
      </c>
      <c r="DQ96" s="24">
        <v>240.84000000000003</v>
      </c>
      <c r="DR96" s="24">
        <v>0</v>
      </c>
      <c r="DS96" s="24">
        <v>412.78</v>
      </c>
      <c r="DT96" s="24">
        <v>0</v>
      </c>
      <c r="DU96" s="24">
        <v>300.57</v>
      </c>
      <c r="DV96" s="24">
        <v>0</v>
      </c>
      <c r="DW96" s="24" cm="1">
        <f t="array" ref="DW96">SUMPRODUCT(BQ96:DU96,--(BQ$2:DU$2=DW$2))</f>
        <v>7867.06</v>
      </c>
      <c r="DX96" s="24" cm="1">
        <f t="array" ref="DX96">SUMPRODUCT(BR96:DV96,--(BR$2:DV$2=DX$2))</f>
        <v>0</v>
      </c>
      <c r="DY96" s="24">
        <v>287.48999999999995</v>
      </c>
      <c r="DZ96" s="24">
        <v>287.48999999999995</v>
      </c>
      <c r="EA96" s="24">
        <v>323</v>
      </c>
      <c r="EB96" s="24">
        <v>323</v>
      </c>
      <c r="EC96" s="24">
        <v>312.07</v>
      </c>
      <c r="ED96" s="24">
        <v>312.07</v>
      </c>
      <c r="EE96" s="24">
        <v>251.81</v>
      </c>
      <c r="EF96" s="24">
        <v>251.81</v>
      </c>
      <c r="EG96" s="24">
        <v>375.41</v>
      </c>
      <c r="EH96" s="24">
        <v>375.41</v>
      </c>
      <c r="EI96" s="24">
        <v>310.02999999999997</v>
      </c>
      <c r="EJ96" s="24">
        <v>310.02999999999997</v>
      </c>
      <c r="EK96" s="24">
        <v>354.86</v>
      </c>
      <c r="EL96" s="24">
        <v>354.86</v>
      </c>
      <c r="EM96" s="24">
        <v>263.02</v>
      </c>
      <c r="EN96" s="24">
        <v>263.02</v>
      </c>
      <c r="EO96" s="24">
        <v>262.92</v>
      </c>
      <c r="EP96" s="24">
        <v>262.92</v>
      </c>
      <c r="EQ96" s="24">
        <v>181.2</v>
      </c>
      <c r="ER96" s="24">
        <v>181.2</v>
      </c>
      <c r="ES96" s="24">
        <v>309.23999999999995</v>
      </c>
      <c r="ET96" s="24">
        <v>309.23999999999995</v>
      </c>
      <c r="EU96" s="24">
        <v>316.52</v>
      </c>
      <c r="EV96" s="24">
        <v>316.52</v>
      </c>
      <c r="EW96" s="24">
        <v>272.20000000000005</v>
      </c>
      <c r="EX96" s="24">
        <v>272.20000000000005</v>
      </c>
      <c r="EY96" s="24">
        <v>277.43999999999994</v>
      </c>
      <c r="EZ96" s="24">
        <v>277.43999999999994</v>
      </c>
      <c r="FA96" s="24">
        <v>253.42</v>
      </c>
      <c r="FB96" s="24">
        <v>253.42</v>
      </c>
      <c r="FC96" s="24">
        <v>248.98</v>
      </c>
      <c r="FD96" s="24">
        <v>248.98</v>
      </c>
      <c r="FE96" s="24">
        <v>162.44</v>
      </c>
      <c r="FF96" s="24">
        <v>162.44</v>
      </c>
      <c r="FG96" s="24">
        <v>301.10000000000002</v>
      </c>
      <c r="FH96" s="24">
        <v>301.10000000000002</v>
      </c>
      <c r="FI96" s="24">
        <v>209.66</v>
      </c>
      <c r="FJ96" s="24">
        <v>209.66</v>
      </c>
      <c r="FK96" s="24">
        <v>230.21999999999997</v>
      </c>
      <c r="FL96" s="24">
        <v>230.21999999999997</v>
      </c>
      <c r="FM96" s="24">
        <v>142.49999999999997</v>
      </c>
      <c r="FN96" s="24">
        <v>142.49999999999997</v>
      </c>
      <c r="FO96" s="24">
        <v>147.32</v>
      </c>
      <c r="FP96" s="24">
        <v>147.32</v>
      </c>
      <c r="FQ96" s="24">
        <v>158.55999999999997</v>
      </c>
      <c r="FR96" s="24">
        <v>158.55999999999997</v>
      </c>
      <c r="FS96" s="24">
        <v>214.64000000000001</v>
      </c>
      <c r="FT96" s="24">
        <v>214.64000000000001</v>
      </c>
      <c r="FU96" s="24">
        <v>145.60000000000002</v>
      </c>
      <c r="FV96" s="24">
        <v>145.60000000000002</v>
      </c>
      <c r="FW96" s="24">
        <v>172.78000000000003</v>
      </c>
      <c r="FX96" s="24">
        <v>172.78000000000003</v>
      </c>
      <c r="FY96" s="24">
        <v>203.28</v>
      </c>
      <c r="FZ96" s="24">
        <v>203.28</v>
      </c>
      <c r="GA96" s="24">
        <v>280.29999999999995</v>
      </c>
      <c r="GB96" s="24">
        <v>280.29999999999995</v>
      </c>
      <c r="GC96" s="24">
        <v>190.56</v>
      </c>
      <c r="GD96" s="24">
        <v>190.56</v>
      </c>
      <c r="GE96" s="24">
        <v>117.83999999999999</v>
      </c>
      <c r="GF96" s="24">
        <v>117.83999999999999</v>
      </c>
      <c r="GG96" s="24">
        <v>229.79</v>
      </c>
      <c r="GH96" s="24">
        <v>229.79</v>
      </c>
      <c r="GI96" s="24" cm="1">
        <f t="array" ref="GI96">SUMPRODUCT(DY96:GG96,--(DY$2:GG$2=GI$2))</f>
        <v>7506.2</v>
      </c>
      <c r="GJ96" s="24" cm="1">
        <f t="array" ref="GJ96">SUMPRODUCT(DZ96:GH96,--(DZ$2:GH$2=GJ$2))</f>
        <v>7506.2</v>
      </c>
      <c r="GK96" s="24">
        <v>186.69000000000003</v>
      </c>
      <c r="GL96" s="24">
        <v>186.69000000000003</v>
      </c>
      <c r="GM96" s="24">
        <v>184.88000000000002</v>
      </c>
      <c r="GN96" s="24">
        <v>184.88000000000002</v>
      </c>
      <c r="GO96" s="24">
        <v>255.09000000000003</v>
      </c>
      <c r="GP96" s="24">
        <v>255.09000000000003</v>
      </c>
      <c r="GQ96" s="24">
        <v>323.14999999999998</v>
      </c>
      <c r="GR96" s="24">
        <v>323.14999999999998</v>
      </c>
      <c r="GS96" s="24">
        <v>290.42</v>
      </c>
      <c r="GT96" s="24">
        <v>290.42</v>
      </c>
      <c r="GU96" s="24">
        <v>274.56</v>
      </c>
      <c r="GV96" s="24">
        <v>274.56</v>
      </c>
      <c r="GW96" s="24">
        <v>223.94000000000003</v>
      </c>
      <c r="GX96" s="24">
        <v>223.94000000000003</v>
      </c>
      <c r="GY96" s="24">
        <v>259.07</v>
      </c>
      <c r="GZ96" s="24">
        <v>259.07</v>
      </c>
      <c r="HA96" s="24">
        <v>139.86000000000001</v>
      </c>
      <c r="HB96" s="24">
        <v>139.86000000000001</v>
      </c>
      <c r="HC96" s="24">
        <v>244</v>
      </c>
      <c r="HD96" s="24">
        <v>244</v>
      </c>
      <c r="HE96" s="24">
        <v>234.17</v>
      </c>
      <c r="HF96" s="24">
        <v>234.17</v>
      </c>
      <c r="HG96" s="24">
        <v>282.22000000000003</v>
      </c>
      <c r="HH96" s="24">
        <v>282.22000000000003</v>
      </c>
      <c r="HI96" s="24">
        <v>292.41000000000003</v>
      </c>
      <c r="HJ96" s="24">
        <v>292.41000000000003</v>
      </c>
      <c r="HK96" s="24">
        <v>187.6</v>
      </c>
      <c r="HL96" s="24">
        <v>187.6</v>
      </c>
      <c r="HM96" s="24">
        <v>174.61999999999995</v>
      </c>
      <c r="HN96" s="24">
        <v>174.61999999999995</v>
      </c>
      <c r="HO96" s="24">
        <v>300.68</v>
      </c>
      <c r="HP96" s="24">
        <v>300.68</v>
      </c>
      <c r="HQ96" s="24">
        <v>303.70000000000005</v>
      </c>
      <c r="HR96" s="24">
        <v>303.70000000000005</v>
      </c>
      <c r="HS96" s="24">
        <v>264.78000000000003</v>
      </c>
      <c r="HT96" s="24">
        <v>264.78000000000003</v>
      </c>
      <c r="HU96" s="24">
        <v>282.95999999999998</v>
      </c>
      <c r="HV96" s="24">
        <v>282.95999999999998</v>
      </c>
      <c r="HW96" s="24">
        <v>192.46</v>
      </c>
      <c r="HX96" s="24">
        <v>192.46</v>
      </c>
      <c r="HY96" s="24">
        <v>278.96999999999997</v>
      </c>
      <c r="HZ96" s="24">
        <v>278.96999999999997</v>
      </c>
      <c r="IA96" s="24">
        <v>212.98000000000002</v>
      </c>
      <c r="IB96" s="24">
        <v>212.98000000000002</v>
      </c>
      <c r="IC96" s="24">
        <v>298.93</v>
      </c>
      <c r="ID96" s="24">
        <v>298.93</v>
      </c>
      <c r="IE96" s="24">
        <v>315.97999999999996</v>
      </c>
      <c r="IF96" s="24">
        <v>315.97999999999996</v>
      </c>
      <c r="IG96" s="24">
        <v>169.06</v>
      </c>
      <c r="IH96" s="24">
        <v>169.06</v>
      </c>
      <c r="II96" s="24">
        <v>250.92000000000002</v>
      </c>
      <c r="IJ96" s="24">
        <v>250.92000000000002</v>
      </c>
      <c r="IK96" s="24"/>
      <c r="IL96" s="24"/>
      <c r="IM96" s="24"/>
      <c r="IN96" s="24"/>
      <c r="IO96" s="24"/>
      <c r="IP96" s="24"/>
      <c r="IQ96" s="24"/>
      <c r="IR96" s="24"/>
      <c r="IS96" s="24">
        <f t="shared" si="217"/>
        <v>6424.0999999999995</v>
      </c>
      <c r="IT96" s="24">
        <f t="shared" si="218"/>
        <v>6424.0999999999995</v>
      </c>
      <c r="IU96" s="24">
        <v>234.77999999999997</v>
      </c>
      <c r="IV96" s="24">
        <v>234.77999999999997</v>
      </c>
      <c r="IW96" s="24">
        <v>205.66</v>
      </c>
      <c r="IX96" s="24">
        <v>205.66</v>
      </c>
      <c r="IY96" s="24">
        <v>271.85000000000002</v>
      </c>
      <c r="IZ96" s="24">
        <v>271.85000000000002</v>
      </c>
      <c r="JA96" s="24">
        <v>202.83999999999997</v>
      </c>
      <c r="JB96" s="24">
        <v>202.83999999999997</v>
      </c>
      <c r="JC96" s="24">
        <v>204.08</v>
      </c>
      <c r="JD96" s="24">
        <v>204.08</v>
      </c>
      <c r="JE96" s="24">
        <v>201.22</v>
      </c>
      <c r="JF96" s="24">
        <v>201.22</v>
      </c>
      <c r="JG96" s="24">
        <v>306.10000000000002</v>
      </c>
      <c r="JH96" s="24">
        <v>306.10000000000002</v>
      </c>
      <c r="JI96" s="24">
        <v>229.08</v>
      </c>
      <c r="JJ96" s="24">
        <v>229.08</v>
      </c>
      <c r="JK96" s="24">
        <v>175.52</v>
      </c>
      <c r="JL96" s="24">
        <v>175.52</v>
      </c>
      <c r="JM96" s="24">
        <v>228.68</v>
      </c>
      <c r="JN96" s="24">
        <v>228.68</v>
      </c>
      <c r="JO96" s="24">
        <v>250.75</v>
      </c>
      <c r="JP96" s="24">
        <v>250.75</v>
      </c>
      <c r="JQ96" s="24">
        <v>132.19999999999999</v>
      </c>
      <c r="JR96" s="24">
        <v>132.19999999999999</v>
      </c>
      <c r="JS96" s="24">
        <v>180.56</v>
      </c>
      <c r="JT96" s="24">
        <v>180.56</v>
      </c>
      <c r="JU96" s="24"/>
      <c r="JV96" s="24"/>
      <c r="JW96" s="24"/>
      <c r="JX96" s="24"/>
      <c r="JY96" s="24"/>
      <c r="JZ96" s="24"/>
      <c r="KA96" s="24"/>
      <c r="KB96" s="24"/>
      <c r="KC96" s="24"/>
      <c r="KD96" s="24"/>
      <c r="KE96" s="24"/>
      <c r="KF96" s="24"/>
      <c r="KG96" s="24"/>
      <c r="KH96" s="24"/>
      <c r="KI96" s="24"/>
      <c r="KJ96" s="24"/>
      <c r="KK96" s="24"/>
      <c r="KL96" s="24"/>
      <c r="KM96" s="24"/>
      <c r="KN96" s="24"/>
      <c r="KO96" s="24"/>
      <c r="KP96" s="24"/>
      <c r="KQ96" s="24"/>
      <c r="KR96" s="24"/>
      <c r="KS96" s="24"/>
      <c r="KT96" s="24"/>
      <c r="KU96" s="24"/>
      <c r="KV96" s="24"/>
      <c r="KW96" s="24"/>
      <c r="KX96" s="24"/>
      <c r="KY96" s="24"/>
      <c r="KZ96" s="24"/>
      <c r="LA96" s="24"/>
      <c r="LB96" s="24"/>
      <c r="LC96" s="24"/>
      <c r="LD96" s="24"/>
      <c r="LE96" s="24">
        <f t="shared" si="219"/>
        <v>2823.3199999999993</v>
      </c>
      <c r="LF96" s="24">
        <f t="shared" si="220"/>
        <v>2823.3199999999993</v>
      </c>
      <c r="LG96" s="24"/>
      <c r="LH96" s="24"/>
      <c r="LI96" s="24"/>
      <c r="LJ96" s="24"/>
      <c r="LK96" s="24"/>
      <c r="LL96" s="24"/>
      <c r="LM96" s="24"/>
      <c r="LN96" s="24"/>
      <c r="LO96" s="24"/>
      <c r="LP96" s="24"/>
      <c r="LQ96" s="24"/>
      <c r="LR96" s="24"/>
      <c r="LS96" s="24"/>
      <c r="LT96" s="24"/>
      <c r="LU96" s="24"/>
      <c r="LV96" s="24"/>
      <c r="LW96" s="24"/>
      <c r="LX96" s="24"/>
      <c r="LY96" s="24"/>
      <c r="LZ96" s="24"/>
      <c r="MA96" s="24"/>
      <c r="MB96" s="24"/>
      <c r="MC96" s="24"/>
      <c r="MD96" s="24"/>
      <c r="ME96" s="24"/>
      <c r="MF96" s="24"/>
      <c r="MG96" s="24"/>
      <c r="MH96" s="24"/>
      <c r="MI96" s="24"/>
      <c r="MJ96" s="24"/>
      <c r="MK96" s="24"/>
      <c r="ML96" s="24"/>
      <c r="MM96" s="24"/>
      <c r="MN96" s="24"/>
      <c r="MO96" s="24"/>
      <c r="MP96" s="24"/>
      <c r="MQ96" s="24"/>
      <c r="MR96" s="24"/>
      <c r="MS96" s="24"/>
      <c r="MT96" s="24"/>
      <c r="MU96" s="24"/>
      <c r="MV96" s="24"/>
      <c r="MW96" s="24"/>
      <c r="MX96" s="24"/>
      <c r="MY96" s="24"/>
      <c r="MZ96" s="24"/>
      <c r="NA96" s="24"/>
      <c r="NB96" s="24"/>
      <c r="NC96" s="24"/>
      <c r="ND96" s="24"/>
      <c r="NE96" s="24"/>
      <c r="NF96" s="24"/>
      <c r="NG96" s="24"/>
      <c r="NH96" s="24"/>
      <c r="NI96" s="24"/>
      <c r="NJ96" s="24"/>
      <c r="NK96" s="24"/>
      <c r="NL96" s="24"/>
      <c r="NM96" s="24"/>
      <c r="NN96" s="24"/>
      <c r="NO96" s="24">
        <f t="shared" si="221"/>
        <v>0</v>
      </c>
      <c r="NP96" s="24">
        <f t="shared" si="222"/>
        <v>0</v>
      </c>
      <c r="NQ96" s="24"/>
      <c r="NR96" s="24"/>
      <c r="NS96" s="24"/>
      <c r="NT96" s="24"/>
      <c r="NU96" s="24"/>
      <c r="NV96" s="24"/>
      <c r="NW96" s="24"/>
      <c r="NX96" s="24"/>
      <c r="NY96" s="24"/>
      <c r="NZ96" s="24"/>
      <c r="OA96" s="24"/>
      <c r="OB96" s="24"/>
      <c r="OC96" s="24"/>
      <c r="OD96" s="24"/>
      <c r="OE96" s="24"/>
      <c r="OF96" s="24"/>
      <c r="OG96" s="24"/>
      <c r="OH96" s="24"/>
      <c r="OI96" s="24"/>
      <c r="OJ96" s="24"/>
      <c r="OK96" s="24"/>
      <c r="OL96" s="24"/>
      <c r="OM96" s="24"/>
      <c r="ON96" s="24"/>
      <c r="OO96" s="24"/>
      <c r="OP96" s="24"/>
      <c r="OQ96" s="24"/>
      <c r="OR96" s="24"/>
      <c r="OS96" s="24"/>
      <c r="OT96" s="24"/>
      <c r="OU96" s="24"/>
      <c r="OV96" s="24"/>
      <c r="OW96" s="24"/>
      <c r="OX96" s="24"/>
      <c r="OY96" s="24"/>
      <c r="OZ96" s="24"/>
      <c r="PA96" s="24"/>
      <c r="PB96" s="24"/>
      <c r="PC96" s="24"/>
      <c r="PD96" s="24"/>
      <c r="PE96" s="24"/>
      <c r="PF96" s="24"/>
      <c r="PG96" s="24"/>
      <c r="PH96" s="24"/>
      <c r="PI96" s="24"/>
      <c r="PJ96" s="24"/>
      <c r="PK96" s="24"/>
      <c r="PL96" s="24"/>
      <c r="PM96" s="24"/>
      <c r="PN96" s="24"/>
      <c r="PO96" s="24"/>
      <c r="PP96" s="24"/>
      <c r="PQ96" s="24"/>
      <c r="PR96" s="24"/>
      <c r="PS96" s="24"/>
      <c r="PT96" s="24"/>
      <c r="PU96" s="24"/>
      <c r="PV96" s="24"/>
      <c r="PW96" s="24"/>
      <c r="PX96" s="24"/>
      <c r="PY96" s="24"/>
      <c r="PZ96" s="24"/>
      <c r="QA96" s="24">
        <f t="shared" si="223"/>
        <v>0</v>
      </c>
      <c r="QB96" s="24">
        <f t="shared" si="224"/>
        <v>0</v>
      </c>
      <c r="QC96" s="24"/>
      <c r="QD96" s="24"/>
      <c r="QE96" s="24"/>
      <c r="QF96" s="24"/>
      <c r="QG96" s="24"/>
      <c r="QH96" s="24"/>
      <c r="QI96" s="24"/>
      <c r="QJ96" s="24"/>
      <c r="QK96" s="24"/>
      <c r="QL96" s="24"/>
      <c r="QM96" s="24"/>
      <c r="QN96" s="24"/>
      <c r="QO96" s="24"/>
      <c r="QP96" s="24"/>
      <c r="QQ96" s="24"/>
      <c r="QR96" s="24"/>
      <c r="QS96" s="24"/>
      <c r="QT96" s="24"/>
      <c r="QU96" s="24"/>
      <c r="QV96" s="24"/>
      <c r="QW96" s="24"/>
      <c r="QX96" s="24"/>
      <c r="QY96" s="24"/>
      <c r="QZ96" s="24"/>
      <c r="RA96" s="24"/>
      <c r="RB96" s="24"/>
      <c r="RC96" s="24"/>
      <c r="RD96" s="24"/>
      <c r="RE96" s="24"/>
      <c r="RF96" s="24"/>
      <c r="RG96" s="24"/>
      <c r="RH96" s="24"/>
      <c r="RI96" s="24"/>
      <c r="RJ96" s="24"/>
      <c r="RK96" s="24"/>
      <c r="RL96" s="24"/>
      <c r="RM96" s="24"/>
      <c r="RN96" s="24"/>
      <c r="RO96" s="24"/>
      <c r="RP96" s="24"/>
      <c r="RQ96" s="24"/>
      <c r="RR96" s="24"/>
      <c r="RS96" s="24"/>
      <c r="RT96" s="24"/>
      <c r="RU96" s="24"/>
      <c r="RV96" s="24"/>
      <c r="RW96" s="24"/>
      <c r="RX96" s="24"/>
      <c r="RY96" s="24"/>
      <c r="RZ96" s="24"/>
      <c r="SA96" s="24"/>
      <c r="SB96" s="24"/>
      <c r="SC96" s="24"/>
      <c r="SD96" s="24"/>
      <c r="SE96" s="24"/>
      <c r="SF96" s="24"/>
      <c r="SG96" s="24"/>
      <c r="SH96" s="24"/>
      <c r="SI96" s="24"/>
      <c r="SJ96" s="24"/>
      <c r="SK96" s="24"/>
      <c r="SL96" s="24"/>
      <c r="SM96" s="24">
        <f t="shared" si="225"/>
        <v>0</v>
      </c>
      <c r="SN96" s="24">
        <f t="shared" si="226"/>
        <v>0</v>
      </c>
      <c r="SO96" s="24"/>
      <c r="SP96" s="24"/>
      <c r="SQ96" s="24"/>
      <c r="SR96" s="24"/>
      <c r="SS96" s="24"/>
      <c r="ST96" s="24"/>
      <c r="SU96" s="24"/>
      <c r="SV96" s="24"/>
      <c r="SW96" s="24"/>
      <c r="SX96" s="24"/>
      <c r="SY96" s="24"/>
      <c r="SZ96" s="24"/>
      <c r="TA96" s="24"/>
      <c r="TB96" s="24"/>
      <c r="TC96" s="24"/>
      <c r="TD96" s="24"/>
      <c r="TE96" s="24"/>
      <c r="TF96" s="24"/>
      <c r="TG96" s="24"/>
      <c r="TH96" s="24"/>
      <c r="TI96" s="24"/>
      <c r="TJ96" s="24"/>
      <c r="TK96" s="24"/>
      <c r="TL96" s="24"/>
      <c r="TM96" s="24"/>
      <c r="TN96" s="24"/>
      <c r="TO96" s="24"/>
      <c r="TP96" s="24"/>
      <c r="TQ96" s="24"/>
      <c r="TR96" s="24"/>
      <c r="TS96" s="24"/>
      <c r="TT96" s="24"/>
      <c r="TU96" s="24"/>
      <c r="TV96" s="24"/>
      <c r="TW96" s="24"/>
      <c r="TX96" s="24"/>
      <c r="TY96" s="24"/>
      <c r="TZ96" s="24"/>
      <c r="UA96" s="24"/>
      <c r="UB96" s="24"/>
      <c r="UC96" s="24"/>
      <c r="UD96" s="24"/>
      <c r="UE96" s="24"/>
      <c r="UF96" s="24"/>
      <c r="UG96" s="24"/>
      <c r="UH96" s="24"/>
      <c r="UI96" s="24"/>
      <c r="UJ96" s="24"/>
      <c r="UK96" s="24"/>
      <c r="UL96" s="24"/>
      <c r="UM96" s="24"/>
      <c r="UN96" s="24"/>
      <c r="UO96" s="24"/>
      <c r="UP96" s="24"/>
      <c r="UQ96" s="24"/>
      <c r="UR96" s="24"/>
      <c r="US96" s="24"/>
      <c r="UT96" s="24"/>
      <c r="UU96" s="24"/>
      <c r="UV96" s="24"/>
      <c r="UW96" s="24">
        <f t="shared" si="227"/>
        <v>0</v>
      </c>
      <c r="UX96" s="24">
        <f t="shared" si="228"/>
        <v>0</v>
      </c>
      <c r="UY96" s="24"/>
      <c r="UZ96" s="24"/>
      <c r="VA96" s="24"/>
      <c r="VB96" s="24"/>
      <c r="VC96" s="24"/>
      <c r="VD96" s="24"/>
      <c r="VE96" s="24"/>
      <c r="VF96" s="24"/>
      <c r="VG96" s="24"/>
      <c r="VH96" s="24"/>
      <c r="VI96" s="24"/>
      <c r="VJ96" s="24"/>
      <c r="VK96" s="24"/>
      <c r="VL96" s="24"/>
      <c r="VM96" s="24"/>
      <c r="VN96" s="24"/>
      <c r="VO96" s="24"/>
      <c r="VP96" s="24"/>
      <c r="VQ96" s="24"/>
      <c r="VR96" s="24"/>
      <c r="VS96" s="24"/>
      <c r="VT96" s="24"/>
      <c r="VU96" s="24"/>
      <c r="VV96" s="24"/>
      <c r="VW96" s="24"/>
      <c r="VX96" s="24"/>
      <c r="VY96" s="24"/>
      <c r="VZ96" s="24"/>
      <c r="WA96" s="24"/>
      <c r="WB96" s="24"/>
      <c r="WC96" s="24"/>
      <c r="WD96" s="24"/>
      <c r="WE96" s="24"/>
      <c r="WF96" s="24"/>
      <c r="WG96" s="24"/>
      <c r="WH96" s="24"/>
      <c r="WI96" s="24"/>
      <c r="WJ96" s="24"/>
      <c r="WK96" s="24"/>
      <c r="WL96" s="24"/>
      <c r="WM96" s="24"/>
      <c r="WN96" s="24"/>
      <c r="WO96" s="24"/>
      <c r="WP96" s="24"/>
      <c r="WQ96" s="24"/>
      <c r="WR96" s="24"/>
      <c r="WS96" s="24"/>
      <c r="WT96" s="24"/>
      <c r="WU96" s="24"/>
      <c r="WV96" s="24"/>
      <c r="WW96" s="24"/>
      <c r="WX96" s="24"/>
      <c r="WY96" s="24"/>
      <c r="WZ96" s="24"/>
      <c r="XA96" s="24"/>
      <c r="XB96" s="24"/>
      <c r="XC96" s="24"/>
      <c r="XD96" s="24"/>
      <c r="XE96" s="24"/>
      <c r="XF96" s="24"/>
      <c r="XG96" s="24"/>
      <c r="XH96" s="24"/>
      <c r="XI96" s="24">
        <f t="shared" si="229"/>
        <v>0</v>
      </c>
      <c r="XJ96" s="24">
        <f t="shared" si="230"/>
        <v>0</v>
      </c>
      <c r="XK96" s="24"/>
      <c r="XL96" s="24"/>
      <c r="XM96" s="24"/>
      <c r="XN96" s="24"/>
      <c r="XO96" s="24"/>
      <c r="XP96" s="24"/>
      <c r="XQ96" s="24"/>
      <c r="XR96" s="24"/>
      <c r="XS96" s="24"/>
      <c r="XT96" s="24"/>
      <c r="XU96" s="24"/>
      <c r="XV96" s="24"/>
      <c r="XW96" s="24"/>
      <c r="XX96" s="24"/>
      <c r="XY96" s="24"/>
      <c r="XZ96" s="24"/>
      <c r="YA96" s="24"/>
      <c r="YB96" s="24"/>
      <c r="YC96" s="24"/>
      <c r="YD96" s="24"/>
      <c r="YE96" s="24"/>
      <c r="YF96" s="24"/>
      <c r="YG96" s="24"/>
      <c r="YH96" s="24"/>
      <c r="YI96" s="24"/>
      <c r="YJ96" s="24"/>
      <c r="YK96" s="24"/>
      <c r="YL96" s="24"/>
      <c r="YM96" s="24"/>
      <c r="YN96" s="24"/>
      <c r="YO96" s="24"/>
      <c r="YP96" s="24"/>
      <c r="YQ96" s="24"/>
      <c r="YR96" s="24"/>
      <c r="YS96" s="24"/>
      <c r="YT96" s="24"/>
      <c r="YU96" s="24"/>
      <c r="YV96" s="24"/>
      <c r="YW96" s="24"/>
      <c r="YX96" s="24"/>
      <c r="YY96" s="24"/>
      <c r="YZ96" s="24"/>
      <c r="ZA96" s="24"/>
      <c r="ZB96" s="24"/>
      <c r="ZC96" s="24"/>
      <c r="ZD96" s="24"/>
      <c r="ZE96" s="24"/>
      <c r="ZF96" s="24"/>
      <c r="ZG96" s="24"/>
      <c r="ZH96" s="24"/>
      <c r="ZI96" s="24"/>
      <c r="ZJ96" s="24"/>
      <c r="ZK96" s="24"/>
      <c r="ZL96" s="24"/>
      <c r="ZM96" s="24"/>
      <c r="ZN96" s="24"/>
      <c r="ZO96" s="24"/>
      <c r="ZP96" s="24"/>
      <c r="ZQ96" s="24"/>
      <c r="ZR96" s="24"/>
      <c r="ZS96" s="24">
        <f t="shared" si="231"/>
        <v>0</v>
      </c>
      <c r="ZT96" s="24">
        <f t="shared" si="232"/>
        <v>0</v>
      </c>
      <c r="ZU96" s="24"/>
      <c r="ZV96" s="24"/>
      <c r="ZW96" s="24"/>
      <c r="ZX96" s="24"/>
      <c r="ZY96" s="24"/>
      <c r="ZZ96" s="24"/>
      <c r="AAA96" s="24"/>
      <c r="AAB96" s="24"/>
      <c r="AAC96" s="24"/>
      <c r="AAD96" s="24"/>
      <c r="AAE96" s="24"/>
      <c r="AAF96" s="24"/>
      <c r="AAG96" s="24"/>
      <c r="AAH96" s="24"/>
      <c r="AAI96" s="24"/>
      <c r="AAJ96" s="24"/>
      <c r="AAK96" s="24"/>
      <c r="AAL96" s="24"/>
      <c r="AAM96" s="24"/>
      <c r="AAN96" s="24"/>
      <c r="AAO96" s="24"/>
      <c r="AAP96" s="24"/>
      <c r="AAQ96" s="24"/>
      <c r="AAR96" s="24"/>
      <c r="AAS96" s="24"/>
      <c r="AAT96" s="24"/>
      <c r="AAU96" s="24"/>
      <c r="AAV96" s="24"/>
      <c r="AAW96" s="24"/>
      <c r="AAX96" s="24"/>
      <c r="AAY96" s="24"/>
      <c r="AAZ96" s="24"/>
      <c r="ABA96" s="24"/>
      <c r="ABB96" s="24"/>
      <c r="ABC96" s="24"/>
      <c r="ABD96" s="24"/>
      <c r="ABE96" s="24"/>
      <c r="ABF96" s="24"/>
      <c r="ABG96" s="24"/>
      <c r="ABH96" s="24"/>
      <c r="ABI96" s="24"/>
      <c r="ABJ96" s="24"/>
      <c r="ABK96" s="24"/>
      <c r="ABL96" s="24"/>
      <c r="ABM96" s="24"/>
      <c r="ABN96" s="24"/>
      <c r="ABO96" s="24"/>
      <c r="ABP96" s="24"/>
      <c r="ABQ96" s="24"/>
      <c r="ABR96" s="24"/>
      <c r="ABS96" s="24"/>
      <c r="ABT96" s="24"/>
      <c r="ABU96" s="24"/>
      <c r="ABV96" s="24"/>
      <c r="ABW96" s="24"/>
      <c r="ABX96" s="24"/>
      <c r="ABY96" s="24"/>
      <c r="ABZ96" s="24"/>
      <c r="ACA96" s="24"/>
      <c r="ACB96" s="24"/>
      <c r="ACC96" s="24"/>
      <c r="ACD96" s="24"/>
      <c r="ACE96" s="24">
        <f t="shared" si="233"/>
        <v>0</v>
      </c>
      <c r="ACF96" s="24"/>
      <c r="ACG96" s="24">
        <f t="shared" si="234"/>
        <v>33200.129999999997</v>
      </c>
      <c r="ACH96" s="25"/>
      <c r="ACI96" s="71" t="s">
        <v>187</v>
      </c>
      <c r="ACJ96" s="71" t="s">
        <v>92</v>
      </c>
    </row>
    <row r="97" spans="1:764" x14ac:dyDescent="0.25">
      <c r="A97" s="162"/>
      <c r="B97" s="152"/>
      <c r="C97" s="155"/>
      <c r="D97" s="50" t="s">
        <v>7</v>
      </c>
      <c r="E97" s="74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24" cm="1">
        <f t="array" ref="BO97">SUMPRODUCT(E97:BM97,--(E$2:BM$2=BO$2))</f>
        <v>0</v>
      </c>
      <c r="BP97" s="24" cm="1">
        <f t="array" ref="BP97">SUMPRODUCT(F97:BN97,--(F$2:BN$2=BP$2))</f>
        <v>0</v>
      </c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4"/>
      <c r="DC97" s="24"/>
      <c r="DD97" s="24"/>
      <c r="DE97" s="24"/>
      <c r="DF97" s="24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4"/>
      <c r="DV97" s="24"/>
      <c r="DW97" s="24" cm="1">
        <f t="array" ref="DW97">SUMPRODUCT(BQ97:DU97,--(BQ$2:DU$2=DW$2))</f>
        <v>0</v>
      </c>
      <c r="DX97" s="24" cm="1">
        <f t="array" ref="DX97">SUMPRODUCT(BR97:DV97,--(BR$2:DV$2=DX$2))</f>
        <v>0</v>
      </c>
      <c r="DY97" s="24"/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  <c r="FC97" s="24"/>
      <c r="FD97" s="24"/>
      <c r="FE97" s="24"/>
      <c r="FF97" s="24"/>
      <c r="FG97" s="24"/>
      <c r="FH97" s="24"/>
      <c r="FI97" s="24"/>
      <c r="FJ97" s="24"/>
      <c r="FK97" s="24"/>
      <c r="FL97" s="24"/>
      <c r="FM97" s="24"/>
      <c r="FN97" s="24"/>
      <c r="FO97" s="24"/>
      <c r="FP97" s="24"/>
      <c r="FQ97" s="24"/>
      <c r="FR97" s="24"/>
      <c r="FS97" s="24"/>
      <c r="FT97" s="24"/>
      <c r="FU97" s="24"/>
      <c r="FV97" s="24"/>
      <c r="FW97" s="24"/>
      <c r="FX97" s="24"/>
      <c r="FY97" s="24"/>
      <c r="FZ97" s="24"/>
      <c r="GA97" s="24"/>
      <c r="GB97" s="24"/>
      <c r="GC97" s="24"/>
      <c r="GD97" s="24"/>
      <c r="GE97" s="24"/>
      <c r="GF97" s="24"/>
      <c r="GG97" s="24"/>
      <c r="GH97" s="24"/>
      <c r="GI97" s="24" cm="1">
        <f t="array" ref="GI97">SUMPRODUCT(DY97:GG97,--(DY$2:GG$2=GI$2))</f>
        <v>0</v>
      </c>
      <c r="GJ97" s="24" cm="1">
        <f t="array" ref="GJ97">SUMPRODUCT(DZ97:GH97,--(DZ$2:GH$2=GJ$2))</f>
        <v>0</v>
      </c>
      <c r="GK97" s="24"/>
      <c r="GL97" s="24"/>
      <c r="GM97" s="24"/>
      <c r="GN97" s="24"/>
      <c r="GO97" s="24"/>
      <c r="GP97" s="24"/>
      <c r="GQ97" s="24"/>
      <c r="GR97" s="24"/>
      <c r="GS97" s="24"/>
      <c r="GT97" s="24"/>
      <c r="GU97" s="24"/>
      <c r="GV97" s="24"/>
      <c r="GW97" s="24"/>
      <c r="GX97" s="24"/>
      <c r="GY97" s="24"/>
      <c r="GZ97" s="24"/>
      <c r="HA97" s="24"/>
      <c r="HB97" s="24"/>
      <c r="HC97" s="24"/>
      <c r="HD97" s="24"/>
      <c r="HE97" s="24"/>
      <c r="HF97" s="24"/>
      <c r="HG97" s="24"/>
      <c r="HH97" s="24"/>
      <c r="HI97" s="24"/>
      <c r="HJ97" s="24"/>
      <c r="HK97" s="24"/>
      <c r="HL97" s="24"/>
      <c r="HM97" s="24"/>
      <c r="HN97" s="24"/>
      <c r="HO97" s="24"/>
      <c r="HP97" s="24"/>
      <c r="HQ97" s="24"/>
      <c r="HR97" s="24"/>
      <c r="HS97" s="24"/>
      <c r="HT97" s="24"/>
      <c r="HU97" s="24"/>
      <c r="HV97" s="24"/>
      <c r="HW97" s="24"/>
      <c r="HX97" s="24"/>
      <c r="HY97" s="24"/>
      <c r="HZ97" s="24"/>
      <c r="IA97" s="24"/>
      <c r="IB97" s="24"/>
      <c r="IC97" s="24"/>
      <c r="ID97" s="24"/>
      <c r="IE97" s="24"/>
      <c r="IF97" s="24"/>
      <c r="IG97" s="24"/>
      <c r="IH97" s="24"/>
      <c r="II97" s="24"/>
      <c r="IJ97" s="24"/>
      <c r="IK97" s="24"/>
      <c r="IL97" s="24"/>
      <c r="IM97" s="24"/>
      <c r="IN97" s="24"/>
      <c r="IO97" s="24"/>
      <c r="IP97" s="24"/>
      <c r="IQ97" s="24"/>
      <c r="IR97" s="24"/>
      <c r="IS97" s="24">
        <f t="shared" si="217"/>
        <v>0</v>
      </c>
      <c r="IT97" s="24">
        <f t="shared" si="218"/>
        <v>0</v>
      </c>
      <c r="IU97" s="24"/>
      <c r="IV97" s="24"/>
      <c r="IW97" s="24"/>
      <c r="IX97" s="24"/>
      <c r="IY97" s="24"/>
      <c r="IZ97" s="24"/>
      <c r="JA97" s="24"/>
      <c r="JB97" s="24"/>
      <c r="JC97" s="24"/>
      <c r="JD97" s="24"/>
      <c r="JE97" s="24"/>
      <c r="JF97" s="24"/>
      <c r="JG97" s="24"/>
      <c r="JH97" s="24"/>
      <c r="JI97" s="24"/>
      <c r="JJ97" s="24"/>
      <c r="JK97" s="24"/>
      <c r="JL97" s="24"/>
      <c r="JM97" s="24"/>
      <c r="JN97" s="24"/>
      <c r="JO97" s="24"/>
      <c r="JP97" s="24"/>
      <c r="JQ97" s="24"/>
      <c r="JR97" s="24"/>
      <c r="JS97" s="24"/>
      <c r="JT97" s="24"/>
      <c r="JU97" s="24"/>
      <c r="JV97" s="24"/>
      <c r="JW97" s="24"/>
      <c r="JX97" s="24"/>
      <c r="JY97" s="24"/>
      <c r="JZ97" s="24"/>
      <c r="KA97" s="24"/>
      <c r="KB97" s="24"/>
      <c r="KC97" s="24"/>
      <c r="KD97" s="24"/>
      <c r="KE97" s="24"/>
      <c r="KF97" s="24"/>
      <c r="KG97" s="24"/>
      <c r="KH97" s="24"/>
      <c r="KI97" s="24"/>
      <c r="KJ97" s="24"/>
      <c r="KK97" s="24"/>
      <c r="KL97" s="24"/>
      <c r="KM97" s="24"/>
      <c r="KN97" s="24"/>
      <c r="KO97" s="24"/>
      <c r="KP97" s="24"/>
      <c r="KQ97" s="24"/>
      <c r="KR97" s="24"/>
      <c r="KS97" s="24"/>
      <c r="KT97" s="24"/>
      <c r="KU97" s="24"/>
      <c r="KV97" s="24"/>
      <c r="KW97" s="24"/>
      <c r="KX97" s="24"/>
      <c r="KY97" s="24"/>
      <c r="KZ97" s="24"/>
      <c r="LA97" s="24"/>
      <c r="LB97" s="24"/>
      <c r="LC97" s="24"/>
      <c r="LD97" s="24"/>
      <c r="LE97" s="24">
        <f t="shared" si="219"/>
        <v>0</v>
      </c>
      <c r="LF97" s="24">
        <f t="shared" si="220"/>
        <v>0</v>
      </c>
      <c r="LG97" s="24"/>
      <c r="LH97" s="24"/>
      <c r="LI97" s="24"/>
      <c r="LJ97" s="24"/>
      <c r="LK97" s="24"/>
      <c r="LL97" s="24"/>
      <c r="LM97" s="24"/>
      <c r="LN97" s="24"/>
      <c r="LO97" s="24"/>
      <c r="LP97" s="24"/>
      <c r="LQ97" s="24"/>
      <c r="LR97" s="24"/>
      <c r="LS97" s="24"/>
      <c r="LT97" s="24"/>
      <c r="LU97" s="24"/>
      <c r="LV97" s="24"/>
      <c r="LW97" s="24"/>
      <c r="LX97" s="24"/>
      <c r="LY97" s="24"/>
      <c r="LZ97" s="24"/>
      <c r="MA97" s="24"/>
      <c r="MB97" s="24"/>
      <c r="MC97" s="24"/>
      <c r="MD97" s="24"/>
      <c r="ME97" s="24"/>
      <c r="MF97" s="24"/>
      <c r="MG97" s="24"/>
      <c r="MH97" s="24"/>
      <c r="MI97" s="24"/>
      <c r="MJ97" s="24"/>
      <c r="MK97" s="24"/>
      <c r="ML97" s="24"/>
      <c r="MM97" s="24"/>
      <c r="MN97" s="24"/>
      <c r="MO97" s="24"/>
      <c r="MP97" s="24"/>
      <c r="MQ97" s="24"/>
      <c r="MR97" s="24"/>
      <c r="MS97" s="24"/>
      <c r="MT97" s="24"/>
      <c r="MU97" s="24"/>
      <c r="MV97" s="24"/>
      <c r="MW97" s="24"/>
      <c r="MX97" s="24"/>
      <c r="MY97" s="24"/>
      <c r="MZ97" s="24"/>
      <c r="NA97" s="24"/>
      <c r="NB97" s="24"/>
      <c r="NC97" s="24"/>
      <c r="ND97" s="24"/>
      <c r="NE97" s="24"/>
      <c r="NF97" s="24"/>
      <c r="NG97" s="24"/>
      <c r="NH97" s="24"/>
      <c r="NI97" s="24"/>
      <c r="NJ97" s="24"/>
      <c r="NK97" s="24"/>
      <c r="NL97" s="24"/>
      <c r="NM97" s="24"/>
      <c r="NN97" s="24"/>
      <c r="NO97" s="24">
        <f t="shared" si="221"/>
        <v>0</v>
      </c>
      <c r="NP97" s="24">
        <f t="shared" si="222"/>
        <v>0</v>
      </c>
      <c r="NQ97" s="24"/>
      <c r="NR97" s="24"/>
      <c r="NS97" s="24"/>
      <c r="NT97" s="24"/>
      <c r="NU97" s="24"/>
      <c r="NV97" s="24"/>
      <c r="NW97" s="24"/>
      <c r="NX97" s="24"/>
      <c r="NY97" s="24"/>
      <c r="NZ97" s="24"/>
      <c r="OA97" s="24"/>
      <c r="OB97" s="24"/>
      <c r="OC97" s="24"/>
      <c r="OD97" s="24"/>
      <c r="OE97" s="24"/>
      <c r="OF97" s="24"/>
      <c r="OG97" s="24"/>
      <c r="OH97" s="24"/>
      <c r="OI97" s="24"/>
      <c r="OJ97" s="24"/>
      <c r="OK97" s="24"/>
      <c r="OL97" s="24"/>
      <c r="OM97" s="24"/>
      <c r="ON97" s="24"/>
      <c r="OO97" s="24"/>
      <c r="OP97" s="24"/>
      <c r="OQ97" s="24"/>
      <c r="OR97" s="24"/>
      <c r="OS97" s="24"/>
      <c r="OT97" s="24"/>
      <c r="OU97" s="24"/>
      <c r="OV97" s="24"/>
      <c r="OW97" s="24"/>
      <c r="OX97" s="24"/>
      <c r="OY97" s="24"/>
      <c r="OZ97" s="24"/>
      <c r="PA97" s="24"/>
      <c r="PB97" s="24"/>
      <c r="PC97" s="24"/>
      <c r="PD97" s="24"/>
      <c r="PE97" s="24"/>
      <c r="PF97" s="24"/>
      <c r="PG97" s="24"/>
      <c r="PH97" s="24"/>
      <c r="PI97" s="24"/>
      <c r="PJ97" s="24"/>
      <c r="PK97" s="24"/>
      <c r="PL97" s="24"/>
      <c r="PM97" s="24"/>
      <c r="PN97" s="24"/>
      <c r="PO97" s="24"/>
      <c r="PP97" s="24"/>
      <c r="PQ97" s="24"/>
      <c r="PR97" s="24"/>
      <c r="PS97" s="24"/>
      <c r="PT97" s="24"/>
      <c r="PU97" s="24"/>
      <c r="PV97" s="24"/>
      <c r="PW97" s="24"/>
      <c r="PX97" s="24"/>
      <c r="PY97" s="24"/>
      <c r="PZ97" s="24"/>
      <c r="QA97" s="24">
        <f t="shared" si="223"/>
        <v>0</v>
      </c>
      <c r="QB97" s="24">
        <f t="shared" si="224"/>
        <v>0</v>
      </c>
      <c r="QC97" s="24"/>
      <c r="QD97" s="24"/>
      <c r="QE97" s="24"/>
      <c r="QF97" s="24"/>
      <c r="QG97" s="24"/>
      <c r="QH97" s="24"/>
      <c r="QI97" s="24"/>
      <c r="QJ97" s="24"/>
      <c r="QK97" s="24"/>
      <c r="QL97" s="24"/>
      <c r="QM97" s="24"/>
      <c r="QN97" s="24"/>
      <c r="QO97" s="24"/>
      <c r="QP97" s="24"/>
      <c r="QQ97" s="24"/>
      <c r="QR97" s="24"/>
      <c r="QS97" s="24"/>
      <c r="QT97" s="24"/>
      <c r="QU97" s="24"/>
      <c r="QV97" s="24"/>
      <c r="QW97" s="24"/>
      <c r="QX97" s="24"/>
      <c r="QY97" s="24"/>
      <c r="QZ97" s="24"/>
      <c r="RA97" s="24"/>
      <c r="RB97" s="24"/>
      <c r="RC97" s="24"/>
      <c r="RD97" s="24"/>
      <c r="RE97" s="24"/>
      <c r="RF97" s="24"/>
      <c r="RG97" s="24"/>
      <c r="RH97" s="24"/>
      <c r="RI97" s="24"/>
      <c r="RJ97" s="24"/>
      <c r="RK97" s="24"/>
      <c r="RL97" s="24"/>
      <c r="RM97" s="24"/>
      <c r="RN97" s="24"/>
      <c r="RO97" s="24"/>
      <c r="RP97" s="24"/>
      <c r="RQ97" s="24"/>
      <c r="RR97" s="24"/>
      <c r="RS97" s="24"/>
      <c r="RT97" s="24"/>
      <c r="RU97" s="24"/>
      <c r="RV97" s="24"/>
      <c r="RW97" s="24"/>
      <c r="RX97" s="24"/>
      <c r="RY97" s="24"/>
      <c r="RZ97" s="24"/>
      <c r="SA97" s="24"/>
      <c r="SB97" s="24"/>
      <c r="SC97" s="24"/>
      <c r="SD97" s="24"/>
      <c r="SE97" s="24"/>
      <c r="SF97" s="24"/>
      <c r="SG97" s="24"/>
      <c r="SH97" s="24"/>
      <c r="SI97" s="24"/>
      <c r="SJ97" s="24"/>
      <c r="SK97" s="24"/>
      <c r="SL97" s="24"/>
      <c r="SM97" s="24">
        <f t="shared" si="225"/>
        <v>0</v>
      </c>
      <c r="SN97" s="24">
        <f t="shared" si="226"/>
        <v>0</v>
      </c>
      <c r="SO97" s="24"/>
      <c r="SP97" s="24"/>
      <c r="SQ97" s="24"/>
      <c r="SR97" s="24"/>
      <c r="SS97" s="24"/>
      <c r="ST97" s="24"/>
      <c r="SU97" s="24"/>
      <c r="SV97" s="24"/>
      <c r="SW97" s="24"/>
      <c r="SX97" s="24"/>
      <c r="SY97" s="24"/>
      <c r="SZ97" s="24"/>
      <c r="TA97" s="24"/>
      <c r="TB97" s="24"/>
      <c r="TC97" s="24"/>
      <c r="TD97" s="24"/>
      <c r="TE97" s="24"/>
      <c r="TF97" s="24"/>
      <c r="TG97" s="24"/>
      <c r="TH97" s="24"/>
      <c r="TI97" s="24"/>
      <c r="TJ97" s="24"/>
      <c r="TK97" s="24"/>
      <c r="TL97" s="24"/>
      <c r="TM97" s="24"/>
      <c r="TN97" s="24"/>
      <c r="TO97" s="24"/>
      <c r="TP97" s="24"/>
      <c r="TQ97" s="24"/>
      <c r="TR97" s="24"/>
      <c r="TS97" s="24"/>
      <c r="TT97" s="24"/>
      <c r="TU97" s="24"/>
      <c r="TV97" s="24"/>
      <c r="TW97" s="24"/>
      <c r="TX97" s="24"/>
      <c r="TY97" s="24"/>
      <c r="TZ97" s="24"/>
      <c r="UA97" s="24"/>
      <c r="UB97" s="24"/>
      <c r="UC97" s="24"/>
      <c r="UD97" s="24"/>
      <c r="UE97" s="24"/>
      <c r="UF97" s="24"/>
      <c r="UG97" s="24"/>
      <c r="UH97" s="24"/>
      <c r="UI97" s="24"/>
      <c r="UJ97" s="24"/>
      <c r="UK97" s="24"/>
      <c r="UL97" s="24"/>
      <c r="UM97" s="24"/>
      <c r="UN97" s="24"/>
      <c r="UO97" s="24"/>
      <c r="UP97" s="24"/>
      <c r="UQ97" s="24"/>
      <c r="UR97" s="24"/>
      <c r="US97" s="24"/>
      <c r="UT97" s="24"/>
      <c r="UU97" s="24"/>
      <c r="UV97" s="24"/>
      <c r="UW97" s="24">
        <f t="shared" si="227"/>
        <v>0</v>
      </c>
      <c r="UX97" s="24">
        <f t="shared" si="228"/>
        <v>0</v>
      </c>
      <c r="UY97" s="24"/>
      <c r="UZ97" s="24"/>
      <c r="VA97" s="24"/>
      <c r="VB97" s="24"/>
      <c r="VC97" s="24"/>
      <c r="VD97" s="24"/>
      <c r="VE97" s="24"/>
      <c r="VF97" s="24"/>
      <c r="VG97" s="24"/>
      <c r="VH97" s="24"/>
      <c r="VI97" s="24"/>
      <c r="VJ97" s="24"/>
      <c r="VK97" s="24"/>
      <c r="VL97" s="24"/>
      <c r="VM97" s="24"/>
      <c r="VN97" s="24"/>
      <c r="VO97" s="24"/>
      <c r="VP97" s="24"/>
      <c r="VQ97" s="24"/>
      <c r="VR97" s="24"/>
      <c r="VS97" s="24"/>
      <c r="VT97" s="24"/>
      <c r="VU97" s="24"/>
      <c r="VV97" s="24"/>
      <c r="VW97" s="24"/>
      <c r="VX97" s="24"/>
      <c r="VY97" s="24"/>
      <c r="VZ97" s="24"/>
      <c r="WA97" s="24"/>
      <c r="WB97" s="24"/>
      <c r="WC97" s="24"/>
      <c r="WD97" s="24"/>
      <c r="WE97" s="24"/>
      <c r="WF97" s="24"/>
      <c r="WG97" s="24"/>
      <c r="WH97" s="24"/>
      <c r="WI97" s="24"/>
      <c r="WJ97" s="24"/>
      <c r="WK97" s="24"/>
      <c r="WL97" s="24"/>
      <c r="WM97" s="24"/>
      <c r="WN97" s="24"/>
      <c r="WO97" s="24"/>
      <c r="WP97" s="24"/>
      <c r="WQ97" s="24"/>
      <c r="WR97" s="24"/>
      <c r="WS97" s="24"/>
      <c r="WT97" s="24"/>
      <c r="WU97" s="24"/>
      <c r="WV97" s="24"/>
      <c r="WW97" s="24"/>
      <c r="WX97" s="24"/>
      <c r="WY97" s="24"/>
      <c r="WZ97" s="24"/>
      <c r="XA97" s="24"/>
      <c r="XB97" s="24"/>
      <c r="XC97" s="24"/>
      <c r="XD97" s="24"/>
      <c r="XE97" s="24"/>
      <c r="XF97" s="24"/>
      <c r="XG97" s="24"/>
      <c r="XH97" s="24"/>
      <c r="XI97" s="24">
        <f t="shared" si="229"/>
        <v>0</v>
      </c>
      <c r="XJ97" s="24">
        <f t="shared" si="230"/>
        <v>0</v>
      </c>
      <c r="XK97" s="24"/>
      <c r="XL97" s="24"/>
      <c r="XM97" s="24"/>
      <c r="XN97" s="24"/>
      <c r="XO97" s="24"/>
      <c r="XP97" s="24"/>
      <c r="XQ97" s="24"/>
      <c r="XR97" s="24"/>
      <c r="XS97" s="24"/>
      <c r="XT97" s="24"/>
      <c r="XU97" s="24"/>
      <c r="XV97" s="24"/>
      <c r="XW97" s="24"/>
      <c r="XX97" s="24"/>
      <c r="XY97" s="24"/>
      <c r="XZ97" s="24"/>
      <c r="YA97" s="24"/>
      <c r="YB97" s="24"/>
      <c r="YC97" s="24"/>
      <c r="YD97" s="24"/>
      <c r="YE97" s="24"/>
      <c r="YF97" s="24"/>
      <c r="YG97" s="24"/>
      <c r="YH97" s="24"/>
      <c r="YI97" s="24"/>
      <c r="YJ97" s="24"/>
      <c r="YK97" s="24"/>
      <c r="YL97" s="24"/>
      <c r="YM97" s="24"/>
      <c r="YN97" s="24"/>
      <c r="YO97" s="24"/>
      <c r="YP97" s="24"/>
      <c r="YQ97" s="24"/>
      <c r="YR97" s="24"/>
      <c r="YS97" s="24"/>
      <c r="YT97" s="24"/>
      <c r="YU97" s="24"/>
      <c r="YV97" s="24"/>
      <c r="YW97" s="24"/>
      <c r="YX97" s="24"/>
      <c r="YY97" s="24"/>
      <c r="YZ97" s="24"/>
      <c r="ZA97" s="24"/>
      <c r="ZB97" s="24"/>
      <c r="ZC97" s="24"/>
      <c r="ZD97" s="24"/>
      <c r="ZE97" s="24"/>
      <c r="ZF97" s="24"/>
      <c r="ZG97" s="24"/>
      <c r="ZH97" s="24"/>
      <c r="ZI97" s="24"/>
      <c r="ZJ97" s="24"/>
      <c r="ZK97" s="24"/>
      <c r="ZL97" s="24"/>
      <c r="ZM97" s="24"/>
      <c r="ZN97" s="24"/>
      <c r="ZO97" s="24"/>
      <c r="ZP97" s="24"/>
      <c r="ZQ97" s="24"/>
      <c r="ZR97" s="24"/>
      <c r="ZS97" s="24">
        <f t="shared" si="231"/>
        <v>0</v>
      </c>
      <c r="ZT97" s="24">
        <f t="shared" si="232"/>
        <v>0</v>
      </c>
      <c r="ZU97" s="24"/>
      <c r="ZV97" s="24"/>
      <c r="ZW97" s="24"/>
      <c r="ZX97" s="24"/>
      <c r="ZY97" s="24"/>
      <c r="ZZ97" s="24"/>
      <c r="AAA97" s="24"/>
      <c r="AAB97" s="24"/>
      <c r="AAC97" s="24"/>
      <c r="AAD97" s="24"/>
      <c r="AAE97" s="24"/>
      <c r="AAF97" s="24"/>
      <c r="AAG97" s="24"/>
      <c r="AAH97" s="24"/>
      <c r="AAI97" s="24"/>
      <c r="AAJ97" s="24"/>
      <c r="AAK97" s="24"/>
      <c r="AAL97" s="24"/>
      <c r="AAM97" s="24"/>
      <c r="AAN97" s="24"/>
      <c r="AAO97" s="24"/>
      <c r="AAP97" s="24"/>
      <c r="AAQ97" s="24"/>
      <c r="AAR97" s="24"/>
      <c r="AAS97" s="24"/>
      <c r="AAT97" s="24"/>
      <c r="AAU97" s="24"/>
      <c r="AAV97" s="24"/>
      <c r="AAW97" s="24"/>
      <c r="AAX97" s="24"/>
      <c r="AAY97" s="24"/>
      <c r="AAZ97" s="24"/>
      <c r="ABA97" s="24"/>
      <c r="ABB97" s="24"/>
      <c r="ABC97" s="24"/>
      <c r="ABD97" s="24"/>
      <c r="ABE97" s="24"/>
      <c r="ABF97" s="24"/>
      <c r="ABG97" s="24"/>
      <c r="ABH97" s="24"/>
      <c r="ABI97" s="24"/>
      <c r="ABJ97" s="24"/>
      <c r="ABK97" s="24"/>
      <c r="ABL97" s="24"/>
      <c r="ABM97" s="24"/>
      <c r="ABN97" s="24"/>
      <c r="ABO97" s="24"/>
      <c r="ABP97" s="24"/>
      <c r="ABQ97" s="24"/>
      <c r="ABR97" s="24"/>
      <c r="ABS97" s="24"/>
      <c r="ABT97" s="24"/>
      <c r="ABU97" s="24"/>
      <c r="ABV97" s="24"/>
      <c r="ABW97" s="24"/>
      <c r="ABX97" s="24"/>
      <c r="ABY97" s="24"/>
      <c r="ABZ97" s="24"/>
      <c r="ACA97" s="24"/>
      <c r="ACB97" s="24"/>
      <c r="ACC97" s="24"/>
      <c r="ACD97" s="24"/>
      <c r="ACE97" s="24">
        <f t="shared" si="233"/>
        <v>0</v>
      </c>
      <c r="ACF97" s="24"/>
      <c r="ACG97" s="24">
        <f t="shared" si="234"/>
        <v>0</v>
      </c>
      <c r="ACH97" s="25"/>
      <c r="ACI97" s="71" t="s">
        <v>188</v>
      </c>
      <c r="ACJ97" s="71" t="s">
        <v>92</v>
      </c>
    </row>
    <row r="98" spans="1:764" x14ac:dyDescent="0.25">
      <c r="A98" s="162"/>
      <c r="B98" s="152"/>
      <c r="C98" s="155"/>
      <c r="D98" s="50" t="s">
        <v>4</v>
      </c>
      <c r="E98" s="74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24" cm="1">
        <f t="array" ref="BO98">SUMPRODUCT(E98:BM98,--(E$2:BM$2=BO$2))</f>
        <v>0</v>
      </c>
      <c r="BP98" s="24" cm="1">
        <f t="array" ref="BP98">SUMPRODUCT(F98:BN98,--(F$2:BN$2=BP$2))</f>
        <v>0</v>
      </c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4"/>
      <c r="DA98" s="24"/>
      <c r="DB98" s="24"/>
      <c r="DC98" s="24"/>
      <c r="DD98" s="24"/>
      <c r="DE98" s="24"/>
      <c r="DF98" s="24"/>
      <c r="DG98" s="24"/>
      <c r="DH98" s="24"/>
      <c r="DI98" s="24"/>
      <c r="DJ98" s="24"/>
      <c r="DK98" s="24"/>
      <c r="DL98" s="24"/>
      <c r="DM98" s="24"/>
      <c r="DN98" s="24"/>
      <c r="DO98" s="24"/>
      <c r="DP98" s="24"/>
      <c r="DQ98" s="24"/>
      <c r="DR98" s="24"/>
      <c r="DS98" s="24"/>
      <c r="DT98" s="24"/>
      <c r="DU98" s="24"/>
      <c r="DV98" s="24"/>
      <c r="DW98" s="24" cm="1">
        <f t="array" ref="DW98">SUMPRODUCT(BQ98:DU98,--(BQ$2:DU$2=DW$2))</f>
        <v>0</v>
      </c>
      <c r="DX98" s="24" cm="1">
        <f t="array" ref="DX98">SUMPRODUCT(BR98:DV98,--(BR$2:DV$2=DX$2))</f>
        <v>0</v>
      </c>
      <c r="DY98" s="24"/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  <c r="ES98" s="24"/>
      <c r="ET98" s="24"/>
      <c r="EU98" s="24"/>
      <c r="EV98" s="24"/>
      <c r="EW98" s="24"/>
      <c r="EX98" s="24"/>
      <c r="EY98" s="24"/>
      <c r="EZ98" s="24"/>
      <c r="FA98" s="24"/>
      <c r="FB98" s="24"/>
      <c r="FC98" s="24"/>
      <c r="FD98" s="24"/>
      <c r="FE98" s="24"/>
      <c r="FF98" s="24"/>
      <c r="FG98" s="24"/>
      <c r="FH98" s="24"/>
      <c r="FI98" s="24"/>
      <c r="FJ98" s="24"/>
      <c r="FK98" s="24"/>
      <c r="FL98" s="24"/>
      <c r="FM98" s="24"/>
      <c r="FN98" s="24"/>
      <c r="FO98" s="24"/>
      <c r="FP98" s="24"/>
      <c r="FQ98" s="24"/>
      <c r="FR98" s="24"/>
      <c r="FS98" s="24"/>
      <c r="FT98" s="24"/>
      <c r="FU98" s="24"/>
      <c r="FV98" s="24"/>
      <c r="FW98" s="24"/>
      <c r="FX98" s="24"/>
      <c r="FY98" s="24"/>
      <c r="FZ98" s="24"/>
      <c r="GA98" s="24"/>
      <c r="GB98" s="24"/>
      <c r="GC98" s="24"/>
      <c r="GD98" s="24"/>
      <c r="GE98" s="24"/>
      <c r="GF98" s="24"/>
      <c r="GG98" s="24"/>
      <c r="GH98" s="24"/>
      <c r="GI98" s="24" cm="1">
        <f t="array" ref="GI98">SUMPRODUCT(DY98:GG98,--(DY$2:GG$2=GI$2))</f>
        <v>0</v>
      </c>
      <c r="GJ98" s="24" cm="1">
        <f t="array" ref="GJ98">SUMPRODUCT(DZ98:GH98,--(DZ$2:GH$2=GJ$2))</f>
        <v>0</v>
      </c>
      <c r="GK98" s="24"/>
      <c r="GL98" s="24"/>
      <c r="GM98" s="24"/>
      <c r="GN98" s="24"/>
      <c r="GO98" s="24"/>
      <c r="GP98" s="24"/>
      <c r="GQ98" s="24"/>
      <c r="GR98" s="24"/>
      <c r="GS98" s="24"/>
      <c r="GT98" s="24"/>
      <c r="GU98" s="24"/>
      <c r="GV98" s="24"/>
      <c r="GW98" s="24"/>
      <c r="GX98" s="24"/>
      <c r="GY98" s="24"/>
      <c r="GZ98" s="24"/>
      <c r="HA98" s="24"/>
      <c r="HB98" s="24"/>
      <c r="HC98" s="24"/>
      <c r="HD98" s="24"/>
      <c r="HE98" s="24"/>
      <c r="HF98" s="24"/>
      <c r="HG98" s="24"/>
      <c r="HH98" s="24"/>
      <c r="HI98" s="24"/>
      <c r="HJ98" s="24"/>
      <c r="HK98" s="24"/>
      <c r="HL98" s="24"/>
      <c r="HM98" s="24"/>
      <c r="HN98" s="24"/>
      <c r="HO98" s="24"/>
      <c r="HP98" s="24"/>
      <c r="HQ98" s="24"/>
      <c r="HR98" s="24"/>
      <c r="HS98" s="24"/>
      <c r="HT98" s="24"/>
      <c r="HU98" s="24"/>
      <c r="HV98" s="24"/>
      <c r="HW98" s="24"/>
      <c r="HX98" s="24"/>
      <c r="HY98" s="24"/>
      <c r="HZ98" s="24"/>
      <c r="IA98" s="24"/>
      <c r="IB98" s="24"/>
      <c r="IC98" s="24"/>
      <c r="ID98" s="24"/>
      <c r="IE98" s="24"/>
      <c r="IF98" s="24"/>
      <c r="IG98" s="24"/>
      <c r="IH98" s="24"/>
      <c r="II98" s="24"/>
      <c r="IJ98" s="24"/>
      <c r="IK98" s="24"/>
      <c r="IL98" s="24"/>
      <c r="IM98" s="24"/>
      <c r="IN98" s="24"/>
      <c r="IO98" s="24"/>
      <c r="IP98" s="24"/>
      <c r="IQ98" s="24"/>
      <c r="IR98" s="24"/>
      <c r="IS98" s="24">
        <f t="shared" si="217"/>
        <v>0</v>
      </c>
      <c r="IT98" s="24">
        <f t="shared" si="218"/>
        <v>0</v>
      </c>
      <c r="IU98" s="24"/>
      <c r="IV98" s="24"/>
      <c r="IW98" s="24"/>
      <c r="IX98" s="24"/>
      <c r="IY98" s="24"/>
      <c r="IZ98" s="24"/>
      <c r="JA98" s="24"/>
      <c r="JB98" s="24"/>
      <c r="JC98" s="24"/>
      <c r="JD98" s="24"/>
      <c r="JE98" s="24"/>
      <c r="JF98" s="24"/>
      <c r="JG98" s="24"/>
      <c r="JH98" s="24"/>
      <c r="JI98" s="24"/>
      <c r="JJ98" s="24"/>
      <c r="JK98" s="24"/>
      <c r="JL98" s="24"/>
      <c r="JM98" s="24"/>
      <c r="JN98" s="24"/>
      <c r="JO98" s="24"/>
      <c r="JP98" s="24"/>
      <c r="JQ98" s="24"/>
      <c r="JR98" s="24"/>
      <c r="JS98" s="24"/>
      <c r="JT98" s="24"/>
      <c r="JU98" s="24"/>
      <c r="JV98" s="24"/>
      <c r="JW98" s="24"/>
      <c r="JX98" s="24"/>
      <c r="JY98" s="24"/>
      <c r="JZ98" s="24"/>
      <c r="KA98" s="24"/>
      <c r="KB98" s="24"/>
      <c r="KC98" s="24"/>
      <c r="KD98" s="24"/>
      <c r="KE98" s="24"/>
      <c r="KF98" s="24"/>
      <c r="KG98" s="24"/>
      <c r="KH98" s="24"/>
      <c r="KI98" s="24"/>
      <c r="KJ98" s="24"/>
      <c r="KK98" s="24"/>
      <c r="KL98" s="24"/>
      <c r="KM98" s="24"/>
      <c r="KN98" s="24"/>
      <c r="KO98" s="24"/>
      <c r="KP98" s="24"/>
      <c r="KQ98" s="24"/>
      <c r="KR98" s="24"/>
      <c r="KS98" s="24"/>
      <c r="KT98" s="24"/>
      <c r="KU98" s="24"/>
      <c r="KV98" s="24"/>
      <c r="KW98" s="24"/>
      <c r="KX98" s="24"/>
      <c r="KY98" s="24"/>
      <c r="KZ98" s="24"/>
      <c r="LA98" s="24"/>
      <c r="LB98" s="24"/>
      <c r="LC98" s="24"/>
      <c r="LD98" s="24"/>
      <c r="LE98" s="24">
        <f t="shared" si="219"/>
        <v>0</v>
      </c>
      <c r="LF98" s="24">
        <f t="shared" si="220"/>
        <v>0</v>
      </c>
      <c r="LG98" s="24"/>
      <c r="LH98" s="24"/>
      <c r="LI98" s="24"/>
      <c r="LJ98" s="24"/>
      <c r="LK98" s="24"/>
      <c r="LL98" s="24"/>
      <c r="LM98" s="24"/>
      <c r="LN98" s="24"/>
      <c r="LO98" s="24"/>
      <c r="LP98" s="24"/>
      <c r="LQ98" s="24"/>
      <c r="LR98" s="24"/>
      <c r="LS98" s="24"/>
      <c r="LT98" s="24"/>
      <c r="LU98" s="24"/>
      <c r="LV98" s="24"/>
      <c r="LW98" s="24"/>
      <c r="LX98" s="24"/>
      <c r="LY98" s="24"/>
      <c r="LZ98" s="24"/>
      <c r="MA98" s="24"/>
      <c r="MB98" s="24"/>
      <c r="MC98" s="24"/>
      <c r="MD98" s="24"/>
      <c r="ME98" s="24"/>
      <c r="MF98" s="24"/>
      <c r="MG98" s="24"/>
      <c r="MH98" s="24"/>
      <c r="MI98" s="24"/>
      <c r="MJ98" s="24"/>
      <c r="MK98" s="24"/>
      <c r="ML98" s="24"/>
      <c r="MM98" s="24"/>
      <c r="MN98" s="24"/>
      <c r="MO98" s="24"/>
      <c r="MP98" s="24"/>
      <c r="MQ98" s="24"/>
      <c r="MR98" s="24"/>
      <c r="MS98" s="24"/>
      <c r="MT98" s="24"/>
      <c r="MU98" s="24"/>
      <c r="MV98" s="24"/>
      <c r="MW98" s="24"/>
      <c r="MX98" s="24"/>
      <c r="MY98" s="24"/>
      <c r="MZ98" s="24"/>
      <c r="NA98" s="24"/>
      <c r="NB98" s="24"/>
      <c r="NC98" s="24"/>
      <c r="ND98" s="24"/>
      <c r="NE98" s="24"/>
      <c r="NF98" s="24"/>
      <c r="NG98" s="24"/>
      <c r="NH98" s="24"/>
      <c r="NI98" s="24"/>
      <c r="NJ98" s="24"/>
      <c r="NK98" s="24"/>
      <c r="NL98" s="24"/>
      <c r="NM98" s="24"/>
      <c r="NN98" s="24"/>
      <c r="NO98" s="24">
        <f t="shared" si="221"/>
        <v>0</v>
      </c>
      <c r="NP98" s="24">
        <f t="shared" si="222"/>
        <v>0</v>
      </c>
      <c r="NQ98" s="24"/>
      <c r="NR98" s="24"/>
      <c r="NS98" s="24"/>
      <c r="NT98" s="24"/>
      <c r="NU98" s="24"/>
      <c r="NV98" s="24"/>
      <c r="NW98" s="24"/>
      <c r="NX98" s="24"/>
      <c r="NY98" s="24"/>
      <c r="NZ98" s="24"/>
      <c r="OA98" s="24"/>
      <c r="OB98" s="24"/>
      <c r="OC98" s="24"/>
      <c r="OD98" s="24"/>
      <c r="OE98" s="24"/>
      <c r="OF98" s="24"/>
      <c r="OG98" s="24"/>
      <c r="OH98" s="24"/>
      <c r="OI98" s="24"/>
      <c r="OJ98" s="24"/>
      <c r="OK98" s="24"/>
      <c r="OL98" s="24"/>
      <c r="OM98" s="24"/>
      <c r="ON98" s="24"/>
      <c r="OO98" s="24"/>
      <c r="OP98" s="24"/>
      <c r="OQ98" s="24"/>
      <c r="OR98" s="24"/>
      <c r="OS98" s="24"/>
      <c r="OT98" s="24"/>
      <c r="OU98" s="24"/>
      <c r="OV98" s="24"/>
      <c r="OW98" s="24"/>
      <c r="OX98" s="24"/>
      <c r="OY98" s="24"/>
      <c r="OZ98" s="24"/>
      <c r="PA98" s="24"/>
      <c r="PB98" s="24"/>
      <c r="PC98" s="24"/>
      <c r="PD98" s="24"/>
      <c r="PE98" s="24"/>
      <c r="PF98" s="24"/>
      <c r="PG98" s="24"/>
      <c r="PH98" s="24"/>
      <c r="PI98" s="24"/>
      <c r="PJ98" s="24"/>
      <c r="PK98" s="24"/>
      <c r="PL98" s="24"/>
      <c r="PM98" s="24"/>
      <c r="PN98" s="24"/>
      <c r="PO98" s="24"/>
      <c r="PP98" s="24"/>
      <c r="PQ98" s="24"/>
      <c r="PR98" s="24"/>
      <c r="PS98" s="24"/>
      <c r="PT98" s="24"/>
      <c r="PU98" s="24"/>
      <c r="PV98" s="24"/>
      <c r="PW98" s="24"/>
      <c r="PX98" s="24"/>
      <c r="PY98" s="24"/>
      <c r="PZ98" s="24"/>
      <c r="QA98" s="24">
        <f t="shared" si="223"/>
        <v>0</v>
      </c>
      <c r="QB98" s="24">
        <f t="shared" si="224"/>
        <v>0</v>
      </c>
      <c r="QC98" s="24"/>
      <c r="QD98" s="24"/>
      <c r="QE98" s="24"/>
      <c r="QF98" s="24"/>
      <c r="QG98" s="24"/>
      <c r="QH98" s="24"/>
      <c r="QI98" s="24"/>
      <c r="QJ98" s="24"/>
      <c r="QK98" s="24"/>
      <c r="QL98" s="24"/>
      <c r="QM98" s="24"/>
      <c r="QN98" s="24"/>
      <c r="QO98" s="24"/>
      <c r="QP98" s="24"/>
      <c r="QQ98" s="24"/>
      <c r="QR98" s="24"/>
      <c r="QS98" s="24"/>
      <c r="QT98" s="24"/>
      <c r="QU98" s="24"/>
      <c r="QV98" s="24"/>
      <c r="QW98" s="24"/>
      <c r="QX98" s="24"/>
      <c r="QY98" s="24"/>
      <c r="QZ98" s="24"/>
      <c r="RA98" s="24"/>
      <c r="RB98" s="24"/>
      <c r="RC98" s="24"/>
      <c r="RD98" s="24"/>
      <c r="RE98" s="24"/>
      <c r="RF98" s="24"/>
      <c r="RG98" s="24"/>
      <c r="RH98" s="24"/>
      <c r="RI98" s="24"/>
      <c r="RJ98" s="24"/>
      <c r="RK98" s="24"/>
      <c r="RL98" s="24"/>
      <c r="RM98" s="24"/>
      <c r="RN98" s="24"/>
      <c r="RO98" s="24"/>
      <c r="RP98" s="24"/>
      <c r="RQ98" s="24"/>
      <c r="RR98" s="24"/>
      <c r="RS98" s="24"/>
      <c r="RT98" s="24"/>
      <c r="RU98" s="24"/>
      <c r="RV98" s="24"/>
      <c r="RW98" s="24"/>
      <c r="RX98" s="24"/>
      <c r="RY98" s="24"/>
      <c r="RZ98" s="24"/>
      <c r="SA98" s="24"/>
      <c r="SB98" s="24"/>
      <c r="SC98" s="24"/>
      <c r="SD98" s="24"/>
      <c r="SE98" s="24"/>
      <c r="SF98" s="24"/>
      <c r="SG98" s="24"/>
      <c r="SH98" s="24"/>
      <c r="SI98" s="24"/>
      <c r="SJ98" s="24"/>
      <c r="SK98" s="24"/>
      <c r="SL98" s="24"/>
      <c r="SM98" s="24">
        <f t="shared" si="225"/>
        <v>0</v>
      </c>
      <c r="SN98" s="24">
        <f t="shared" si="226"/>
        <v>0</v>
      </c>
      <c r="SO98" s="24"/>
      <c r="SP98" s="24"/>
      <c r="SQ98" s="24"/>
      <c r="SR98" s="24"/>
      <c r="SS98" s="24"/>
      <c r="ST98" s="24"/>
      <c r="SU98" s="24"/>
      <c r="SV98" s="24"/>
      <c r="SW98" s="24"/>
      <c r="SX98" s="24"/>
      <c r="SY98" s="24"/>
      <c r="SZ98" s="24"/>
      <c r="TA98" s="24"/>
      <c r="TB98" s="24"/>
      <c r="TC98" s="24"/>
      <c r="TD98" s="24"/>
      <c r="TE98" s="24"/>
      <c r="TF98" s="24"/>
      <c r="TG98" s="24"/>
      <c r="TH98" s="24"/>
      <c r="TI98" s="24"/>
      <c r="TJ98" s="24"/>
      <c r="TK98" s="24"/>
      <c r="TL98" s="24"/>
      <c r="TM98" s="24"/>
      <c r="TN98" s="24"/>
      <c r="TO98" s="24"/>
      <c r="TP98" s="24"/>
      <c r="TQ98" s="24"/>
      <c r="TR98" s="24"/>
      <c r="TS98" s="24"/>
      <c r="TT98" s="24"/>
      <c r="TU98" s="24"/>
      <c r="TV98" s="24"/>
      <c r="TW98" s="24"/>
      <c r="TX98" s="24"/>
      <c r="TY98" s="24"/>
      <c r="TZ98" s="24"/>
      <c r="UA98" s="24"/>
      <c r="UB98" s="24"/>
      <c r="UC98" s="24"/>
      <c r="UD98" s="24"/>
      <c r="UE98" s="24"/>
      <c r="UF98" s="24"/>
      <c r="UG98" s="24"/>
      <c r="UH98" s="24"/>
      <c r="UI98" s="24"/>
      <c r="UJ98" s="24"/>
      <c r="UK98" s="24"/>
      <c r="UL98" s="24"/>
      <c r="UM98" s="24"/>
      <c r="UN98" s="24"/>
      <c r="UO98" s="24"/>
      <c r="UP98" s="24"/>
      <c r="UQ98" s="24"/>
      <c r="UR98" s="24"/>
      <c r="US98" s="24"/>
      <c r="UT98" s="24"/>
      <c r="UU98" s="24"/>
      <c r="UV98" s="24"/>
      <c r="UW98" s="24">
        <f t="shared" si="227"/>
        <v>0</v>
      </c>
      <c r="UX98" s="24">
        <f t="shared" si="228"/>
        <v>0</v>
      </c>
      <c r="UY98" s="24"/>
      <c r="UZ98" s="24"/>
      <c r="VA98" s="24"/>
      <c r="VB98" s="24"/>
      <c r="VC98" s="24"/>
      <c r="VD98" s="24"/>
      <c r="VE98" s="24"/>
      <c r="VF98" s="24"/>
      <c r="VG98" s="24"/>
      <c r="VH98" s="24"/>
      <c r="VI98" s="24"/>
      <c r="VJ98" s="24"/>
      <c r="VK98" s="24"/>
      <c r="VL98" s="24"/>
      <c r="VM98" s="24"/>
      <c r="VN98" s="24"/>
      <c r="VO98" s="24"/>
      <c r="VP98" s="24"/>
      <c r="VQ98" s="24"/>
      <c r="VR98" s="24"/>
      <c r="VS98" s="24"/>
      <c r="VT98" s="24"/>
      <c r="VU98" s="24"/>
      <c r="VV98" s="24"/>
      <c r="VW98" s="24"/>
      <c r="VX98" s="24"/>
      <c r="VY98" s="24"/>
      <c r="VZ98" s="24"/>
      <c r="WA98" s="24"/>
      <c r="WB98" s="24"/>
      <c r="WC98" s="24"/>
      <c r="WD98" s="24"/>
      <c r="WE98" s="24"/>
      <c r="WF98" s="24"/>
      <c r="WG98" s="24"/>
      <c r="WH98" s="24"/>
      <c r="WI98" s="24"/>
      <c r="WJ98" s="24"/>
      <c r="WK98" s="24"/>
      <c r="WL98" s="24"/>
      <c r="WM98" s="24"/>
      <c r="WN98" s="24"/>
      <c r="WO98" s="24"/>
      <c r="WP98" s="24"/>
      <c r="WQ98" s="24"/>
      <c r="WR98" s="24"/>
      <c r="WS98" s="24"/>
      <c r="WT98" s="24"/>
      <c r="WU98" s="24"/>
      <c r="WV98" s="24"/>
      <c r="WW98" s="24"/>
      <c r="WX98" s="24"/>
      <c r="WY98" s="24"/>
      <c r="WZ98" s="24"/>
      <c r="XA98" s="24"/>
      <c r="XB98" s="24"/>
      <c r="XC98" s="24"/>
      <c r="XD98" s="24"/>
      <c r="XE98" s="24"/>
      <c r="XF98" s="24"/>
      <c r="XG98" s="24"/>
      <c r="XH98" s="24"/>
      <c r="XI98" s="24">
        <f t="shared" si="229"/>
        <v>0</v>
      </c>
      <c r="XJ98" s="24">
        <f t="shared" si="230"/>
        <v>0</v>
      </c>
      <c r="XK98" s="24"/>
      <c r="XL98" s="24"/>
      <c r="XM98" s="24"/>
      <c r="XN98" s="24"/>
      <c r="XO98" s="24"/>
      <c r="XP98" s="24"/>
      <c r="XQ98" s="24"/>
      <c r="XR98" s="24"/>
      <c r="XS98" s="24"/>
      <c r="XT98" s="24"/>
      <c r="XU98" s="24"/>
      <c r="XV98" s="24"/>
      <c r="XW98" s="24"/>
      <c r="XX98" s="24"/>
      <c r="XY98" s="24"/>
      <c r="XZ98" s="24"/>
      <c r="YA98" s="24"/>
      <c r="YB98" s="24"/>
      <c r="YC98" s="24"/>
      <c r="YD98" s="24"/>
      <c r="YE98" s="24"/>
      <c r="YF98" s="24"/>
      <c r="YG98" s="24"/>
      <c r="YH98" s="24"/>
      <c r="YI98" s="24"/>
      <c r="YJ98" s="24"/>
      <c r="YK98" s="24"/>
      <c r="YL98" s="24"/>
      <c r="YM98" s="24"/>
      <c r="YN98" s="24"/>
      <c r="YO98" s="24"/>
      <c r="YP98" s="24"/>
      <c r="YQ98" s="24"/>
      <c r="YR98" s="24"/>
      <c r="YS98" s="24"/>
      <c r="YT98" s="24"/>
      <c r="YU98" s="24"/>
      <c r="YV98" s="24"/>
      <c r="YW98" s="24"/>
      <c r="YX98" s="24"/>
      <c r="YY98" s="24"/>
      <c r="YZ98" s="24"/>
      <c r="ZA98" s="24"/>
      <c r="ZB98" s="24"/>
      <c r="ZC98" s="24"/>
      <c r="ZD98" s="24"/>
      <c r="ZE98" s="24"/>
      <c r="ZF98" s="24"/>
      <c r="ZG98" s="24"/>
      <c r="ZH98" s="24"/>
      <c r="ZI98" s="24"/>
      <c r="ZJ98" s="24"/>
      <c r="ZK98" s="24"/>
      <c r="ZL98" s="24"/>
      <c r="ZM98" s="24"/>
      <c r="ZN98" s="24"/>
      <c r="ZO98" s="24"/>
      <c r="ZP98" s="24"/>
      <c r="ZQ98" s="24"/>
      <c r="ZR98" s="24"/>
      <c r="ZS98" s="24">
        <f t="shared" si="231"/>
        <v>0</v>
      </c>
      <c r="ZT98" s="24">
        <f t="shared" si="232"/>
        <v>0</v>
      </c>
      <c r="ZU98" s="24"/>
      <c r="ZV98" s="24"/>
      <c r="ZW98" s="24"/>
      <c r="ZX98" s="24"/>
      <c r="ZY98" s="24"/>
      <c r="ZZ98" s="24"/>
      <c r="AAA98" s="24"/>
      <c r="AAB98" s="24"/>
      <c r="AAC98" s="24"/>
      <c r="AAD98" s="24"/>
      <c r="AAE98" s="24"/>
      <c r="AAF98" s="24"/>
      <c r="AAG98" s="24"/>
      <c r="AAH98" s="24"/>
      <c r="AAI98" s="24"/>
      <c r="AAJ98" s="24"/>
      <c r="AAK98" s="24"/>
      <c r="AAL98" s="24"/>
      <c r="AAM98" s="24"/>
      <c r="AAN98" s="24"/>
      <c r="AAO98" s="24"/>
      <c r="AAP98" s="24"/>
      <c r="AAQ98" s="24"/>
      <c r="AAR98" s="24"/>
      <c r="AAS98" s="24"/>
      <c r="AAT98" s="24"/>
      <c r="AAU98" s="24"/>
      <c r="AAV98" s="24"/>
      <c r="AAW98" s="24"/>
      <c r="AAX98" s="24"/>
      <c r="AAY98" s="24"/>
      <c r="AAZ98" s="24"/>
      <c r="ABA98" s="24"/>
      <c r="ABB98" s="24"/>
      <c r="ABC98" s="24"/>
      <c r="ABD98" s="24"/>
      <c r="ABE98" s="24"/>
      <c r="ABF98" s="24"/>
      <c r="ABG98" s="24"/>
      <c r="ABH98" s="24"/>
      <c r="ABI98" s="24"/>
      <c r="ABJ98" s="24"/>
      <c r="ABK98" s="24"/>
      <c r="ABL98" s="24"/>
      <c r="ABM98" s="24"/>
      <c r="ABN98" s="24"/>
      <c r="ABO98" s="24"/>
      <c r="ABP98" s="24"/>
      <c r="ABQ98" s="24"/>
      <c r="ABR98" s="24"/>
      <c r="ABS98" s="24"/>
      <c r="ABT98" s="24"/>
      <c r="ABU98" s="24"/>
      <c r="ABV98" s="24"/>
      <c r="ABW98" s="24"/>
      <c r="ABX98" s="24"/>
      <c r="ABY98" s="24"/>
      <c r="ABZ98" s="24"/>
      <c r="ACA98" s="24"/>
      <c r="ACB98" s="24"/>
      <c r="ACC98" s="24"/>
      <c r="ACD98" s="24"/>
      <c r="ACE98" s="24">
        <f t="shared" si="233"/>
        <v>0</v>
      </c>
      <c r="ACF98" s="24"/>
      <c r="ACG98" s="24">
        <f t="shared" si="234"/>
        <v>0</v>
      </c>
      <c r="ACH98" s="25"/>
      <c r="ACI98" s="71" t="s">
        <v>189</v>
      </c>
      <c r="ACJ98" s="71" t="s">
        <v>92</v>
      </c>
    </row>
    <row r="99" spans="1:764" x14ac:dyDescent="0.25">
      <c r="A99" s="162"/>
      <c r="B99" s="152"/>
      <c r="C99" s="155"/>
      <c r="D99" s="50" t="s">
        <v>8</v>
      </c>
      <c r="E99" s="74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24" cm="1">
        <f t="array" ref="BO99">SUMPRODUCT(E99:BM99,--(E$2:BM$2=BO$2))</f>
        <v>0</v>
      </c>
      <c r="BP99" s="24" cm="1">
        <f t="array" ref="BP99">SUMPRODUCT(F99:BN99,--(F$2:BN$2=BP$2))</f>
        <v>0</v>
      </c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  <c r="DR99" s="24"/>
      <c r="DS99" s="24"/>
      <c r="DT99" s="24"/>
      <c r="DU99" s="24"/>
      <c r="DV99" s="24"/>
      <c r="DW99" s="24" cm="1">
        <f t="array" ref="DW99">SUMPRODUCT(BQ99:DU99,--(BQ$2:DU$2=DW$2))</f>
        <v>0</v>
      </c>
      <c r="DX99" s="24" cm="1">
        <f t="array" ref="DX99">SUMPRODUCT(BR99:DV99,--(BR$2:DV$2=DX$2))</f>
        <v>0</v>
      </c>
      <c r="DY99" s="24"/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  <c r="FC99" s="24"/>
      <c r="FD99" s="24"/>
      <c r="FE99" s="24"/>
      <c r="FF99" s="24"/>
      <c r="FG99" s="24"/>
      <c r="FH99" s="24"/>
      <c r="FI99" s="24"/>
      <c r="FJ99" s="24"/>
      <c r="FK99" s="24"/>
      <c r="FL99" s="24"/>
      <c r="FM99" s="24"/>
      <c r="FN99" s="24"/>
      <c r="FO99" s="24"/>
      <c r="FP99" s="24"/>
      <c r="FQ99" s="24"/>
      <c r="FR99" s="24"/>
      <c r="FS99" s="24"/>
      <c r="FT99" s="24"/>
      <c r="FU99" s="24"/>
      <c r="FV99" s="24"/>
      <c r="FW99" s="24"/>
      <c r="FX99" s="24"/>
      <c r="FY99" s="24"/>
      <c r="FZ99" s="24"/>
      <c r="GA99" s="24"/>
      <c r="GB99" s="24"/>
      <c r="GC99" s="24"/>
      <c r="GD99" s="24"/>
      <c r="GE99" s="24"/>
      <c r="GF99" s="24"/>
      <c r="GG99" s="24"/>
      <c r="GH99" s="24"/>
      <c r="GI99" s="24" cm="1">
        <f t="array" ref="GI99">SUMPRODUCT(DY99:GG99,--(DY$2:GG$2=GI$2))</f>
        <v>0</v>
      </c>
      <c r="GJ99" s="24" cm="1">
        <f t="array" ref="GJ99">SUMPRODUCT(DZ99:GH99,--(DZ$2:GH$2=GJ$2))</f>
        <v>0</v>
      </c>
      <c r="GK99" s="24"/>
      <c r="GL99" s="24"/>
      <c r="GM99" s="24"/>
      <c r="GN99" s="24"/>
      <c r="GO99" s="24"/>
      <c r="GP99" s="24"/>
      <c r="GQ99" s="24"/>
      <c r="GR99" s="24"/>
      <c r="GS99" s="24"/>
      <c r="GT99" s="24"/>
      <c r="GU99" s="24"/>
      <c r="GV99" s="24"/>
      <c r="GW99" s="24"/>
      <c r="GX99" s="24"/>
      <c r="GY99" s="24"/>
      <c r="GZ99" s="24"/>
      <c r="HA99" s="24"/>
      <c r="HB99" s="24"/>
      <c r="HC99" s="24"/>
      <c r="HD99" s="24"/>
      <c r="HE99" s="24"/>
      <c r="HF99" s="24"/>
      <c r="HG99" s="24"/>
      <c r="HH99" s="24"/>
      <c r="HI99" s="24"/>
      <c r="HJ99" s="24"/>
      <c r="HK99" s="24"/>
      <c r="HL99" s="24"/>
      <c r="HM99" s="24"/>
      <c r="HN99" s="24"/>
      <c r="HO99" s="24"/>
      <c r="HP99" s="24"/>
      <c r="HQ99" s="24"/>
      <c r="HR99" s="24"/>
      <c r="HS99" s="24"/>
      <c r="HT99" s="24"/>
      <c r="HU99" s="24"/>
      <c r="HV99" s="24"/>
      <c r="HW99" s="24"/>
      <c r="HX99" s="24"/>
      <c r="HY99" s="24"/>
      <c r="HZ99" s="24"/>
      <c r="IA99" s="24"/>
      <c r="IB99" s="24"/>
      <c r="IC99" s="24"/>
      <c r="ID99" s="24"/>
      <c r="IE99" s="24"/>
      <c r="IF99" s="24"/>
      <c r="IG99" s="24"/>
      <c r="IH99" s="24"/>
      <c r="II99" s="24"/>
      <c r="IJ99" s="24"/>
      <c r="IK99" s="24"/>
      <c r="IL99" s="24"/>
      <c r="IM99" s="24"/>
      <c r="IN99" s="24"/>
      <c r="IO99" s="24"/>
      <c r="IP99" s="24"/>
      <c r="IQ99" s="24"/>
      <c r="IR99" s="24"/>
      <c r="IS99" s="24">
        <f t="shared" si="217"/>
        <v>0</v>
      </c>
      <c r="IT99" s="24">
        <f t="shared" si="218"/>
        <v>0</v>
      </c>
      <c r="IU99" s="24"/>
      <c r="IV99" s="24"/>
      <c r="IW99" s="24"/>
      <c r="IX99" s="24"/>
      <c r="IY99" s="24"/>
      <c r="IZ99" s="24"/>
      <c r="JA99" s="24">
        <v>39.64</v>
      </c>
      <c r="JB99" s="24">
        <v>39.64</v>
      </c>
      <c r="JC99" s="24"/>
      <c r="JD99" s="24"/>
      <c r="JE99" s="24"/>
      <c r="JF99" s="24"/>
      <c r="JG99" s="24">
        <v>28</v>
      </c>
      <c r="JH99" s="24">
        <v>28</v>
      </c>
      <c r="JI99" s="24">
        <v>41.58</v>
      </c>
      <c r="JJ99" s="24">
        <v>41.58</v>
      </c>
      <c r="JK99" s="24">
        <v>35.32</v>
      </c>
      <c r="JL99" s="24">
        <v>35.32</v>
      </c>
      <c r="JM99" s="24">
        <v>36.86</v>
      </c>
      <c r="JN99" s="24">
        <v>36.86</v>
      </c>
      <c r="JO99" s="24"/>
      <c r="JP99" s="24"/>
      <c r="JQ99" s="24"/>
      <c r="JR99" s="24"/>
      <c r="JS99" s="24"/>
      <c r="JT99" s="24"/>
      <c r="JU99" s="24"/>
      <c r="JV99" s="24"/>
      <c r="JW99" s="24"/>
      <c r="JX99" s="24"/>
      <c r="JY99" s="24"/>
      <c r="JZ99" s="24"/>
      <c r="KA99" s="24"/>
      <c r="KB99" s="24"/>
      <c r="KC99" s="24"/>
      <c r="KD99" s="24"/>
      <c r="KE99" s="24"/>
      <c r="KF99" s="24"/>
      <c r="KG99" s="24"/>
      <c r="KH99" s="24"/>
      <c r="KI99" s="24"/>
      <c r="KJ99" s="24"/>
      <c r="KK99" s="24"/>
      <c r="KL99" s="24"/>
      <c r="KM99" s="24"/>
      <c r="KN99" s="24"/>
      <c r="KO99" s="24"/>
      <c r="KP99" s="24"/>
      <c r="KQ99" s="24"/>
      <c r="KR99" s="24"/>
      <c r="KS99" s="24"/>
      <c r="KT99" s="24"/>
      <c r="KU99" s="24"/>
      <c r="KV99" s="24"/>
      <c r="KW99" s="24"/>
      <c r="KX99" s="24"/>
      <c r="KY99" s="24"/>
      <c r="KZ99" s="24"/>
      <c r="LA99" s="24"/>
      <c r="LB99" s="24"/>
      <c r="LC99" s="24"/>
      <c r="LD99" s="24"/>
      <c r="LE99" s="24">
        <f t="shared" si="219"/>
        <v>181.39999999999998</v>
      </c>
      <c r="LF99" s="24">
        <f t="shared" si="220"/>
        <v>181.39999999999998</v>
      </c>
      <c r="LG99" s="24"/>
      <c r="LH99" s="24"/>
      <c r="LI99" s="24"/>
      <c r="LJ99" s="24"/>
      <c r="LK99" s="24"/>
      <c r="LL99" s="24"/>
      <c r="LM99" s="24"/>
      <c r="LN99" s="24"/>
      <c r="LO99" s="24"/>
      <c r="LP99" s="24"/>
      <c r="LQ99" s="24"/>
      <c r="LR99" s="24"/>
      <c r="LS99" s="24"/>
      <c r="LT99" s="24"/>
      <c r="LU99" s="24"/>
      <c r="LV99" s="24"/>
      <c r="LW99" s="24"/>
      <c r="LX99" s="24"/>
      <c r="LY99" s="24"/>
      <c r="LZ99" s="24"/>
      <c r="MA99" s="24"/>
      <c r="MB99" s="24"/>
      <c r="MC99" s="24"/>
      <c r="MD99" s="24"/>
      <c r="ME99" s="24"/>
      <c r="MF99" s="24"/>
      <c r="MG99" s="24"/>
      <c r="MH99" s="24"/>
      <c r="MI99" s="24"/>
      <c r="MJ99" s="24"/>
      <c r="MK99" s="24"/>
      <c r="ML99" s="24"/>
      <c r="MM99" s="24"/>
      <c r="MN99" s="24"/>
      <c r="MO99" s="24"/>
      <c r="MP99" s="24"/>
      <c r="MQ99" s="24"/>
      <c r="MR99" s="24"/>
      <c r="MS99" s="24"/>
      <c r="MT99" s="24"/>
      <c r="MU99" s="24"/>
      <c r="MV99" s="24"/>
      <c r="MW99" s="24"/>
      <c r="MX99" s="24"/>
      <c r="MY99" s="24"/>
      <c r="MZ99" s="24"/>
      <c r="NA99" s="24"/>
      <c r="NB99" s="24"/>
      <c r="NC99" s="24"/>
      <c r="ND99" s="24"/>
      <c r="NE99" s="24"/>
      <c r="NF99" s="24"/>
      <c r="NG99" s="24"/>
      <c r="NH99" s="24"/>
      <c r="NI99" s="24"/>
      <c r="NJ99" s="24"/>
      <c r="NK99" s="24"/>
      <c r="NL99" s="24"/>
      <c r="NM99" s="24"/>
      <c r="NN99" s="24"/>
      <c r="NO99" s="24">
        <f t="shared" si="221"/>
        <v>0</v>
      </c>
      <c r="NP99" s="24">
        <f t="shared" si="222"/>
        <v>0</v>
      </c>
      <c r="NQ99" s="24"/>
      <c r="NR99" s="24"/>
      <c r="NS99" s="24"/>
      <c r="NT99" s="24"/>
      <c r="NU99" s="24"/>
      <c r="NV99" s="24"/>
      <c r="NW99" s="24"/>
      <c r="NX99" s="24"/>
      <c r="NY99" s="24"/>
      <c r="NZ99" s="24"/>
      <c r="OA99" s="24"/>
      <c r="OB99" s="24"/>
      <c r="OC99" s="24"/>
      <c r="OD99" s="24"/>
      <c r="OE99" s="24"/>
      <c r="OF99" s="24"/>
      <c r="OG99" s="24"/>
      <c r="OH99" s="24"/>
      <c r="OI99" s="24"/>
      <c r="OJ99" s="24"/>
      <c r="OK99" s="24"/>
      <c r="OL99" s="24"/>
      <c r="OM99" s="24"/>
      <c r="ON99" s="24"/>
      <c r="OO99" s="24"/>
      <c r="OP99" s="24"/>
      <c r="OQ99" s="24"/>
      <c r="OR99" s="24"/>
      <c r="OS99" s="24"/>
      <c r="OT99" s="24"/>
      <c r="OU99" s="24"/>
      <c r="OV99" s="24"/>
      <c r="OW99" s="24"/>
      <c r="OX99" s="24"/>
      <c r="OY99" s="24"/>
      <c r="OZ99" s="24"/>
      <c r="PA99" s="24"/>
      <c r="PB99" s="24"/>
      <c r="PC99" s="24"/>
      <c r="PD99" s="24"/>
      <c r="PE99" s="24"/>
      <c r="PF99" s="24"/>
      <c r="PG99" s="24"/>
      <c r="PH99" s="24"/>
      <c r="PI99" s="24"/>
      <c r="PJ99" s="24"/>
      <c r="PK99" s="24"/>
      <c r="PL99" s="24"/>
      <c r="PM99" s="24"/>
      <c r="PN99" s="24"/>
      <c r="PO99" s="24"/>
      <c r="PP99" s="24"/>
      <c r="PQ99" s="24"/>
      <c r="PR99" s="24"/>
      <c r="PS99" s="24"/>
      <c r="PT99" s="24"/>
      <c r="PU99" s="24"/>
      <c r="PV99" s="24"/>
      <c r="PW99" s="24"/>
      <c r="PX99" s="24"/>
      <c r="PY99" s="24"/>
      <c r="PZ99" s="24"/>
      <c r="QA99" s="24">
        <f t="shared" si="223"/>
        <v>0</v>
      </c>
      <c r="QB99" s="24">
        <f t="shared" si="224"/>
        <v>0</v>
      </c>
      <c r="QC99" s="24"/>
      <c r="QD99" s="24"/>
      <c r="QE99" s="24"/>
      <c r="QF99" s="24"/>
      <c r="QG99" s="24"/>
      <c r="QH99" s="24"/>
      <c r="QI99" s="24"/>
      <c r="QJ99" s="24"/>
      <c r="QK99" s="24"/>
      <c r="QL99" s="24"/>
      <c r="QM99" s="24"/>
      <c r="QN99" s="24"/>
      <c r="QO99" s="24"/>
      <c r="QP99" s="24"/>
      <c r="QQ99" s="24"/>
      <c r="QR99" s="24"/>
      <c r="QS99" s="24"/>
      <c r="QT99" s="24"/>
      <c r="QU99" s="24"/>
      <c r="QV99" s="24"/>
      <c r="QW99" s="24"/>
      <c r="QX99" s="24"/>
      <c r="QY99" s="24"/>
      <c r="QZ99" s="24"/>
      <c r="RA99" s="24"/>
      <c r="RB99" s="24"/>
      <c r="RC99" s="24"/>
      <c r="RD99" s="24"/>
      <c r="RE99" s="24"/>
      <c r="RF99" s="24"/>
      <c r="RG99" s="24"/>
      <c r="RH99" s="24"/>
      <c r="RI99" s="24"/>
      <c r="RJ99" s="24"/>
      <c r="RK99" s="24"/>
      <c r="RL99" s="24"/>
      <c r="RM99" s="24"/>
      <c r="RN99" s="24"/>
      <c r="RO99" s="24"/>
      <c r="RP99" s="24"/>
      <c r="RQ99" s="24"/>
      <c r="RR99" s="24"/>
      <c r="RS99" s="24"/>
      <c r="RT99" s="24"/>
      <c r="RU99" s="24"/>
      <c r="RV99" s="24"/>
      <c r="RW99" s="24"/>
      <c r="RX99" s="24"/>
      <c r="RY99" s="24"/>
      <c r="RZ99" s="24"/>
      <c r="SA99" s="24"/>
      <c r="SB99" s="24"/>
      <c r="SC99" s="24"/>
      <c r="SD99" s="24"/>
      <c r="SE99" s="24"/>
      <c r="SF99" s="24"/>
      <c r="SG99" s="24"/>
      <c r="SH99" s="24"/>
      <c r="SI99" s="24"/>
      <c r="SJ99" s="24"/>
      <c r="SK99" s="24"/>
      <c r="SL99" s="24"/>
      <c r="SM99" s="24">
        <f t="shared" si="225"/>
        <v>0</v>
      </c>
      <c r="SN99" s="24">
        <f t="shared" si="226"/>
        <v>0</v>
      </c>
      <c r="SO99" s="24"/>
      <c r="SP99" s="24"/>
      <c r="SQ99" s="24"/>
      <c r="SR99" s="24"/>
      <c r="SS99" s="24"/>
      <c r="ST99" s="24"/>
      <c r="SU99" s="24"/>
      <c r="SV99" s="24"/>
      <c r="SW99" s="24"/>
      <c r="SX99" s="24"/>
      <c r="SY99" s="24"/>
      <c r="SZ99" s="24"/>
      <c r="TA99" s="24"/>
      <c r="TB99" s="24"/>
      <c r="TC99" s="24"/>
      <c r="TD99" s="24"/>
      <c r="TE99" s="24"/>
      <c r="TF99" s="24"/>
      <c r="TG99" s="24"/>
      <c r="TH99" s="24"/>
      <c r="TI99" s="24"/>
      <c r="TJ99" s="24"/>
      <c r="TK99" s="24"/>
      <c r="TL99" s="24"/>
      <c r="TM99" s="24"/>
      <c r="TN99" s="24"/>
      <c r="TO99" s="24"/>
      <c r="TP99" s="24"/>
      <c r="TQ99" s="24"/>
      <c r="TR99" s="24"/>
      <c r="TS99" s="24"/>
      <c r="TT99" s="24"/>
      <c r="TU99" s="24"/>
      <c r="TV99" s="24"/>
      <c r="TW99" s="24"/>
      <c r="TX99" s="24"/>
      <c r="TY99" s="24"/>
      <c r="TZ99" s="24"/>
      <c r="UA99" s="24"/>
      <c r="UB99" s="24"/>
      <c r="UC99" s="24"/>
      <c r="UD99" s="24"/>
      <c r="UE99" s="24"/>
      <c r="UF99" s="24"/>
      <c r="UG99" s="24"/>
      <c r="UH99" s="24"/>
      <c r="UI99" s="24"/>
      <c r="UJ99" s="24"/>
      <c r="UK99" s="24"/>
      <c r="UL99" s="24"/>
      <c r="UM99" s="24"/>
      <c r="UN99" s="24"/>
      <c r="UO99" s="24"/>
      <c r="UP99" s="24"/>
      <c r="UQ99" s="24"/>
      <c r="UR99" s="24"/>
      <c r="US99" s="24"/>
      <c r="UT99" s="24"/>
      <c r="UU99" s="24"/>
      <c r="UV99" s="24"/>
      <c r="UW99" s="24">
        <f t="shared" si="227"/>
        <v>0</v>
      </c>
      <c r="UX99" s="24">
        <f t="shared" si="228"/>
        <v>0</v>
      </c>
      <c r="UY99" s="24"/>
      <c r="UZ99" s="24"/>
      <c r="VA99" s="24"/>
      <c r="VB99" s="24"/>
      <c r="VC99" s="24"/>
      <c r="VD99" s="24"/>
      <c r="VE99" s="24"/>
      <c r="VF99" s="24"/>
      <c r="VG99" s="24"/>
      <c r="VH99" s="24"/>
      <c r="VI99" s="24"/>
      <c r="VJ99" s="24"/>
      <c r="VK99" s="24"/>
      <c r="VL99" s="24"/>
      <c r="VM99" s="24"/>
      <c r="VN99" s="24"/>
      <c r="VO99" s="24"/>
      <c r="VP99" s="24"/>
      <c r="VQ99" s="24"/>
      <c r="VR99" s="24"/>
      <c r="VS99" s="24"/>
      <c r="VT99" s="24"/>
      <c r="VU99" s="24"/>
      <c r="VV99" s="24"/>
      <c r="VW99" s="24"/>
      <c r="VX99" s="24"/>
      <c r="VY99" s="24"/>
      <c r="VZ99" s="24"/>
      <c r="WA99" s="24"/>
      <c r="WB99" s="24"/>
      <c r="WC99" s="24"/>
      <c r="WD99" s="24"/>
      <c r="WE99" s="24"/>
      <c r="WF99" s="24"/>
      <c r="WG99" s="24"/>
      <c r="WH99" s="24"/>
      <c r="WI99" s="24"/>
      <c r="WJ99" s="24"/>
      <c r="WK99" s="24"/>
      <c r="WL99" s="24"/>
      <c r="WM99" s="24"/>
      <c r="WN99" s="24"/>
      <c r="WO99" s="24"/>
      <c r="WP99" s="24"/>
      <c r="WQ99" s="24"/>
      <c r="WR99" s="24"/>
      <c r="WS99" s="24"/>
      <c r="WT99" s="24"/>
      <c r="WU99" s="24"/>
      <c r="WV99" s="24"/>
      <c r="WW99" s="24"/>
      <c r="WX99" s="24"/>
      <c r="WY99" s="24"/>
      <c r="WZ99" s="24"/>
      <c r="XA99" s="24"/>
      <c r="XB99" s="24"/>
      <c r="XC99" s="24"/>
      <c r="XD99" s="24"/>
      <c r="XE99" s="24"/>
      <c r="XF99" s="24"/>
      <c r="XG99" s="24"/>
      <c r="XH99" s="24"/>
      <c r="XI99" s="24">
        <f t="shared" si="229"/>
        <v>0</v>
      </c>
      <c r="XJ99" s="24">
        <f t="shared" si="230"/>
        <v>0</v>
      </c>
      <c r="XK99" s="24"/>
      <c r="XL99" s="24"/>
      <c r="XM99" s="24"/>
      <c r="XN99" s="24"/>
      <c r="XO99" s="24"/>
      <c r="XP99" s="24"/>
      <c r="XQ99" s="24"/>
      <c r="XR99" s="24"/>
      <c r="XS99" s="24"/>
      <c r="XT99" s="24"/>
      <c r="XU99" s="24"/>
      <c r="XV99" s="24"/>
      <c r="XW99" s="24"/>
      <c r="XX99" s="24"/>
      <c r="XY99" s="24"/>
      <c r="XZ99" s="24"/>
      <c r="YA99" s="24"/>
      <c r="YB99" s="24"/>
      <c r="YC99" s="24"/>
      <c r="YD99" s="24"/>
      <c r="YE99" s="24"/>
      <c r="YF99" s="24"/>
      <c r="YG99" s="24"/>
      <c r="YH99" s="24"/>
      <c r="YI99" s="24"/>
      <c r="YJ99" s="24"/>
      <c r="YK99" s="24"/>
      <c r="YL99" s="24"/>
      <c r="YM99" s="24"/>
      <c r="YN99" s="24"/>
      <c r="YO99" s="24"/>
      <c r="YP99" s="24"/>
      <c r="YQ99" s="24"/>
      <c r="YR99" s="24"/>
      <c r="YS99" s="24"/>
      <c r="YT99" s="24"/>
      <c r="YU99" s="24"/>
      <c r="YV99" s="24"/>
      <c r="YW99" s="24"/>
      <c r="YX99" s="24"/>
      <c r="YY99" s="24"/>
      <c r="YZ99" s="24"/>
      <c r="ZA99" s="24"/>
      <c r="ZB99" s="24"/>
      <c r="ZC99" s="24"/>
      <c r="ZD99" s="24"/>
      <c r="ZE99" s="24"/>
      <c r="ZF99" s="24"/>
      <c r="ZG99" s="24"/>
      <c r="ZH99" s="24"/>
      <c r="ZI99" s="24"/>
      <c r="ZJ99" s="24"/>
      <c r="ZK99" s="24"/>
      <c r="ZL99" s="24"/>
      <c r="ZM99" s="24"/>
      <c r="ZN99" s="24"/>
      <c r="ZO99" s="24"/>
      <c r="ZP99" s="24"/>
      <c r="ZQ99" s="24"/>
      <c r="ZR99" s="24"/>
      <c r="ZS99" s="24">
        <f t="shared" si="231"/>
        <v>0</v>
      </c>
      <c r="ZT99" s="24">
        <f t="shared" si="232"/>
        <v>0</v>
      </c>
      <c r="ZU99" s="24"/>
      <c r="ZV99" s="24"/>
      <c r="ZW99" s="24"/>
      <c r="ZX99" s="24"/>
      <c r="ZY99" s="24"/>
      <c r="ZZ99" s="24"/>
      <c r="AAA99" s="24"/>
      <c r="AAB99" s="24"/>
      <c r="AAC99" s="24"/>
      <c r="AAD99" s="24"/>
      <c r="AAE99" s="24"/>
      <c r="AAF99" s="24"/>
      <c r="AAG99" s="24"/>
      <c r="AAH99" s="24"/>
      <c r="AAI99" s="24"/>
      <c r="AAJ99" s="24"/>
      <c r="AAK99" s="24"/>
      <c r="AAL99" s="24"/>
      <c r="AAM99" s="24"/>
      <c r="AAN99" s="24"/>
      <c r="AAO99" s="24"/>
      <c r="AAP99" s="24"/>
      <c r="AAQ99" s="24"/>
      <c r="AAR99" s="24"/>
      <c r="AAS99" s="24"/>
      <c r="AAT99" s="24"/>
      <c r="AAU99" s="24"/>
      <c r="AAV99" s="24"/>
      <c r="AAW99" s="24"/>
      <c r="AAX99" s="24"/>
      <c r="AAY99" s="24"/>
      <c r="AAZ99" s="24"/>
      <c r="ABA99" s="24"/>
      <c r="ABB99" s="24"/>
      <c r="ABC99" s="24"/>
      <c r="ABD99" s="24"/>
      <c r="ABE99" s="24"/>
      <c r="ABF99" s="24"/>
      <c r="ABG99" s="24"/>
      <c r="ABH99" s="24"/>
      <c r="ABI99" s="24"/>
      <c r="ABJ99" s="24"/>
      <c r="ABK99" s="24"/>
      <c r="ABL99" s="24"/>
      <c r="ABM99" s="24"/>
      <c r="ABN99" s="24"/>
      <c r="ABO99" s="24"/>
      <c r="ABP99" s="24"/>
      <c r="ABQ99" s="24"/>
      <c r="ABR99" s="24"/>
      <c r="ABS99" s="24"/>
      <c r="ABT99" s="24"/>
      <c r="ABU99" s="24"/>
      <c r="ABV99" s="24"/>
      <c r="ABW99" s="24"/>
      <c r="ABX99" s="24"/>
      <c r="ABY99" s="24"/>
      <c r="ABZ99" s="24"/>
      <c r="ACA99" s="24"/>
      <c r="ACB99" s="24"/>
      <c r="ACC99" s="24"/>
      <c r="ACD99" s="24"/>
      <c r="ACE99" s="24">
        <f t="shared" si="233"/>
        <v>0</v>
      </c>
      <c r="ACF99" s="24"/>
      <c r="ACG99" s="24">
        <f t="shared" si="234"/>
        <v>181.39999999999998</v>
      </c>
      <c r="ACH99" s="25"/>
      <c r="ACI99" s="71" t="s">
        <v>190</v>
      </c>
      <c r="ACJ99" s="71" t="s">
        <v>92</v>
      </c>
    </row>
    <row r="100" spans="1:764" ht="15.75" thickBot="1" x14ac:dyDescent="0.3">
      <c r="A100" s="162"/>
      <c r="B100" s="153"/>
      <c r="C100" s="158"/>
      <c r="D100" s="68" t="s">
        <v>9</v>
      </c>
      <c r="E100" s="7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45" cm="1">
        <f t="array" ref="BO100">SUMPRODUCT(E100:BM100,--(E$2:BM$2=BO$2))</f>
        <v>0</v>
      </c>
      <c r="BP100" s="45" cm="1">
        <f t="array" ref="BP100">SUMPRODUCT(F100:BN100,--(F$2:BN$2=BP$2))</f>
        <v>0</v>
      </c>
      <c r="BQ100" s="45"/>
      <c r="BR100" s="45"/>
      <c r="BS100" s="45"/>
      <c r="BT100" s="45"/>
      <c r="BU100" s="45"/>
      <c r="BV100" s="45"/>
      <c r="BW100" s="45"/>
      <c r="BX100" s="45"/>
      <c r="BY100" s="45"/>
      <c r="BZ100" s="45"/>
      <c r="CA100" s="45"/>
      <c r="CB100" s="45"/>
      <c r="CC100" s="45"/>
      <c r="CD100" s="45"/>
      <c r="CE100" s="45"/>
      <c r="CF100" s="45"/>
      <c r="CG100" s="45"/>
      <c r="CH100" s="45"/>
      <c r="CI100" s="45"/>
      <c r="CJ100" s="45"/>
      <c r="CK100" s="45"/>
      <c r="CL100" s="45"/>
      <c r="CM100" s="45"/>
      <c r="CN100" s="45"/>
      <c r="CO100" s="45"/>
      <c r="CP100" s="45"/>
      <c r="CQ100" s="45"/>
      <c r="CR100" s="45"/>
      <c r="CS100" s="45"/>
      <c r="CT100" s="45"/>
      <c r="CU100" s="45"/>
      <c r="CV100" s="45"/>
      <c r="CW100" s="45"/>
      <c r="CX100" s="45"/>
      <c r="CY100" s="45"/>
      <c r="CZ100" s="45"/>
      <c r="DA100" s="45"/>
      <c r="DB100" s="45"/>
      <c r="DC100" s="45"/>
      <c r="DD100" s="45"/>
      <c r="DE100" s="45"/>
      <c r="DF100" s="45"/>
      <c r="DG100" s="45"/>
      <c r="DH100" s="45"/>
      <c r="DI100" s="45"/>
      <c r="DJ100" s="45"/>
      <c r="DK100" s="45"/>
      <c r="DL100" s="45"/>
      <c r="DM100" s="45"/>
      <c r="DN100" s="45"/>
      <c r="DO100" s="45"/>
      <c r="DP100" s="45"/>
      <c r="DQ100" s="45"/>
      <c r="DR100" s="45"/>
      <c r="DS100" s="45"/>
      <c r="DT100" s="45"/>
      <c r="DU100" s="45"/>
      <c r="DV100" s="45"/>
      <c r="DW100" s="45" cm="1">
        <f t="array" ref="DW100">SUMPRODUCT(BQ100:DU100,--(BQ$2:DU$2=DW$2))</f>
        <v>0</v>
      </c>
      <c r="DX100" s="45" cm="1">
        <f t="array" ref="DX100">SUMPRODUCT(BR100:DV100,--(BR$2:DV$2=DX$2))</f>
        <v>0</v>
      </c>
      <c r="DY100" s="45"/>
      <c r="DZ100" s="45"/>
      <c r="EA100" s="45"/>
      <c r="EB100" s="45"/>
      <c r="EC100" s="45"/>
      <c r="ED100" s="45"/>
      <c r="EE100" s="45"/>
      <c r="EF100" s="45"/>
      <c r="EG100" s="45"/>
      <c r="EH100" s="45"/>
      <c r="EI100" s="45"/>
      <c r="EJ100" s="45"/>
      <c r="EK100" s="45"/>
      <c r="EL100" s="45"/>
      <c r="EM100" s="45"/>
      <c r="EN100" s="45"/>
      <c r="EO100" s="45"/>
      <c r="EP100" s="45"/>
      <c r="EQ100" s="45"/>
      <c r="ER100" s="45"/>
      <c r="ES100" s="45"/>
      <c r="ET100" s="45"/>
      <c r="EU100" s="45"/>
      <c r="EV100" s="45"/>
      <c r="EW100" s="45"/>
      <c r="EX100" s="45"/>
      <c r="EY100" s="45"/>
      <c r="EZ100" s="45"/>
      <c r="FA100" s="45"/>
      <c r="FB100" s="45"/>
      <c r="FC100" s="45"/>
      <c r="FD100" s="45"/>
      <c r="FE100" s="45"/>
      <c r="FF100" s="45"/>
      <c r="FG100" s="45"/>
      <c r="FH100" s="45"/>
      <c r="FI100" s="45"/>
      <c r="FJ100" s="45"/>
      <c r="FK100" s="45"/>
      <c r="FL100" s="45"/>
      <c r="FM100" s="45"/>
      <c r="FN100" s="45"/>
      <c r="FO100" s="45"/>
      <c r="FP100" s="45"/>
      <c r="FQ100" s="45"/>
      <c r="FR100" s="45"/>
      <c r="FS100" s="45"/>
      <c r="FT100" s="45"/>
      <c r="FU100" s="45"/>
      <c r="FV100" s="45"/>
      <c r="FW100" s="45"/>
      <c r="FX100" s="45"/>
      <c r="FY100" s="45"/>
      <c r="FZ100" s="45"/>
      <c r="GA100" s="45"/>
      <c r="GB100" s="45"/>
      <c r="GC100" s="45"/>
      <c r="GD100" s="45"/>
      <c r="GE100" s="45"/>
      <c r="GF100" s="45"/>
      <c r="GG100" s="45"/>
      <c r="GH100" s="45"/>
      <c r="GI100" s="45" cm="1">
        <f t="array" ref="GI100">SUMPRODUCT(DY100:GG100,--(DY$2:GG$2=GI$2))</f>
        <v>0</v>
      </c>
      <c r="GJ100" s="45" cm="1">
        <f t="array" ref="GJ100">SUMPRODUCT(DZ100:GH100,--(DZ$2:GH$2=GJ$2))</f>
        <v>0</v>
      </c>
      <c r="GK100" s="24"/>
      <c r="GL100" s="24"/>
      <c r="GM100" s="24"/>
      <c r="GN100" s="24"/>
      <c r="GO100" s="24"/>
      <c r="GP100" s="24"/>
      <c r="GQ100" s="24"/>
      <c r="GR100" s="24"/>
      <c r="GS100" s="24"/>
      <c r="GT100" s="24"/>
      <c r="GU100" s="24"/>
      <c r="GV100" s="24"/>
      <c r="GW100" s="24"/>
      <c r="GX100" s="24"/>
      <c r="GY100" s="24"/>
      <c r="GZ100" s="24"/>
      <c r="HA100" s="24"/>
      <c r="HB100" s="24"/>
      <c r="HC100" s="24"/>
      <c r="HD100" s="24"/>
      <c r="HE100" s="24"/>
      <c r="HF100" s="24"/>
      <c r="HG100" s="24"/>
      <c r="HH100" s="24"/>
      <c r="HI100" s="24"/>
      <c r="HJ100" s="24"/>
      <c r="HK100" s="24"/>
      <c r="HL100" s="24"/>
      <c r="HM100" s="24"/>
      <c r="HN100" s="24"/>
      <c r="HO100" s="24"/>
      <c r="HP100" s="24"/>
      <c r="HQ100" s="24"/>
      <c r="HR100" s="24"/>
      <c r="HS100" s="24"/>
      <c r="HT100" s="24"/>
      <c r="HU100" s="24"/>
      <c r="HV100" s="24"/>
      <c r="HW100" s="24"/>
      <c r="HX100" s="24"/>
      <c r="HY100" s="24"/>
      <c r="HZ100" s="24"/>
      <c r="IA100" s="24"/>
      <c r="IB100" s="24"/>
      <c r="IC100" s="24"/>
      <c r="ID100" s="24"/>
      <c r="IE100" s="24"/>
      <c r="IF100" s="24"/>
      <c r="IG100" s="24"/>
      <c r="IH100" s="24"/>
      <c r="II100" s="24"/>
      <c r="IJ100" s="24"/>
      <c r="IK100" s="24"/>
      <c r="IL100" s="24"/>
      <c r="IM100" s="24"/>
      <c r="IN100" s="24"/>
      <c r="IO100" s="24"/>
      <c r="IP100" s="24"/>
      <c r="IQ100" s="24"/>
      <c r="IR100" s="24"/>
      <c r="IS100" s="45">
        <f t="shared" si="217"/>
        <v>0</v>
      </c>
      <c r="IT100" s="45">
        <f t="shared" si="218"/>
        <v>0</v>
      </c>
      <c r="IU100" s="45"/>
      <c r="IV100" s="45"/>
      <c r="IW100" s="45"/>
      <c r="IX100" s="45"/>
      <c r="IY100" s="45"/>
      <c r="IZ100" s="45"/>
      <c r="JA100" s="45"/>
      <c r="JB100" s="45"/>
      <c r="JC100" s="45"/>
      <c r="JD100" s="45"/>
      <c r="JE100" s="45"/>
      <c r="JF100" s="45"/>
      <c r="JG100" s="45"/>
      <c r="JH100" s="45"/>
      <c r="JI100" s="45"/>
      <c r="JJ100" s="45"/>
      <c r="JK100" s="45"/>
      <c r="JL100" s="45"/>
      <c r="JM100" s="45"/>
      <c r="JN100" s="45"/>
      <c r="JO100" s="45"/>
      <c r="JP100" s="45"/>
      <c r="JQ100" s="45"/>
      <c r="JR100" s="45"/>
      <c r="JS100" s="45"/>
      <c r="JT100" s="45"/>
      <c r="JU100" s="45"/>
      <c r="JV100" s="45"/>
      <c r="JW100" s="45"/>
      <c r="JX100" s="45"/>
      <c r="JY100" s="45"/>
      <c r="JZ100" s="45"/>
      <c r="KA100" s="45"/>
      <c r="KB100" s="45"/>
      <c r="KC100" s="45"/>
      <c r="KD100" s="45"/>
      <c r="KE100" s="45"/>
      <c r="KF100" s="45"/>
      <c r="KG100" s="45"/>
      <c r="KH100" s="45"/>
      <c r="KI100" s="45"/>
      <c r="KJ100" s="45"/>
      <c r="KK100" s="45"/>
      <c r="KL100" s="45"/>
      <c r="KM100" s="45"/>
      <c r="KN100" s="45"/>
      <c r="KO100" s="45"/>
      <c r="KP100" s="45"/>
      <c r="KQ100" s="45"/>
      <c r="KR100" s="45"/>
      <c r="KS100" s="45"/>
      <c r="KT100" s="45"/>
      <c r="KU100" s="45"/>
      <c r="KV100" s="45"/>
      <c r="KW100" s="45"/>
      <c r="KX100" s="45"/>
      <c r="KY100" s="45"/>
      <c r="KZ100" s="45"/>
      <c r="LA100" s="45"/>
      <c r="LB100" s="45"/>
      <c r="LC100" s="45"/>
      <c r="LD100" s="45"/>
      <c r="LE100" s="45">
        <f t="shared" si="219"/>
        <v>0</v>
      </c>
      <c r="LF100" s="45">
        <f t="shared" si="220"/>
        <v>0</v>
      </c>
      <c r="LG100" s="45"/>
      <c r="LH100" s="45"/>
      <c r="LI100" s="45"/>
      <c r="LJ100" s="45"/>
      <c r="LK100" s="45"/>
      <c r="LL100" s="45"/>
      <c r="LM100" s="45"/>
      <c r="LN100" s="45"/>
      <c r="LO100" s="45"/>
      <c r="LP100" s="45"/>
      <c r="LQ100" s="45"/>
      <c r="LR100" s="45"/>
      <c r="LS100" s="45"/>
      <c r="LT100" s="45"/>
      <c r="LU100" s="45"/>
      <c r="LV100" s="45"/>
      <c r="LW100" s="45"/>
      <c r="LX100" s="45"/>
      <c r="LY100" s="45"/>
      <c r="LZ100" s="45"/>
      <c r="MA100" s="45"/>
      <c r="MB100" s="45"/>
      <c r="MC100" s="45"/>
      <c r="MD100" s="45"/>
      <c r="ME100" s="45"/>
      <c r="MF100" s="45"/>
      <c r="MG100" s="45"/>
      <c r="MH100" s="45"/>
      <c r="MI100" s="45"/>
      <c r="MJ100" s="45"/>
      <c r="MK100" s="45"/>
      <c r="ML100" s="45"/>
      <c r="MM100" s="45"/>
      <c r="MN100" s="45"/>
      <c r="MO100" s="45"/>
      <c r="MP100" s="45"/>
      <c r="MQ100" s="45"/>
      <c r="MR100" s="45"/>
      <c r="MS100" s="45"/>
      <c r="MT100" s="45"/>
      <c r="MU100" s="45"/>
      <c r="MV100" s="45"/>
      <c r="MW100" s="45"/>
      <c r="MX100" s="45"/>
      <c r="MY100" s="45"/>
      <c r="MZ100" s="45"/>
      <c r="NA100" s="45"/>
      <c r="NB100" s="45"/>
      <c r="NC100" s="45"/>
      <c r="ND100" s="45"/>
      <c r="NE100" s="45"/>
      <c r="NF100" s="45"/>
      <c r="NG100" s="45"/>
      <c r="NH100" s="45"/>
      <c r="NI100" s="45"/>
      <c r="NJ100" s="45"/>
      <c r="NK100" s="45"/>
      <c r="NL100" s="45"/>
      <c r="NM100" s="45"/>
      <c r="NN100" s="45"/>
      <c r="NO100" s="45">
        <f t="shared" si="221"/>
        <v>0</v>
      </c>
      <c r="NP100" s="45">
        <f t="shared" si="222"/>
        <v>0</v>
      </c>
      <c r="NQ100" s="45"/>
      <c r="NR100" s="45"/>
      <c r="NS100" s="45"/>
      <c r="NT100" s="45"/>
      <c r="NU100" s="45"/>
      <c r="NV100" s="45"/>
      <c r="NW100" s="45"/>
      <c r="NX100" s="45"/>
      <c r="NY100" s="45"/>
      <c r="NZ100" s="45"/>
      <c r="OA100" s="45"/>
      <c r="OB100" s="45"/>
      <c r="OC100" s="45"/>
      <c r="OD100" s="45"/>
      <c r="OE100" s="45"/>
      <c r="OF100" s="45"/>
      <c r="OG100" s="45"/>
      <c r="OH100" s="45"/>
      <c r="OI100" s="45"/>
      <c r="OJ100" s="45"/>
      <c r="OK100" s="45"/>
      <c r="OL100" s="45"/>
      <c r="OM100" s="45"/>
      <c r="ON100" s="45"/>
      <c r="OO100" s="45"/>
      <c r="OP100" s="45"/>
      <c r="OQ100" s="45"/>
      <c r="OR100" s="45"/>
      <c r="OS100" s="45"/>
      <c r="OT100" s="45"/>
      <c r="OU100" s="45"/>
      <c r="OV100" s="45"/>
      <c r="OW100" s="45"/>
      <c r="OX100" s="45"/>
      <c r="OY100" s="45"/>
      <c r="OZ100" s="45"/>
      <c r="PA100" s="45"/>
      <c r="PB100" s="45"/>
      <c r="PC100" s="45"/>
      <c r="PD100" s="45"/>
      <c r="PE100" s="45"/>
      <c r="PF100" s="45"/>
      <c r="PG100" s="45"/>
      <c r="PH100" s="45"/>
      <c r="PI100" s="45"/>
      <c r="PJ100" s="45"/>
      <c r="PK100" s="45"/>
      <c r="PL100" s="45"/>
      <c r="PM100" s="45"/>
      <c r="PN100" s="45"/>
      <c r="PO100" s="45"/>
      <c r="PP100" s="45"/>
      <c r="PQ100" s="45"/>
      <c r="PR100" s="45"/>
      <c r="PS100" s="45"/>
      <c r="PT100" s="45"/>
      <c r="PU100" s="45"/>
      <c r="PV100" s="45"/>
      <c r="PW100" s="45"/>
      <c r="PX100" s="45"/>
      <c r="PY100" s="45"/>
      <c r="PZ100" s="45"/>
      <c r="QA100" s="45">
        <f t="shared" si="223"/>
        <v>0</v>
      </c>
      <c r="QB100" s="45">
        <f t="shared" si="224"/>
        <v>0</v>
      </c>
      <c r="QC100" s="45"/>
      <c r="QD100" s="45"/>
      <c r="QE100" s="45"/>
      <c r="QF100" s="45"/>
      <c r="QG100" s="45"/>
      <c r="QH100" s="45"/>
      <c r="QI100" s="45"/>
      <c r="QJ100" s="45"/>
      <c r="QK100" s="45"/>
      <c r="QL100" s="45"/>
      <c r="QM100" s="45"/>
      <c r="QN100" s="45"/>
      <c r="QO100" s="45"/>
      <c r="QP100" s="45"/>
      <c r="QQ100" s="45"/>
      <c r="QR100" s="45"/>
      <c r="QS100" s="45"/>
      <c r="QT100" s="45"/>
      <c r="QU100" s="45"/>
      <c r="QV100" s="45"/>
      <c r="QW100" s="45"/>
      <c r="QX100" s="45"/>
      <c r="QY100" s="45"/>
      <c r="QZ100" s="45"/>
      <c r="RA100" s="45"/>
      <c r="RB100" s="45"/>
      <c r="RC100" s="45"/>
      <c r="RD100" s="45"/>
      <c r="RE100" s="45"/>
      <c r="RF100" s="45"/>
      <c r="RG100" s="45"/>
      <c r="RH100" s="45"/>
      <c r="RI100" s="45"/>
      <c r="RJ100" s="45"/>
      <c r="RK100" s="45"/>
      <c r="RL100" s="45"/>
      <c r="RM100" s="45"/>
      <c r="RN100" s="45"/>
      <c r="RO100" s="45"/>
      <c r="RP100" s="45"/>
      <c r="RQ100" s="45"/>
      <c r="RR100" s="45"/>
      <c r="RS100" s="45"/>
      <c r="RT100" s="45"/>
      <c r="RU100" s="45"/>
      <c r="RV100" s="45"/>
      <c r="RW100" s="45"/>
      <c r="RX100" s="45"/>
      <c r="RY100" s="45"/>
      <c r="RZ100" s="45"/>
      <c r="SA100" s="45"/>
      <c r="SB100" s="45"/>
      <c r="SC100" s="45"/>
      <c r="SD100" s="45"/>
      <c r="SE100" s="45"/>
      <c r="SF100" s="45"/>
      <c r="SG100" s="45"/>
      <c r="SH100" s="45"/>
      <c r="SI100" s="45"/>
      <c r="SJ100" s="45"/>
      <c r="SK100" s="45"/>
      <c r="SL100" s="45"/>
      <c r="SM100" s="45">
        <f t="shared" si="225"/>
        <v>0</v>
      </c>
      <c r="SN100" s="45">
        <f t="shared" si="226"/>
        <v>0</v>
      </c>
      <c r="SO100" s="24"/>
      <c r="SP100" s="24"/>
      <c r="SQ100" s="24"/>
      <c r="SR100" s="24"/>
      <c r="SS100" s="24"/>
      <c r="ST100" s="24"/>
      <c r="SU100" s="24"/>
      <c r="SV100" s="24"/>
      <c r="SW100" s="24"/>
      <c r="SX100" s="24"/>
      <c r="SY100" s="24"/>
      <c r="SZ100" s="24"/>
      <c r="TA100" s="24"/>
      <c r="TB100" s="24"/>
      <c r="TC100" s="24"/>
      <c r="TD100" s="24"/>
      <c r="TE100" s="24"/>
      <c r="TF100" s="24"/>
      <c r="TG100" s="24"/>
      <c r="TH100" s="24"/>
      <c r="TI100" s="24"/>
      <c r="TJ100" s="24"/>
      <c r="TK100" s="24"/>
      <c r="TL100" s="24"/>
      <c r="TM100" s="24"/>
      <c r="TN100" s="24"/>
      <c r="TO100" s="24"/>
      <c r="TP100" s="24"/>
      <c r="TQ100" s="24"/>
      <c r="TR100" s="24"/>
      <c r="TS100" s="24"/>
      <c r="TT100" s="24"/>
      <c r="TU100" s="24"/>
      <c r="TV100" s="24"/>
      <c r="TW100" s="24"/>
      <c r="TX100" s="24"/>
      <c r="TY100" s="24"/>
      <c r="TZ100" s="24"/>
      <c r="UA100" s="24"/>
      <c r="UB100" s="24"/>
      <c r="UC100" s="24"/>
      <c r="UD100" s="24"/>
      <c r="UE100" s="24"/>
      <c r="UF100" s="24"/>
      <c r="UG100" s="24"/>
      <c r="UH100" s="24"/>
      <c r="UI100" s="24"/>
      <c r="UJ100" s="24"/>
      <c r="UK100" s="24"/>
      <c r="UL100" s="24"/>
      <c r="UM100" s="24"/>
      <c r="UN100" s="24"/>
      <c r="UO100" s="24"/>
      <c r="UP100" s="24"/>
      <c r="UQ100" s="24"/>
      <c r="UR100" s="24"/>
      <c r="US100" s="24"/>
      <c r="UT100" s="24"/>
      <c r="UU100" s="24"/>
      <c r="UV100" s="24"/>
      <c r="UW100" s="45">
        <f t="shared" si="227"/>
        <v>0</v>
      </c>
      <c r="UX100" s="45">
        <f t="shared" si="228"/>
        <v>0</v>
      </c>
      <c r="UY100" s="45"/>
      <c r="UZ100" s="45"/>
      <c r="VA100" s="45"/>
      <c r="VB100" s="45"/>
      <c r="VC100" s="45"/>
      <c r="VD100" s="45"/>
      <c r="VE100" s="45"/>
      <c r="VF100" s="45"/>
      <c r="VG100" s="45"/>
      <c r="VH100" s="45"/>
      <c r="VI100" s="45"/>
      <c r="VJ100" s="45"/>
      <c r="VK100" s="45"/>
      <c r="VL100" s="45"/>
      <c r="VM100" s="45"/>
      <c r="VN100" s="45"/>
      <c r="VO100" s="45"/>
      <c r="VP100" s="45"/>
      <c r="VQ100" s="45"/>
      <c r="VR100" s="45"/>
      <c r="VS100" s="45"/>
      <c r="VT100" s="45"/>
      <c r="VU100" s="45"/>
      <c r="VV100" s="45"/>
      <c r="VW100" s="45"/>
      <c r="VX100" s="45"/>
      <c r="VY100" s="45"/>
      <c r="VZ100" s="45"/>
      <c r="WA100" s="45"/>
      <c r="WB100" s="45"/>
      <c r="WC100" s="45"/>
      <c r="WD100" s="45"/>
      <c r="WE100" s="45"/>
      <c r="WF100" s="45"/>
      <c r="WG100" s="45"/>
      <c r="WH100" s="45"/>
      <c r="WI100" s="45"/>
      <c r="WJ100" s="45"/>
      <c r="WK100" s="45"/>
      <c r="WL100" s="45"/>
      <c r="WM100" s="45"/>
      <c r="WN100" s="45"/>
      <c r="WO100" s="45"/>
      <c r="WP100" s="45"/>
      <c r="WQ100" s="45"/>
      <c r="WR100" s="45"/>
      <c r="WS100" s="45"/>
      <c r="WT100" s="45"/>
      <c r="WU100" s="45"/>
      <c r="WV100" s="45"/>
      <c r="WW100" s="45"/>
      <c r="WX100" s="45"/>
      <c r="WY100" s="45"/>
      <c r="WZ100" s="45"/>
      <c r="XA100" s="45"/>
      <c r="XB100" s="45"/>
      <c r="XC100" s="45"/>
      <c r="XD100" s="45"/>
      <c r="XE100" s="45"/>
      <c r="XF100" s="45"/>
      <c r="XG100" s="45"/>
      <c r="XH100" s="45"/>
      <c r="XI100" s="45">
        <f t="shared" si="229"/>
        <v>0</v>
      </c>
      <c r="XJ100" s="45">
        <f t="shared" si="230"/>
        <v>0</v>
      </c>
      <c r="XK100" s="45"/>
      <c r="XL100" s="45"/>
      <c r="XM100" s="45"/>
      <c r="XN100" s="45"/>
      <c r="XO100" s="45"/>
      <c r="XP100" s="45"/>
      <c r="XQ100" s="45"/>
      <c r="XR100" s="45"/>
      <c r="XS100" s="45"/>
      <c r="XT100" s="45"/>
      <c r="XU100" s="45"/>
      <c r="XV100" s="45"/>
      <c r="XW100" s="45"/>
      <c r="XX100" s="45"/>
      <c r="XY100" s="45"/>
      <c r="XZ100" s="45"/>
      <c r="YA100" s="45"/>
      <c r="YB100" s="45"/>
      <c r="YC100" s="45"/>
      <c r="YD100" s="45"/>
      <c r="YE100" s="45"/>
      <c r="YF100" s="45"/>
      <c r="YG100" s="45"/>
      <c r="YH100" s="45"/>
      <c r="YI100" s="45"/>
      <c r="YJ100" s="45"/>
      <c r="YK100" s="45"/>
      <c r="YL100" s="45"/>
      <c r="YM100" s="45"/>
      <c r="YN100" s="45"/>
      <c r="YO100" s="45"/>
      <c r="YP100" s="45"/>
      <c r="YQ100" s="45"/>
      <c r="YR100" s="45"/>
      <c r="YS100" s="45"/>
      <c r="YT100" s="45"/>
      <c r="YU100" s="45"/>
      <c r="YV100" s="45"/>
      <c r="YW100" s="45"/>
      <c r="YX100" s="45"/>
      <c r="YY100" s="45"/>
      <c r="YZ100" s="45"/>
      <c r="ZA100" s="45"/>
      <c r="ZB100" s="45"/>
      <c r="ZC100" s="45"/>
      <c r="ZD100" s="45"/>
      <c r="ZE100" s="45"/>
      <c r="ZF100" s="45"/>
      <c r="ZG100" s="45"/>
      <c r="ZH100" s="45"/>
      <c r="ZI100" s="45"/>
      <c r="ZJ100" s="45"/>
      <c r="ZK100" s="45"/>
      <c r="ZL100" s="45"/>
      <c r="ZM100" s="45"/>
      <c r="ZN100" s="45"/>
      <c r="ZO100" s="45"/>
      <c r="ZP100" s="45"/>
      <c r="ZQ100" s="45"/>
      <c r="ZR100" s="45"/>
      <c r="ZS100" s="45">
        <f t="shared" si="231"/>
        <v>0</v>
      </c>
      <c r="ZT100" s="45">
        <f t="shared" si="232"/>
        <v>0</v>
      </c>
      <c r="ZU100" s="45"/>
      <c r="ZV100" s="45"/>
      <c r="ZW100" s="45"/>
      <c r="ZX100" s="45"/>
      <c r="ZY100" s="45"/>
      <c r="ZZ100" s="45"/>
      <c r="AAA100" s="45"/>
      <c r="AAB100" s="45"/>
      <c r="AAC100" s="45"/>
      <c r="AAD100" s="45"/>
      <c r="AAE100" s="45"/>
      <c r="AAF100" s="45"/>
      <c r="AAG100" s="45"/>
      <c r="AAH100" s="45"/>
      <c r="AAI100" s="45"/>
      <c r="AAJ100" s="45"/>
      <c r="AAK100" s="45"/>
      <c r="AAL100" s="45"/>
      <c r="AAM100" s="45"/>
      <c r="AAN100" s="45"/>
      <c r="AAO100" s="45"/>
      <c r="AAP100" s="45"/>
      <c r="AAQ100" s="45"/>
      <c r="AAR100" s="45"/>
      <c r="AAS100" s="45"/>
      <c r="AAT100" s="45"/>
      <c r="AAU100" s="45"/>
      <c r="AAV100" s="45"/>
      <c r="AAW100" s="45"/>
      <c r="AAX100" s="45"/>
      <c r="AAY100" s="45"/>
      <c r="AAZ100" s="45"/>
      <c r="ABA100" s="45"/>
      <c r="ABB100" s="45"/>
      <c r="ABC100" s="45"/>
      <c r="ABD100" s="45"/>
      <c r="ABE100" s="45"/>
      <c r="ABF100" s="45"/>
      <c r="ABG100" s="45"/>
      <c r="ABH100" s="45"/>
      <c r="ABI100" s="45"/>
      <c r="ABJ100" s="45"/>
      <c r="ABK100" s="45"/>
      <c r="ABL100" s="45"/>
      <c r="ABM100" s="45"/>
      <c r="ABN100" s="45"/>
      <c r="ABO100" s="45"/>
      <c r="ABP100" s="45"/>
      <c r="ABQ100" s="45"/>
      <c r="ABR100" s="45"/>
      <c r="ABS100" s="45"/>
      <c r="ABT100" s="45"/>
      <c r="ABU100" s="45"/>
      <c r="ABV100" s="45"/>
      <c r="ABW100" s="45"/>
      <c r="ABX100" s="45"/>
      <c r="ABY100" s="45"/>
      <c r="ABZ100" s="45"/>
      <c r="ACA100" s="45"/>
      <c r="ACB100" s="45"/>
      <c r="ACC100" s="45"/>
      <c r="ACD100" s="45"/>
      <c r="ACE100" s="45">
        <f t="shared" si="233"/>
        <v>0</v>
      </c>
      <c r="ACF100" s="45"/>
      <c r="ACG100" s="45">
        <f t="shared" si="234"/>
        <v>0</v>
      </c>
      <c r="ACH100" s="55"/>
      <c r="ACI100" s="71" t="s">
        <v>191</v>
      </c>
      <c r="ACJ100" s="71" t="s">
        <v>92</v>
      </c>
    </row>
    <row r="101" spans="1:764" ht="16.5" thickBot="1" x14ac:dyDescent="0.3">
      <c r="A101" s="163"/>
      <c r="B101" s="164" t="s">
        <v>37</v>
      </c>
      <c r="C101" s="165"/>
      <c r="D101" s="166"/>
      <c r="E101" s="48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>
        <f>SUM(BO91:BO100)</f>
        <v>8579.4500000000025</v>
      </c>
      <c r="BP101" s="39">
        <f>SUM(BP91:BP100)</f>
        <v>8579.4500000000025</v>
      </c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39"/>
      <c r="DB101" s="39"/>
      <c r="DC101" s="39"/>
      <c r="DD101" s="39"/>
      <c r="DE101" s="39"/>
      <c r="DF101" s="39"/>
      <c r="DG101" s="39"/>
      <c r="DH101" s="39"/>
      <c r="DI101" s="39"/>
      <c r="DJ101" s="39"/>
      <c r="DK101" s="39"/>
      <c r="DL101" s="39"/>
      <c r="DM101" s="39"/>
      <c r="DN101" s="39"/>
      <c r="DO101" s="39"/>
      <c r="DP101" s="39"/>
      <c r="DQ101" s="39"/>
      <c r="DR101" s="39"/>
      <c r="DS101" s="39"/>
      <c r="DT101" s="39"/>
      <c r="DU101" s="39"/>
      <c r="DV101" s="39"/>
      <c r="DW101" s="39">
        <f>SUM(DW91:DW100)</f>
        <v>7867.06</v>
      </c>
      <c r="DX101" s="39">
        <f>SUM(DX91:DX100)</f>
        <v>0</v>
      </c>
      <c r="DY101" s="39"/>
      <c r="DZ101" s="39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>
        <f>SUM(GI91:GI100)</f>
        <v>7506.2</v>
      </c>
      <c r="GJ101" s="39">
        <f>SUM(GJ91:GJ100)</f>
        <v>7506.2</v>
      </c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>
        <f>SUM(IS91:IS100)</f>
        <v>6424.0999999999995</v>
      </c>
      <c r="IT101" s="39">
        <f>SUM(IT91:IT100)</f>
        <v>6424.0999999999995</v>
      </c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  <c r="JP101" s="39"/>
      <c r="JQ101" s="39"/>
      <c r="JR101" s="39"/>
      <c r="JS101" s="39"/>
      <c r="JT101" s="39"/>
      <c r="JU101" s="39"/>
      <c r="JV101" s="39"/>
      <c r="JW101" s="39"/>
      <c r="JX101" s="39"/>
      <c r="JY101" s="39"/>
      <c r="JZ101" s="39"/>
      <c r="KA101" s="39"/>
      <c r="KB101" s="39"/>
      <c r="KC101" s="39"/>
      <c r="KD101" s="39"/>
      <c r="KE101" s="39"/>
      <c r="KF101" s="39"/>
      <c r="KG101" s="39"/>
      <c r="KH101" s="39"/>
      <c r="KI101" s="39"/>
      <c r="KJ101" s="39"/>
      <c r="KK101" s="39"/>
      <c r="KL101" s="39"/>
      <c r="KM101" s="39"/>
      <c r="KN101" s="39"/>
      <c r="KO101" s="39"/>
      <c r="KP101" s="39"/>
      <c r="KQ101" s="39"/>
      <c r="KR101" s="39"/>
      <c r="KS101" s="39"/>
      <c r="KT101" s="39"/>
      <c r="KU101" s="39"/>
      <c r="KV101" s="39"/>
      <c r="KW101" s="39"/>
      <c r="KX101" s="39"/>
      <c r="KY101" s="39"/>
      <c r="KZ101" s="39"/>
      <c r="LA101" s="39"/>
      <c r="LB101" s="39"/>
      <c r="LC101" s="39"/>
      <c r="LD101" s="39"/>
      <c r="LE101" s="39">
        <f>SUM(LE91:LE100)</f>
        <v>3276.5699999999993</v>
      </c>
      <c r="LF101" s="39">
        <f>SUM(LF91:LF100)</f>
        <v>3004.7199999999993</v>
      </c>
      <c r="LG101" s="39"/>
      <c r="LH101" s="39"/>
      <c r="LI101" s="39"/>
      <c r="LJ101" s="39"/>
      <c r="LK101" s="39"/>
      <c r="LL101" s="39"/>
      <c r="LM101" s="39"/>
      <c r="LN101" s="39"/>
      <c r="LO101" s="39"/>
      <c r="LP101" s="39"/>
      <c r="LQ101" s="39"/>
      <c r="LR101" s="39"/>
      <c r="LS101" s="39"/>
      <c r="LT101" s="39"/>
      <c r="LU101" s="39"/>
      <c r="LV101" s="39"/>
      <c r="LW101" s="39"/>
      <c r="LX101" s="39"/>
      <c r="LY101" s="39"/>
      <c r="LZ101" s="39"/>
      <c r="MA101" s="39"/>
      <c r="MB101" s="39"/>
      <c r="MC101" s="39"/>
      <c r="MD101" s="39"/>
      <c r="ME101" s="39"/>
      <c r="MF101" s="39"/>
      <c r="MG101" s="39"/>
      <c r="MH101" s="39"/>
      <c r="MI101" s="39"/>
      <c r="MJ101" s="39"/>
      <c r="MK101" s="39"/>
      <c r="ML101" s="39"/>
      <c r="MM101" s="39"/>
      <c r="MN101" s="39"/>
      <c r="MO101" s="39"/>
      <c r="MP101" s="39"/>
      <c r="MQ101" s="39"/>
      <c r="MR101" s="39"/>
      <c r="MS101" s="39"/>
      <c r="MT101" s="39"/>
      <c r="MU101" s="39"/>
      <c r="MV101" s="39"/>
      <c r="MW101" s="39"/>
      <c r="MX101" s="39"/>
      <c r="MY101" s="39"/>
      <c r="MZ101" s="39"/>
      <c r="NA101" s="39"/>
      <c r="NB101" s="39"/>
      <c r="NC101" s="39"/>
      <c r="ND101" s="39"/>
      <c r="NE101" s="39"/>
      <c r="NF101" s="39"/>
      <c r="NG101" s="39"/>
      <c r="NH101" s="39"/>
      <c r="NI101" s="39"/>
      <c r="NJ101" s="39"/>
      <c r="NK101" s="39"/>
      <c r="NL101" s="39"/>
      <c r="NM101" s="39"/>
      <c r="NN101" s="39"/>
      <c r="NO101" s="39">
        <f>SUM(NO91:NO100)</f>
        <v>0</v>
      </c>
      <c r="NP101" s="39">
        <f>SUM(NP91:NP100)</f>
        <v>0</v>
      </c>
      <c r="NQ101" s="39"/>
      <c r="NR101" s="39"/>
      <c r="NS101" s="39"/>
      <c r="NT101" s="39"/>
      <c r="NU101" s="39"/>
      <c r="NV101" s="39"/>
      <c r="NW101" s="39"/>
      <c r="NX101" s="39"/>
      <c r="NY101" s="39"/>
      <c r="NZ101" s="39"/>
      <c r="OA101" s="39"/>
      <c r="OB101" s="39"/>
      <c r="OC101" s="39"/>
      <c r="OD101" s="39"/>
      <c r="OE101" s="39"/>
      <c r="OF101" s="39"/>
      <c r="OG101" s="39"/>
      <c r="OH101" s="39"/>
      <c r="OI101" s="39"/>
      <c r="OJ101" s="39"/>
      <c r="OK101" s="39"/>
      <c r="OL101" s="39"/>
      <c r="OM101" s="39"/>
      <c r="ON101" s="39"/>
      <c r="OO101" s="39"/>
      <c r="OP101" s="39"/>
      <c r="OQ101" s="39"/>
      <c r="OR101" s="39"/>
      <c r="OS101" s="39"/>
      <c r="OT101" s="39"/>
      <c r="OU101" s="39"/>
      <c r="OV101" s="39"/>
      <c r="OW101" s="39"/>
      <c r="OX101" s="39"/>
      <c r="OY101" s="39"/>
      <c r="OZ101" s="39"/>
      <c r="PA101" s="39"/>
      <c r="PB101" s="39"/>
      <c r="PC101" s="39"/>
      <c r="PD101" s="39"/>
      <c r="PE101" s="39"/>
      <c r="PF101" s="39"/>
      <c r="PG101" s="39"/>
      <c r="PH101" s="39"/>
      <c r="PI101" s="39"/>
      <c r="PJ101" s="39"/>
      <c r="PK101" s="39"/>
      <c r="PL101" s="39"/>
      <c r="PM101" s="39"/>
      <c r="PN101" s="39"/>
      <c r="PO101" s="39"/>
      <c r="PP101" s="39"/>
      <c r="PQ101" s="39"/>
      <c r="PR101" s="39"/>
      <c r="PS101" s="39"/>
      <c r="PT101" s="39"/>
      <c r="PU101" s="39"/>
      <c r="PV101" s="39"/>
      <c r="PW101" s="39"/>
      <c r="PX101" s="39"/>
      <c r="PY101" s="39"/>
      <c r="PZ101" s="39"/>
      <c r="QA101" s="39">
        <f>SUM(QA91:QA100)</f>
        <v>0</v>
      </c>
      <c r="QB101" s="39">
        <f>SUM(QB91:QB100)</f>
        <v>0</v>
      </c>
      <c r="QC101" s="39"/>
      <c r="QD101" s="39"/>
      <c r="QE101" s="39"/>
      <c r="QF101" s="39"/>
      <c r="QG101" s="39"/>
      <c r="QH101" s="39"/>
      <c r="QI101" s="39"/>
      <c r="QJ101" s="39"/>
      <c r="QK101" s="39"/>
      <c r="QL101" s="39"/>
      <c r="QM101" s="39"/>
      <c r="QN101" s="39"/>
      <c r="QO101" s="39"/>
      <c r="QP101" s="39"/>
      <c r="QQ101" s="39"/>
      <c r="QR101" s="39"/>
      <c r="QS101" s="39"/>
      <c r="QT101" s="39"/>
      <c r="QU101" s="39"/>
      <c r="QV101" s="39"/>
      <c r="QW101" s="39"/>
      <c r="QX101" s="39"/>
      <c r="QY101" s="39"/>
      <c r="QZ101" s="39"/>
      <c r="RA101" s="39"/>
      <c r="RB101" s="39"/>
      <c r="RC101" s="39"/>
      <c r="RD101" s="39"/>
      <c r="RE101" s="39"/>
      <c r="RF101" s="39"/>
      <c r="RG101" s="39"/>
      <c r="RH101" s="39"/>
      <c r="RI101" s="39"/>
      <c r="RJ101" s="39"/>
      <c r="RK101" s="39"/>
      <c r="RL101" s="39"/>
      <c r="RM101" s="39"/>
      <c r="RN101" s="39"/>
      <c r="RO101" s="39"/>
      <c r="RP101" s="39"/>
      <c r="RQ101" s="39"/>
      <c r="RR101" s="39"/>
      <c r="RS101" s="39"/>
      <c r="RT101" s="39"/>
      <c r="RU101" s="39"/>
      <c r="RV101" s="39"/>
      <c r="RW101" s="39"/>
      <c r="RX101" s="39"/>
      <c r="RY101" s="39"/>
      <c r="RZ101" s="39"/>
      <c r="SA101" s="39"/>
      <c r="SB101" s="39"/>
      <c r="SC101" s="39"/>
      <c r="SD101" s="39"/>
      <c r="SE101" s="39"/>
      <c r="SF101" s="39"/>
      <c r="SG101" s="39"/>
      <c r="SH101" s="39"/>
      <c r="SI101" s="39"/>
      <c r="SJ101" s="39"/>
      <c r="SK101" s="39"/>
      <c r="SL101" s="39"/>
      <c r="SM101" s="39">
        <f>SUM(SM91:SM100)</f>
        <v>0</v>
      </c>
      <c r="SN101" s="39">
        <f>SUM(SN91:SN100)</f>
        <v>0</v>
      </c>
      <c r="SO101" s="39"/>
      <c r="SP101" s="39"/>
      <c r="SQ101" s="39"/>
      <c r="SR101" s="39"/>
      <c r="SS101" s="39"/>
      <c r="ST101" s="39"/>
      <c r="SU101" s="39"/>
      <c r="SV101" s="39"/>
      <c r="SW101" s="39"/>
      <c r="SX101" s="39"/>
      <c r="SY101" s="39"/>
      <c r="SZ101" s="39"/>
      <c r="TA101" s="39"/>
      <c r="TB101" s="39"/>
      <c r="TC101" s="39"/>
      <c r="TD101" s="39"/>
      <c r="TE101" s="39"/>
      <c r="TF101" s="39"/>
      <c r="TG101" s="39"/>
      <c r="TH101" s="39"/>
      <c r="TI101" s="39"/>
      <c r="TJ101" s="39"/>
      <c r="TK101" s="39"/>
      <c r="TL101" s="39"/>
      <c r="TM101" s="39"/>
      <c r="TN101" s="39"/>
      <c r="TO101" s="39"/>
      <c r="TP101" s="39"/>
      <c r="TQ101" s="39"/>
      <c r="TR101" s="39"/>
      <c r="TS101" s="39"/>
      <c r="TT101" s="39"/>
      <c r="TU101" s="39"/>
      <c r="TV101" s="39"/>
      <c r="TW101" s="39"/>
      <c r="TX101" s="39"/>
      <c r="TY101" s="39"/>
      <c r="TZ101" s="39"/>
      <c r="UA101" s="39"/>
      <c r="UB101" s="39"/>
      <c r="UC101" s="39"/>
      <c r="UD101" s="39"/>
      <c r="UE101" s="39"/>
      <c r="UF101" s="39"/>
      <c r="UG101" s="39"/>
      <c r="UH101" s="39"/>
      <c r="UI101" s="39"/>
      <c r="UJ101" s="39"/>
      <c r="UK101" s="39"/>
      <c r="UL101" s="39"/>
      <c r="UM101" s="39"/>
      <c r="UN101" s="39"/>
      <c r="UO101" s="39"/>
      <c r="UP101" s="39"/>
      <c r="UQ101" s="39"/>
      <c r="UR101" s="39"/>
      <c r="US101" s="39"/>
      <c r="UT101" s="39"/>
      <c r="UU101" s="39"/>
      <c r="UV101" s="39"/>
      <c r="UW101" s="39">
        <f>SUM(UW91:UW100)</f>
        <v>0</v>
      </c>
      <c r="UX101" s="39">
        <f>SUM(UX91:UX100)</f>
        <v>0</v>
      </c>
      <c r="UY101" s="39"/>
      <c r="UZ101" s="39"/>
      <c r="VA101" s="39"/>
      <c r="VB101" s="39"/>
      <c r="VC101" s="39"/>
      <c r="VD101" s="39"/>
      <c r="VE101" s="39"/>
      <c r="VF101" s="39"/>
      <c r="VG101" s="39"/>
      <c r="VH101" s="39"/>
      <c r="VI101" s="39"/>
      <c r="VJ101" s="39"/>
      <c r="VK101" s="39"/>
      <c r="VL101" s="39"/>
      <c r="VM101" s="39"/>
      <c r="VN101" s="39"/>
      <c r="VO101" s="39"/>
      <c r="VP101" s="39"/>
      <c r="VQ101" s="39"/>
      <c r="VR101" s="39"/>
      <c r="VS101" s="39"/>
      <c r="VT101" s="39"/>
      <c r="VU101" s="39"/>
      <c r="VV101" s="39"/>
      <c r="VW101" s="39"/>
      <c r="VX101" s="39"/>
      <c r="VY101" s="39"/>
      <c r="VZ101" s="39"/>
      <c r="WA101" s="39"/>
      <c r="WB101" s="39"/>
      <c r="WC101" s="39"/>
      <c r="WD101" s="39"/>
      <c r="WE101" s="39"/>
      <c r="WF101" s="39"/>
      <c r="WG101" s="39"/>
      <c r="WH101" s="39"/>
      <c r="WI101" s="39"/>
      <c r="WJ101" s="39"/>
      <c r="WK101" s="39"/>
      <c r="WL101" s="39"/>
      <c r="WM101" s="39"/>
      <c r="WN101" s="39"/>
      <c r="WO101" s="39"/>
      <c r="WP101" s="39"/>
      <c r="WQ101" s="39"/>
      <c r="WR101" s="39"/>
      <c r="WS101" s="39"/>
      <c r="WT101" s="39"/>
      <c r="WU101" s="39"/>
      <c r="WV101" s="39"/>
      <c r="WW101" s="39"/>
      <c r="WX101" s="39"/>
      <c r="WY101" s="39"/>
      <c r="WZ101" s="39"/>
      <c r="XA101" s="39"/>
      <c r="XB101" s="39"/>
      <c r="XC101" s="39"/>
      <c r="XD101" s="39"/>
      <c r="XE101" s="39"/>
      <c r="XF101" s="39"/>
      <c r="XG101" s="39"/>
      <c r="XH101" s="39"/>
      <c r="XI101" s="39">
        <f>SUM(XI91:XI100)</f>
        <v>0</v>
      </c>
      <c r="XJ101" s="39">
        <f>SUM(XJ91:XJ100)</f>
        <v>0</v>
      </c>
      <c r="XK101" s="39"/>
      <c r="XL101" s="39"/>
      <c r="XM101" s="39"/>
      <c r="XN101" s="39"/>
      <c r="XO101" s="39"/>
      <c r="XP101" s="39"/>
      <c r="XQ101" s="39"/>
      <c r="XR101" s="39"/>
      <c r="XS101" s="39"/>
      <c r="XT101" s="39"/>
      <c r="XU101" s="39"/>
      <c r="XV101" s="39"/>
      <c r="XW101" s="39"/>
      <c r="XX101" s="39"/>
      <c r="XY101" s="39"/>
      <c r="XZ101" s="39"/>
      <c r="YA101" s="39"/>
      <c r="YB101" s="39"/>
      <c r="YC101" s="39"/>
      <c r="YD101" s="39"/>
      <c r="YE101" s="39"/>
      <c r="YF101" s="39"/>
      <c r="YG101" s="39"/>
      <c r="YH101" s="39"/>
      <c r="YI101" s="39"/>
      <c r="YJ101" s="39"/>
      <c r="YK101" s="39"/>
      <c r="YL101" s="39"/>
      <c r="YM101" s="39"/>
      <c r="YN101" s="39"/>
      <c r="YO101" s="39"/>
      <c r="YP101" s="39"/>
      <c r="YQ101" s="39"/>
      <c r="YR101" s="39"/>
      <c r="YS101" s="39"/>
      <c r="YT101" s="39"/>
      <c r="YU101" s="39"/>
      <c r="YV101" s="39"/>
      <c r="YW101" s="39"/>
      <c r="YX101" s="39"/>
      <c r="YY101" s="39"/>
      <c r="YZ101" s="39"/>
      <c r="ZA101" s="39"/>
      <c r="ZB101" s="39"/>
      <c r="ZC101" s="39"/>
      <c r="ZD101" s="39"/>
      <c r="ZE101" s="39"/>
      <c r="ZF101" s="39"/>
      <c r="ZG101" s="39"/>
      <c r="ZH101" s="39"/>
      <c r="ZI101" s="39"/>
      <c r="ZJ101" s="39"/>
      <c r="ZK101" s="39"/>
      <c r="ZL101" s="39"/>
      <c r="ZM101" s="39"/>
      <c r="ZN101" s="39"/>
      <c r="ZO101" s="39"/>
      <c r="ZP101" s="39"/>
      <c r="ZQ101" s="39"/>
      <c r="ZR101" s="39"/>
      <c r="ZS101" s="39">
        <f>SUM(ZS91:ZS100)</f>
        <v>0</v>
      </c>
      <c r="ZT101" s="39">
        <f>SUM(ZT91:ZT100)</f>
        <v>0</v>
      </c>
      <c r="ZU101" s="39"/>
      <c r="ZV101" s="39"/>
      <c r="ZW101" s="39"/>
      <c r="ZX101" s="39"/>
      <c r="ZY101" s="39"/>
      <c r="ZZ101" s="39"/>
      <c r="AAA101" s="39"/>
      <c r="AAB101" s="39"/>
      <c r="AAC101" s="39"/>
      <c r="AAD101" s="39"/>
      <c r="AAE101" s="39"/>
      <c r="AAF101" s="39"/>
      <c r="AAG101" s="39"/>
      <c r="AAH101" s="39"/>
      <c r="AAI101" s="39"/>
      <c r="AAJ101" s="39"/>
      <c r="AAK101" s="39"/>
      <c r="AAL101" s="39"/>
      <c r="AAM101" s="39"/>
      <c r="AAN101" s="39"/>
      <c r="AAO101" s="39"/>
      <c r="AAP101" s="39"/>
      <c r="AAQ101" s="39"/>
      <c r="AAR101" s="39"/>
      <c r="AAS101" s="39"/>
      <c r="AAT101" s="39"/>
      <c r="AAU101" s="39"/>
      <c r="AAV101" s="39"/>
      <c r="AAW101" s="39"/>
      <c r="AAX101" s="39"/>
      <c r="AAY101" s="39"/>
      <c r="AAZ101" s="39"/>
      <c r="ABA101" s="39"/>
      <c r="ABB101" s="39"/>
      <c r="ABC101" s="39"/>
      <c r="ABD101" s="39"/>
      <c r="ABE101" s="39"/>
      <c r="ABF101" s="39"/>
      <c r="ABG101" s="39"/>
      <c r="ABH101" s="39"/>
      <c r="ABI101" s="39"/>
      <c r="ABJ101" s="39"/>
      <c r="ABK101" s="39"/>
      <c r="ABL101" s="39"/>
      <c r="ABM101" s="39"/>
      <c r="ABN101" s="39"/>
      <c r="ABO101" s="39"/>
      <c r="ABP101" s="39"/>
      <c r="ABQ101" s="39"/>
      <c r="ABR101" s="39"/>
      <c r="ABS101" s="39"/>
      <c r="ABT101" s="39"/>
      <c r="ABU101" s="39"/>
      <c r="ABV101" s="39"/>
      <c r="ABW101" s="39"/>
      <c r="ABX101" s="39"/>
      <c r="ABY101" s="39"/>
      <c r="ABZ101" s="39"/>
      <c r="ACA101" s="39"/>
      <c r="ACB101" s="39"/>
      <c r="ACC101" s="39"/>
      <c r="ACD101" s="39"/>
      <c r="ACE101" s="39">
        <f>SUM(ACE91:ACE100)</f>
        <v>0</v>
      </c>
      <c r="ACF101" s="39"/>
      <c r="ACG101" s="39">
        <f>SUM(ACG91:ACG100)</f>
        <v>33653.379999999997</v>
      </c>
      <c r="ACH101" s="40"/>
      <c r="ACI101" s="71" t="s">
        <v>223</v>
      </c>
      <c r="ACJ101" s="71" t="s">
        <v>37</v>
      </c>
    </row>
    <row r="102" spans="1:764" x14ac:dyDescent="0.25">
      <c r="A102" s="161">
        <v>10</v>
      </c>
      <c r="B102" s="151" t="s">
        <v>101</v>
      </c>
      <c r="C102" s="154" t="s">
        <v>3</v>
      </c>
      <c r="D102" s="49" t="s">
        <v>6</v>
      </c>
      <c r="E102" s="72"/>
      <c r="F102" s="73"/>
      <c r="G102" s="73"/>
      <c r="H102" s="73"/>
      <c r="I102" s="73">
        <v>26.42</v>
      </c>
      <c r="J102" s="73">
        <v>32.18</v>
      </c>
      <c r="K102" s="73"/>
      <c r="L102" s="73"/>
      <c r="M102" s="73"/>
      <c r="N102" s="73"/>
      <c r="O102" s="73">
        <v>18.04</v>
      </c>
      <c r="P102" s="73">
        <v>17.16</v>
      </c>
      <c r="Q102" s="73"/>
      <c r="R102" s="73"/>
      <c r="S102" s="73"/>
      <c r="T102" s="73"/>
      <c r="U102" s="73">
        <v>45.36</v>
      </c>
      <c r="V102" s="73">
        <v>49.8</v>
      </c>
      <c r="W102" s="73"/>
      <c r="X102" s="73"/>
      <c r="Y102" s="73">
        <v>20.200000000000003</v>
      </c>
      <c r="Z102" s="73">
        <v>22.439999999999998</v>
      </c>
      <c r="AA102" s="73"/>
      <c r="AB102" s="73"/>
      <c r="AC102" s="73"/>
      <c r="AD102" s="73"/>
      <c r="AE102" s="73">
        <v>28.7</v>
      </c>
      <c r="AF102" s="73">
        <v>31.68</v>
      </c>
      <c r="AG102" s="73"/>
      <c r="AH102" s="73"/>
      <c r="AI102" s="73">
        <v>12.6</v>
      </c>
      <c r="AJ102" s="73">
        <v>15.84</v>
      </c>
      <c r="AK102" s="73">
        <v>14.9</v>
      </c>
      <c r="AL102" s="73">
        <v>18.54</v>
      </c>
      <c r="AM102" s="73">
        <v>17.560000000000002</v>
      </c>
      <c r="AN102" s="73">
        <v>17.939999999999998</v>
      </c>
      <c r="AO102" s="73">
        <v>19.7</v>
      </c>
      <c r="AP102" s="73">
        <v>21.28</v>
      </c>
      <c r="AQ102" s="73"/>
      <c r="AR102" s="73"/>
      <c r="AS102" s="73">
        <v>14.34</v>
      </c>
      <c r="AT102" s="73">
        <v>17.939999999999998</v>
      </c>
      <c r="AU102" s="73">
        <v>18.54</v>
      </c>
      <c r="AV102" s="73">
        <v>19.02</v>
      </c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>
        <v>19.299999999999997</v>
      </c>
      <c r="BL102" s="73">
        <v>20.16</v>
      </c>
      <c r="BM102" s="73"/>
      <c r="BN102" s="73"/>
      <c r="BO102" s="22" cm="1">
        <f t="array" ref="BO102">SUMPRODUCT(E102:BM102,--(E$2:BM$2=BO$2))</f>
        <v>255.65999999999997</v>
      </c>
      <c r="BP102" s="22" cm="1">
        <f t="array" ref="BP102">SUMPRODUCT(F102:BN102,--(F$2:BN$2=BP$2))</f>
        <v>283.98</v>
      </c>
      <c r="BQ102" s="22"/>
      <c r="BR102" s="22"/>
      <c r="BS102" s="22"/>
      <c r="BT102" s="22"/>
      <c r="BU102" s="22"/>
      <c r="BV102" s="22"/>
      <c r="BW102" s="22">
        <v>15.399999999999999</v>
      </c>
      <c r="BX102" s="22">
        <v>21.02</v>
      </c>
      <c r="BY102" s="22"/>
      <c r="BZ102" s="22"/>
      <c r="CA102" s="22">
        <v>38.980000000000004</v>
      </c>
      <c r="CB102" s="22">
        <v>41</v>
      </c>
      <c r="CC102" s="22"/>
      <c r="CD102" s="22"/>
      <c r="CE102" s="22">
        <v>27.519999999999996</v>
      </c>
      <c r="CF102" s="22">
        <v>34</v>
      </c>
      <c r="CG102" s="22"/>
      <c r="CH102" s="22"/>
      <c r="CI102" s="22"/>
      <c r="CJ102" s="22"/>
      <c r="CK102" s="22">
        <v>16.46</v>
      </c>
      <c r="CL102" s="22">
        <v>16.52</v>
      </c>
      <c r="CM102" s="22"/>
      <c r="CN102" s="22"/>
      <c r="CO102" s="22"/>
      <c r="CP102" s="22"/>
      <c r="CQ102" s="22"/>
      <c r="CR102" s="22"/>
      <c r="CS102" s="22"/>
      <c r="CT102" s="22"/>
      <c r="CU102" s="22"/>
      <c r="CV102" s="22"/>
      <c r="CW102" s="22">
        <v>19.22</v>
      </c>
      <c r="CX102" s="22">
        <v>21.66</v>
      </c>
      <c r="CY102" s="22">
        <v>19.119999999999997</v>
      </c>
      <c r="CZ102" s="22">
        <v>22.68</v>
      </c>
      <c r="DA102" s="22"/>
      <c r="DB102" s="22"/>
      <c r="DC102" s="22">
        <v>14.620000000000001</v>
      </c>
      <c r="DD102" s="22">
        <v>18.920000000000002</v>
      </c>
      <c r="DE102" s="22"/>
      <c r="DF102" s="22"/>
      <c r="DG102" s="22"/>
      <c r="DH102" s="22"/>
      <c r="DI102" s="22"/>
      <c r="DJ102" s="22"/>
      <c r="DK102" s="22"/>
      <c r="DL102" s="22"/>
      <c r="DM102" s="22"/>
      <c r="DN102" s="22"/>
      <c r="DO102" s="22"/>
      <c r="DP102" s="22"/>
      <c r="DQ102" s="22"/>
      <c r="DR102" s="22"/>
      <c r="DS102" s="22"/>
      <c r="DT102" s="22"/>
      <c r="DU102" s="22"/>
      <c r="DV102" s="22"/>
      <c r="DW102" s="22" cm="1">
        <f t="array" ref="DW102">SUMPRODUCT(BQ102:DU102,--(BQ$2:DU$2=DW$2))</f>
        <v>151.32000000000002</v>
      </c>
      <c r="DX102" s="22" cm="1">
        <f t="array" ref="DX102">SUMPRODUCT(BR102:DV102,--(BR$2:DV$2=DX$2))</f>
        <v>175.8</v>
      </c>
      <c r="DY102" s="22"/>
      <c r="DZ102" s="22"/>
      <c r="EA102" s="22"/>
      <c r="EB102" s="22"/>
      <c r="EC102" s="22"/>
      <c r="ED102" s="22"/>
      <c r="EE102" s="22"/>
      <c r="EF102" s="22"/>
      <c r="EG102" s="22"/>
      <c r="EH102" s="22"/>
      <c r="EI102" s="22">
        <v>15.66</v>
      </c>
      <c r="EJ102" s="22">
        <v>16.600000000000001</v>
      </c>
      <c r="EK102" s="22"/>
      <c r="EL102" s="22"/>
      <c r="EM102" s="22">
        <v>19.259999999999998</v>
      </c>
      <c r="EN102" s="22">
        <v>19.259999999999998</v>
      </c>
      <c r="EO102" s="22"/>
      <c r="EP102" s="22"/>
      <c r="EQ102" s="22"/>
      <c r="ER102" s="22"/>
      <c r="ES102" s="22">
        <v>18.060000000000002</v>
      </c>
      <c r="ET102" s="22">
        <v>20.100000000000001</v>
      </c>
      <c r="EU102" s="22"/>
      <c r="EV102" s="22"/>
      <c r="EW102" s="22"/>
      <c r="EX102" s="22"/>
      <c r="EY102" s="22"/>
      <c r="EZ102" s="22"/>
      <c r="FA102" s="22"/>
      <c r="FB102" s="22"/>
      <c r="FC102" s="22"/>
      <c r="FD102" s="22"/>
      <c r="FE102" s="22"/>
      <c r="FF102" s="22"/>
      <c r="FG102" s="22"/>
      <c r="FH102" s="22"/>
      <c r="FI102" s="22"/>
      <c r="FJ102" s="22"/>
      <c r="FK102" s="22"/>
      <c r="FL102" s="22"/>
      <c r="FM102" s="22"/>
      <c r="FN102" s="22"/>
      <c r="FO102" s="22"/>
      <c r="FP102" s="22"/>
      <c r="FQ102" s="22"/>
      <c r="FR102" s="22"/>
      <c r="FS102" s="22"/>
      <c r="FT102" s="22"/>
      <c r="FU102" s="22"/>
      <c r="FV102" s="22"/>
      <c r="FW102" s="22"/>
      <c r="FX102" s="22"/>
      <c r="FY102" s="22">
        <v>17.34</v>
      </c>
      <c r="FZ102" s="22">
        <v>23.74</v>
      </c>
      <c r="GA102" s="22"/>
      <c r="GB102" s="22"/>
      <c r="GC102" s="22"/>
      <c r="GD102" s="22"/>
      <c r="GE102" s="22"/>
      <c r="GF102" s="22"/>
      <c r="GG102" s="22"/>
      <c r="GH102" s="22"/>
      <c r="GI102" s="22" cm="1">
        <f t="array" ref="GI102">SUMPRODUCT(DY102:GG102,--(DY$2:GG$2=GI$2))</f>
        <v>70.320000000000007</v>
      </c>
      <c r="GJ102" s="22" cm="1">
        <f t="array" ref="GJ102">SUMPRODUCT(DZ102:GH102,--(DZ$2:GH$2=GJ$2))</f>
        <v>79.7</v>
      </c>
      <c r="GK102" s="22">
        <v>20.939999999999998</v>
      </c>
      <c r="GL102" s="22">
        <v>21.02</v>
      </c>
      <c r="GM102" s="22"/>
      <c r="GN102" s="22"/>
      <c r="GO102" s="22"/>
      <c r="GP102" s="22"/>
      <c r="GQ102" s="22"/>
      <c r="GR102" s="22"/>
      <c r="GS102" s="22"/>
      <c r="GT102" s="22"/>
      <c r="GU102" s="22"/>
      <c r="GV102" s="22"/>
      <c r="GW102" s="22"/>
      <c r="GX102" s="22"/>
      <c r="GY102" s="22"/>
      <c r="GZ102" s="22"/>
      <c r="HA102" s="22"/>
      <c r="HB102" s="22"/>
      <c r="HC102" s="22"/>
      <c r="HD102" s="22"/>
      <c r="HE102" s="22"/>
      <c r="HF102" s="22"/>
      <c r="HG102" s="22"/>
      <c r="HH102" s="22"/>
      <c r="HI102" s="22"/>
      <c r="HJ102" s="22"/>
      <c r="HK102" s="22"/>
      <c r="HL102" s="22"/>
      <c r="HM102" s="22"/>
      <c r="HN102" s="22"/>
      <c r="HO102" s="22"/>
      <c r="HP102" s="22"/>
      <c r="HQ102" s="22"/>
      <c r="HR102" s="22"/>
      <c r="HS102" s="22"/>
      <c r="HT102" s="22"/>
      <c r="HU102" s="22"/>
      <c r="HV102" s="22"/>
      <c r="HW102" s="22"/>
      <c r="HX102" s="22"/>
      <c r="HY102" s="22"/>
      <c r="HZ102" s="22"/>
      <c r="IA102" s="22"/>
      <c r="IB102" s="22"/>
      <c r="IC102" s="22"/>
      <c r="ID102" s="22"/>
      <c r="IE102" s="22"/>
      <c r="IF102" s="22"/>
      <c r="IG102" s="22"/>
      <c r="IH102" s="22"/>
      <c r="II102" s="22"/>
      <c r="IJ102" s="22"/>
      <c r="IK102" s="22"/>
      <c r="IL102" s="22"/>
      <c r="IM102" s="22"/>
      <c r="IN102" s="22"/>
      <c r="IO102" s="22"/>
      <c r="IP102" s="22"/>
      <c r="IQ102" s="22"/>
      <c r="IR102" s="22"/>
      <c r="IS102" s="22">
        <f t="shared" ref="IS102:IT106" si="235">GK102+GM102+GO102+GQ102+GS102+GU102+GW102+GY102+HA102+HC102+HE102+HG102+HI102+HK102+HM102+HO102+HQ102+HS102+HU102+HW102+HY102+IA102+IC102+IE102+IG102+II102+IK102+IM102+IO102+IQ102</f>
        <v>20.939999999999998</v>
      </c>
      <c r="IT102" s="22">
        <f t="shared" si="235"/>
        <v>21.02</v>
      </c>
      <c r="IU102" s="22"/>
      <c r="IV102" s="22"/>
      <c r="IW102" s="22"/>
      <c r="IX102" s="22"/>
      <c r="IY102" s="22"/>
      <c r="IZ102" s="22"/>
      <c r="JA102" s="22"/>
      <c r="JB102" s="22"/>
      <c r="JC102" s="22"/>
      <c r="JD102" s="22"/>
      <c r="JE102" s="22"/>
      <c r="JF102" s="22"/>
      <c r="JG102" s="22"/>
      <c r="JH102" s="22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>
        <f t="shared" ref="LE102:LF106" si="236">IU102+IW102+IY102+JA102+JC102+JE102+JG102+JI102+JK102+JM102+JO102+JQ102+JS102+JU102+JW102+JY102+KA102+KC102+KE102+KG102+KI102+KK102+KM102+KO102+KQ102+KS102+KU102+KW102+KY102+LA102+LC102</f>
        <v>0</v>
      </c>
      <c r="LF102" s="22">
        <f t="shared" si="236"/>
        <v>0</v>
      </c>
      <c r="LG102" s="22"/>
      <c r="LH102" s="22"/>
      <c r="LI102" s="22"/>
      <c r="LJ102" s="22"/>
      <c r="LK102" s="22"/>
      <c r="LL102" s="22"/>
      <c r="LM102" s="22"/>
      <c r="LN102" s="22"/>
      <c r="LO102" s="22"/>
      <c r="LP102" s="22"/>
      <c r="LQ102" s="22"/>
      <c r="LR102" s="22"/>
      <c r="LS102" s="22"/>
      <c r="LT102" s="22"/>
      <c r="LU102" s="22"/>
      <c r="LV102" s="22"/>
      <c r="LW102" s="22"/>
      <c r="LX102" s="22"/>
      <c r="LY102" s="22"/>
      <c r="LZ102" s="22"/>
      <c r="MA102" s="22"/>
      <c r="MB102" s="22"/>
      <c r="MC102" s="22"/>
      <c r="MD102" s="22"/>
      <c r="ME102" s="22"/>
      <c r="MF102" s="22"/>
      <c r="MG102" s="22"/>
      <c r="MH102" s="22"/>
      <c r="MI102" s="22"/>
      <c r="MJ102" s="22"/>
      <c r="MK102" s="22"/>
      <c r="ML102" s="22"/>
      <c r="MM102" s="22"/>
      <c r="MN102" s="22"/>
      <c r="MO102" s="22"/>
      <c r="MP102" s="22"/>
      <c r="MQ102" s="22"/>
      <c r="MR102" s="22"/>
      <c r="MS102" s="22"/>
      <c r="MT102" s="22"/>
      <c r="MU102" s="22"/>
      <c r="MV102" s="22"/>
      <c r="MW102" s="22"/>
      <c r="MX102" s="22"/>
      <c r="MY102" s="22"/>
      <c r="MZ102" s="22"/>
      <c r="NA102" s="22"/>
      <c r="NB102" s="22"/>
      <c r="NC102" s="22"/>
      <c r="ND102" s="22"/>
      <c r="NE102" s="22"/>
      <c r="NF102" s="22"/>
      <c r="NG102" s="22"/>
      <c r="NH102" s="22"/>
      <c r="NI102" s="22"/>
      <c r="NJ102" s="22"/>
      <c r="NK102" s="22"/>
      <c r="NL102" s="22"/>
      <c r="NM102" s="22"/>
      <c r="NN102" s="22"/>
      <c r="NO102" s="22">
        <f t="shared" ref="NO102:NP106" si="237">LG102+LI102+LK102+LM102+LO102+LQ102+LS102+LU102+LW102+LY102+MA102+MC102+ME102+MG102+MI102+MK102+MM102+MO102+MQ102+MS102+MU102+MW102+MY102+NA102+NC102+NE102+NG102+NI102+NK102+NM102</f>
        <v>0</v>
      </c>
      <c r="NP102" s="22">
        <f t="shared" si="237"/>
        <v>0</v>
      </c>
      <c r="NQ102" s="22"/>
      <c r="NR102" s="22"/>
      <c r="NS102" s="22"/>
      <c r="NT102" s="22"/>
      <c r="NU102" s="22"/>
      <c r="NV102" s="22"/>
      <c r="NW102" s="22"/>
      <c r="NX102" s="22"/>
      <c r="NY102" s="22"/>
      <c r="NZ102" s="22"/>
      <c r="OA102" s="22"/>
      <c r="OB102" s="22"/>
      <c r="OC102" s="22"/>
      <c r="OD102" s="22"/>
      <c r="OE102" s="22"/>
      <c r="OF102" s="22"/>
      <c r="OG102" s="22"/>
      <c r="OH102" s="22"/>
      <c r="OI102" s="22"/>
      <c r="OJ102" s="22"/>
      <c r="OK102" s="22"/>
      <c r="OL102" s="22"/>
      <c r="OM102" s="22"/>
      <c r="ON102" s="22"/>
      <c r="OO102" s="22"/>
      <c r="OP102" s="22"/>
      <c r="OQ102" s="22"/>
      <c r="OR102" s="22"/>
      <c r="OS102" s="22"/>
      <c r="OT102" s="22"/>
      <c r="OU102" s="22"/>
      <c r="OV102" s="22"/>
      <c r="OW102" s="22"/>
      <c r="OX102" s="22"/>
      <c r="OY102" s="22"/>
      <c r="OZ102" s="22"/>
      <c r="PA102" s="22"/>
      <c r="PB102" s="22"/>
      <c r="PC102" s="22"/>
      <c r="PD102" s="22"/>
      <c r="PE102" s="22"/>
      <c r="PF102" s="22"/>
      <c r="PG102" s="22"/>
      <c r="PH102" s="22"/>
      <c r="PI102" s="22"/>
      <c r="PJ102" s="22"/>
      <c r="PK102" s="22"/>
      <c r="PL102" s="22"/>
      <c r="PM102" s="22"/>
      <c r="PN102" s="22"/>
      <c r="PO102" s="22"/>
      <c r="PP102" s="22"/>
      <c r="PQ102" s="22"/>
      <c r="PR102" s="22"/>
      <c r="PS102" s="22"/>
      <c r="PT102" s="22"/>
      <c r="PU102" s="22"/>
      <c r="PV102" s="22"/>
      <c r="PW102" s="22"/>
      <c r="PX102" s="22"/>
      <c r="PY102" s="22"/>
      <c r="PZ102" s="22"/>
      <c r="QA102" s="22">
        <f t="shared" ref="QA102:QB106" si="238">NQ102+NS102+NU102+NW102+NY102+OA102+OC102+OE102+OG102+OI102+OK102+OM102+OO102+OQ102+OS102+OU102+OW102+OY102+PA102+PC102+PE102+PG102+PI102+PK102+PM102+PO102+PQ102+PS102+PU102+PW102+PY102</f>
        <v>0</v>
      </c>
      <c r="QB102" s="22">
        <f t="shared" si="238"/>
        <v>0</v>
      </c>
      <c r="QC102" s="22"/>
      <c r="QD102" s="22"/>
      <c r="QE102" s="22"/>
      <c r="QF102" s="22"/>
      <c r="QG102" s="22"/>
      <c r="QH102" s="22"/>
      <c r="QI102" s="22"/>
      <c r="QJ102" s="22"/>
      <c r="QK102" s="22"/>
      <c r="QL102" s="22"/>
      <c r="QM102" s="22"/>
      <c r="QN102" s="22"/>
      <c r="QO102" s="22"/>
      <c r="QP102" s="22"/>
      <c r="QQ102" s="22"/>
      <c r="QR102" s="22"/>
      <c r="QS102" s="22"/>
      <c r="QT102" s="22"/>
      <c r="QU102" s="22"/>
      <c r="QV102" s="22"/>
      <c r="QW102" s="22"/>
      <c r="QX102" s="22"/>
      <c r="QY102" s="22"/>
      <c r="QZ102" s="22"/>
      <c r="RA102" s="22"/>
      <c r="RB102" s="22"/>
      <c r="RC102" s="22"/>
      <c r="RD102" s="22"/>
      <c r="RE102" s="22"/>
      <c r="RF102" s="22"/>
      <c r="RG102" s="22"/>
      <c r="RH102" s="22"/>
      <c r="RI102" s="22"/>
      <c r="RJ102" s="22"/>
      <c r="RK102" s="22"/>
      <c r="RL102" s="22"/>
      <c r="RM102" s="22"/>
      <c r="RN102" s="22"/>
      <c r="RO102" s="22"/>
      <c r="RP102" s="22"/>
      <c r="RQ102" s="22"/>
      <c r="RR102" s="22"/>
      <c r="RS102" s="22"/>
      <c r="RT102" s="22"/>
      <c r="RU102" s="22"/>
      <c r="RV102" s="22"/>
      <c r="RW102" s="22"/>
      <c r="RX102" s="22"/>
      <c r="RY102" s="22"/>
      <c r="RZ102" s="22"/>
      <c r="SA102" s="22"/>
      <c r="SB102" s="22"/>
      <c r="SC102" s="22"/>
      <c r="SD102" s="22"/>
      <c r="SE102" s="22"/>
      <c r="SF102" s="22"/>
      <c r="SG102" s="22"/>
      <c r="SH102" s="22"/>
      <c r="SI102" s="22"/>
      <c r="SJ102" s="22"/>
      <c r="SK102" s="22"/>
      <c r="SL102" s="22"/>
      <c r="SM102" s="22">
        <f t="shared" ref="SM102:SN106" si="239">QC102+QE102+QG102+QI102+QK102+QM102+QO102+QQ102+QS102+QU102+QW102+QY102+RA102+RC102+RE102+RG102+RI102+RK102+RM102+RO102+RQ102+RS102+RU102+RW102+RY102+SA102+SC102+SE102+SG102+SI102+SK102</f>
        <v>0</v>
      </c>
      <c r="SN102" s="22">
        <f t="shared" si="239"/>
        <v>0</v>
      </c>
      <c r="SO102" s="22"/>
      <c r="SP102" s="22"/>
      <c r="SQ102" s="22"/>
      <c r="SR102" s="22"/>
      <c r="SS102" s="22"/>
      <c r="ST102" s="22"/>
      <c r="SU102" s="22"/>
      <c r="SV102" s="22"/>
      <c r="SW102" s="22"/>
      <c r="SX102" s="22"/>
      <c r="SY102" s="22"/>
      <c r="SZ102" s="22"/>
      <c r="TA102" s="22"/>
      <c r="TB102" s="22"/>
      <c r="TC102" s="22"/>
      <c r="TD102" s="22"/>
      <c r="TE102" s="22"/>
      <c r="TF102" s="22"/>
      <c r="TG102" s="22"/>
      <c r="TH102" s="22"/>
      <c r="TI102" s="22"/>
      <c r="TJ102" s="22"/>
      <c r="TK102" s="22"/>
      <c r="TL102" s="22"/>
      <c r="TM102" s="22"/>
      <c r="TN102" s="22"/>
      <c r="TO102" s="22"/>
      <c r="TP102" s="22"/>
      <c r="TQ102" s="22"/>
      <c r="TR102" s="22"/>
      <c r="TS102" s="22"/>
      <c r="TT102" s="22"/>
      <c r="TU102" s="22"/>
      <c r="TV102" s="22"/>
      <c r="TW102" s="22"/>
      <c r="TX102" s="22"/>
      <c r="TY102" s="22"/>
      <c r="TZ102" s="22"/>
      <c r="UA102" s="22"/>
      <c r="UB102" s="22"/>
      <c r="UC102" s="22"/>
      <c r="UD102" s="22"/>
      <c r="UE102" s="22"/>
      <c r="UF102" s="22"/>
      <c r="UG102" s="22"/>
      <c r="UH102" s="22"/>
      <c r="UI102" s="22"/>
      <c r="UJ102" s="22"/>
      <c r="UK102" s="22"/>
      <c r="UL102" s="22"/>
      <c r="UM102" s="22"/>
      <c r="UN102" s="22"/>
      <c r="UO102" s="22"/>
      <c r="UP102" s="22"/>
      <c r="UQ102" s="22"/>
      <c r="UR102" s="22"/>
      <c r="US102" s="22"/>
      <c r="UT102" s="22"/>
      <c r="UU102" s="22"/>
      <c r="UV102" s="22"/>
      <c r="UW102" s="22">
        <f t="shared" ref="UW102:UX106" si="240">SO102+SQ102+SS102+SU102+SW102+SY102+TA102+TC102+TE102+TG102+TI102+TK102+TM102+TO102+TQ102+TS102+TU102+TW102+TY102+UA102+UC102+UE102+UG102+UI102+UK102+UM102+UO102+UQ102+US102+UU102</f>
        <v>0</v>
      </c>
      <c r="UX102" s="22">
        <f t="shared" si="240"/>
        <v>0</v>
      </c>
      <c r="UY102" s="22"/>
      <c r="UZ102" s="22"/>
      <c r="VA102" s="22"/>
      <c r="VB102" s="22"/>
      <c r="VC102" s="22"/>
      <c r="VD102" s="22"/>
      <c r="VE102" s="22"/>
      <c r="VF102" s="22"/>
      <c r="VG102" s="22"/>
      <c r="VH102" s="22"/>
      <c r="VI102" s="22"/>
      <c r="VJ102" s="22"/>
      <c r="VK102" s="22"/>
      <c r="VL102" s="22"/>
      <c r="VM102" s="22"/>
      <c r="VN102" s="22"/>
      <c r="VO102" s="22"/>
      <c r="VP102" s="22"/>
      <c r="VQ102" s="22"/>
      <c r="VR102" s="22"/>
      <c r="VS102" s="22"/>
      <c r="VT102" s="22"/>
      <c r="VU102" s="22"/>
      <c r="VV102" s="22"/>
      <c r="VW102" s="22"/>
      <c r="VX102" s="22"/>
      <c r="VY102" s="22"/>
      <c r="VZ102" s="22"/>
      <c r="WA102" s="22"/>
      <c r="WB102" s="22"/>
      <c r="WC102" s="22"/>
      <c r="WD102" s="22"/>
      <c r="WE102" s="22"/>
      <c r="WF102" s="22"/>
      <c r="WG102" s="22"/>
      <c r="WH102" s="22"/>
      <c r="WI102" s="22"/>
      <c r="WJ102" s="22"/>
      <c r="WK102" s="22"/>
      <c r="WL102" s="22"/>
      <c r="WM102" s="22"/>
      <c r="WN102" s="22"/>
      <c r="WO102" s="22"/>
      <c r="WP102" s="22"/>
      <c r="WQ102" s="22"/>
      <c r="WR102" s="22"/>
      <c r="WS102" s="22"/>
      <c r="WT102" s="22"/>
      <c r="WU102" s="22"/>
      <c r="WV102" s="22"/>
      <c r="WW102" s="22"/>
      <c r="WX102" s="22"/>
      <c r="WY102" s="22"/>
      <c r="WZ102" s="22"/>
      <c r="XA102" s="22"/>
      <c r="XB102" s="22"/>
      <c r="XC102" s="22"/>
      <c r="XD102" s="22"/>
      <c r="XE102" s="22"/>
      <c r="XF102" s="22"/>
      <c r="XG102" s="22"/>
      <c r="XH102" s="22"/>
      <c r="XI102" s="22">
        <f t="shared" ref="XI102:XJ106" si="241">UY102+VA102+VC102+VE102+VG102+VI102+VK102+VM102+VO102+VQ102+VS102+VU102+VW102+VY102+WA102+WC102+WE102+WG102+WI102+WK102+WM102+WO102+WQ102+WS102+WU102+WW102+WY102+XA102+XC102+XE102+XG102</f>
        <v>0</v>
      </c>
      <c r="XJ102" s="22">
        <f t="shared" si="241"/>
        <v>0</v>
      </c>
      <c r="XK102" s="22"/>
      <c r="XL102" s="22"/>
      <c r="XM102" s="22"/>
      <c r="XN102" s="22"/>
      <c r="XO102" s="22"/>
      <c r="XP102" s="22"/>
      <c r="XQ102" s="22"/>
      <c r="XR102" s="22"/>
      <c r="XS102" s="22"/>
      <c r="XT102" s="22"/>
      <c r="XU102" s="22"/>
      <c r="XV102" s="22"/>
      <c r="XW102" s="22"/>
      <c r="XX102" s="22"/>
      <c r="XY102" s="22"/>
      <c r="XZ102" s="22"/>
      <c r="YA102" s="22"/>
      <c r="YB102" s="22"/>
      <c r="YC102" s="22"/>
      <c r="YD102" s="22"/>
      <c r="YE102" s="22"/>
      <c r="YF102" s="22"/>
      <c r="YG102" s="22"/>
      <c r="YH102" s="22"/>
      <c r="YI102" s="22"/>
      <c r="YJ102" s="22"/>
      <c r="YK102" s="22"/>
      <c r="YL102" s="22"/>
      <c r="YM102" s="22"/>
      <c r="YN102" s="22"/>
      <c r="YO102" s="22"/>
      <c r="YP102" s="22"/>
      <c r="YQ102" s="22"/>
      <c r="YR102" s="22"/>
      <c r="YS102" s="22"/>
      <c r="YT102" s="22"/>
      <c r="YU102" s="22"/>
      <c r="YV102" s="22"/>
      <c r="YW102" s="22"/>
      <c r="YX102" s="22"/>
      <c r="YY102" s="22"/>
      <c r="YZ102" s="22"/>
      <c r="ZA102" s="22"/>
      <c r="ZB102" s="22"/>
      <c r="ZC102" s="22"/>
      <c r="ZD102" s="22"/>
      <c r="ZE102" s="22"/>
      <c r="ZF102" s="22"/>
      <c r="ZG102" s="22"/>
      <c r="ZH102" s="22"/>
      <c r="ZI102" s="22"/>
      <c r="ZJ102" s="22"/>
      <c r="ZK102" s="22"/>
      <c r="ZL102" s="22"/>
      <c r="ZM102" s="22"/>
      <c r="ZN102" s="22"/>
      <c r="ZO102" s="22"/>
      <c r="ZP102" s="22"/>
      <c r="ZQ102" s="22"/>
      <c r="ZR102" s="22"/>
      <c r="ZS102" s="22">
        <f t="shared" ref="ZS102:ZT106" si="242">XK102+XM102+XO102+XQ102+XS102+XU102+XW102+XY102+YA102+YC102+YE102+YG102+YI102+YK102+YM102+YO102+YQ102+YS102+YU102+YW102+YY102+ZA102+ZC102+ZE102+ZG102+ZI102+ZK102+ZM102+ZO102+ZQ102</f>
        <v>0</v>
      </c>
      <c r="ZT102" s="22">
        <f t="shared" si="242"/>
        <v>0</v>
      </c>
      <c r="ZU102" s="22"/>
      <c r="ZV102" s="22"/>
      <c r="ZW102" s="22"/>
      <c r="ZX102" s="22"/>
      <c r="ZY102" s="22"/>
      <c r="ZZ102" s="22"/>
      <c r="AAA102" s="22"/>
      <c r="AAB102" s="22"/>
      <c r="AAC102" s="22"/>
      <c r="AAD102" s="22"/>
      <c r="AAE102" s="22"/>
      <c r="AAF102" s="22"/>
      <c r="AAG102" s="22"/>
      <c r="AAH102" s="22"/>
      <c r="AAI102" s="22"/>
      <c r="AAJ102" s="22"/>
      <c r="AAK102" s="22"/>
      <c r="AAL102" s="22"/>
      <c r="AAM102" s="22"/>
      <c r="AAN102" s="22"/>
      <c r="AAO102" s="22"/>
      <c r="AAP102" s="22"/>
      <c r="AAQ102" s="22"/>
      <c r="AAR102" s="22"/>
      <c r="AAS102" s="22"/>
      <c r="AAT102" s="22"/>
      <c r="AAU102" s="22"/>
      <c r="AAV102" s="22"/>
      <c r="AAW102" s="22"/>
      <c r="AAX102" s="22"/>
      <c r="AAY102" s="22"/>
      <c r="AAZ102" s="22"/>
      <c r="ABA102" s="22"/>
      <c r="ABB102" s="22"/>
      <c r="ABC102" s="22"/>
      <c r="ABD102" s="22"/>
      <c r="ABE102" s="22"/>
      <c r="ABF102" s="22"/>
      <c r="ABG102" s="22"/>
      <c r="ABH102" s="22"/>
      <c r="ABI102" s="22"/>
      <c r="ABJ102" s="22"/>
      <c r="ABK102" s="22"/>
      <c r="ABL102" s="22"/>
      <c r="ABM102" s="22"/>
      <c r="ABN102" s="22"/>
      <c r="ABO102" s="22"/>
      <c r="ABP102" s="22"/>
      <c r="ABQ102" s="22"/>
      <c r="ABR102" s="22"/>
      <c r="ABS102" s="22"/>
      <c r="ABT102" s="22"/>
      <c r="ABU102" s="22"/>
      <c r="ABV102" s="22"/>
      <c r="ABW102" s="22"/>
      <c r="ABX102" s="22"/>
      <c r="ABY102" s="22"/>
      <c r="ABZ102" s="22"/>
      <c r="ACA102" s="22"/>
      <c r="ACB102" s="22"/>
      <c r="ACC102" s="22"/>
      <c r="ACD102" s="22"/>
      <c r="ACE102" s="22">
        <f>ZU102+ZW102+ZY102+AAA102+AAC102+AAE102+AAG102+AAI102+AAK102+AAM102+AAO102+AAQ102+AAS102+AAU102+AAW102+AAY102+ABA102+ABC102+ABE102+ABG102+ABI102+ABK102+ABM102+ABO102+ABQ102+ABS102+ABU102+ABW102+ABY102+ACA102+ACC102</f>
        <v>0</v>
      </c>
      <c r="ACF102" s="22"/>
      <c r="ACG102" s="22">
        <f>BO102+DW102+GI102+IS102+LE102+NO102+QA102+SM102+UW102+XI102+ZS102+ACE102</f>
        <v>498.24</v>
      </c>
      <c r="ACH102" s="23"/>
      <c r="ACI102" s="71" t="s">
        <v>192</v>
      </c>
      <c r="ACJ102" s="71" t="s">
        <v>101</v>
      </c>
    </row>
    <row r="103" spans="1:764" x14ac:dyDescent="0.25">
      <c r="A103" s="162"/>
      <c r="B103" s="152"/>
      <c r="C103" s="155"/>
      <c r="D103" s="50" t="s">
        <v>7</v>
      </c>
      <c r="E103" s="74">
        <v>207.28</v>
      </c>
      <c r="F103" s="75">
        <v>212.4</v>
      </c>
      <c r="G103" s="75">
        <v>358.58000000000004</v>
      </c>
      <c r="H103" s="75">
        <v>359.98</v>
      </c>
      <c r="I103" s="75">
        <v>232.8599999999999</v>
      </c>
      <c r="J103" s="75">
        <v>241.81999999999996</v>
      </c>
      <c r="K103" s="75">
        <v>256.43999999999994</v>
      </c>
      <c r="L103" s="75">
        <v>261.96000000000009</v>
      </c>
      <c r="M103" s="75">
        <v>284.25999999999993</v>
      </c>
      <c r="N103" s="75">
        <v>286.33999999999992</v>
      </c>
      <c r="O103" s="75">
        <v>357.56000000000006</v>
      </c>
      <c r="P103" s="75">
        <v>364.85999999999996</v>
      </c>
      <c r="Q103" s="75">
        <v>209.54999999999998</v>
      </c>
      <c r="R103" s="75">
        <v>211.93999999999997</v>
      </c>
      <c r="S103" s="75">
        <v>353.61999999999995</v>
      </c>
      <c r="T103" s="75">
        <v>357.9199999999999</v>
      </c>
      <c r="U103" s="75">
        <v>277.54000000000002</v>
      </c>
      <c r="V103" s="75">
        <v>275.2</v>
      </c>
      <c r="W103" s="75">
        <v>296.12000000000006</v>
      </c>
      <c r="X103" s="75">
        <v>302.65999999999997</v>
      </c>
      <c r="Y103" s="75">
        <v>331.24000000000007</v>
      </c>
      <c r="Z103" s="75">
        <v>322.91999999999996</v>
      </c>
      <c r="AA103" s="75">
        <v>254.85000000000002</v>
      </c>
      <c r="AB103" s="75">
        <v>265.86</v>
      </c>
      <c r="AC103" s="75">
        <v>287.43999999999994</v>
      </c>
      <c r="AD103" s="75">
        <v>307.35999999999996</v>
      </c>
      <c r="AE103" s="75">
        <v>143.54</v>
      </c>
      <c r="AF103" s="75">
        <v>148.56000000000003</v>
      </c>
      <c r="AG103" s="75">
        <v>286.16000000000003</v>
      </c>
      <c r="AH103" s="75">
        <v>285.29999999999995</v>
      </c>
      <c r="AI103" s="75">
        <v>218.98</v>
      </c>
      <c r="AJ103" s="75">
        <v>225.51999999999992</v>
      </c>
      <c r="AK103" s="75">
        <v>283.95999999999998</v>
      </c>
      <c r="AL103" s="75">
        <v>286.11999999999995</v>
      </c>
      <c r="AM103" s="75">
        <v>347.42000000000007</v>
      </c>
      <c r="AN103" s="75">
        <v>354.88000000000017</v>
      </c>
      <c r="AO103" s="75">
        <v>393.62</v>
      </c>
      <c r="AP103" s="75">
        <v>405.72000000000008</v>
      </c>
      <c r="AQ103" s="75">
        <v>203.6</v>
      </c>
      <c r="AR103" s="75">
        <v>204.66000000000005</v>
      </c>
      <c r="AS103" s="75">
        <v>270.35999999999996</v>
      </c>
      <c r="AT103" s="75">
        <v>289.5</v>
      </c>
      <c r="AU103" s="75">
        <v>266.76</v>
      </c>
      <c r="AV103" s="75">
        <v>276.50000000000006</v>
      </c>
      <c r="AW103" s="75">
        <v>240.52000000000004</v>
      </c>
      <c r="AX103" s="75">
        <v>250.85999999999996</v>
      </c>
      <c r="AY103" s="75">
        <v>146.13999999999999</v>
      </c>
      <c r="AZ103" s="75">
        <v>161.54000000000002</v>
      </c>
      <c r="BA103" s="75">
        <v>260.95999999999998</v>
      </c>
      <c r="BB103" s="75">
        <v>266.76</v>
      </c>
      <c r="BC103" s="75">
        <v>382.50000000000006</v>
      </c>
      <c r="BD103" s="75">
        <v>383.0800000000001</v>
      </c>
      <c r="BE103" s="75">
        <v>353.15000000000003</v>
      </c>
      <c r="BF103" s="75">
        <v>347.14</v>
      </c>
      <c r="BG103" s="75">
        <v>11.38</v>
      </c>
      <c r="BH103" s="75">
        <v>11.46</v>
      </c>
      <c r="BI103" s="75">
        <v>280.79999999999995</v>
      </c>
      <c r="BJ103" s="75">
        <v>289.88</v>
      </c>
      <c r="BK103" s="75">
        <v>392.4</v>
      </c>
      <c r="BL103" s="75">
        <v>401.56</v>
      </c>
      <c r="BM103" s="75">
        <v>287.16000000000003</v>
      </c>
      <c r="BN103" s="75">
        <v>290.71999999999991</v>
      </c>
      <c r="BO103" s="24" cm="1">
        <f t="array" ref="BO103">SUMPRODUCT(E103:BM103,--(E$2:BM$2=BO$2))</f>
        <v>8476.75</v>
      </c>
      <c r="BP103" s="24" cm="1">
        <f t="array" ref="BP103">SUMPRODUCT(F103:BN103,--(F$2:BN$2=BP$2))</f>
        <v>8650.98</v>
      </c>
      <c r="BQ103" s="24">
        <v>271.03999999999996</v>
      </c>
      <c r="BR103" s="24">
        <v>267.21999999999997</v>
      </c>
      <c r="BS103" s="24">
        <v>301.28000000000003</v>
      </c>
      <c r="BT103" s="24">
        <v>304.18</v>
      </c>
      <c r="BU103" s="24">
        <v>394.35999999999996</v>
      </c>
      <c r="BV103" s="24">
        <v>399.44000000000005</v>
      </c>
      <c r="BW103" s="24">
        <v>255.30000000000004</v>
      </c>
      <c r="BX103" s="24">
        <v>238.81</v>
      </c>
      <c r="BY103" s="24">
        <v>385.06</v>
      </c>
      <c r="BZ103" s="24">
        <v>391.38000000000005</v>
      </c>
      <c r="CA103" s="24">
        <v>321.04000000000008</v>
      </c>
      <c r="CB103" s="24">
        <v>331.37999999999988</v>
      </c>
      <c r="CC103" s="24">
        <v>307.74</v>
      </c>
      <c r="CD103" s="24">
        <v>334.03999999999996</v>
      </c>
      <c r="CE103" s="24">
        <v>230.13999999999996</v>
      </c>
      <c r="CF103" s="24">
        <v>247.74000000000004</v>
      </c>
      <c r="CG103" s="24">
        <v>239.54</v>
      </c>
      <c r="CH103" s="24">
        <v>262.99999999999994</v>
      </c>
      <c r="CI103" s="24">
        <v>314.78000000000003</v>
      </c>
      <c r="CJ103" s="24">
        <v>354.03999999999996</v>
      </c>
      <c r="CK103" s="24">
        <v>304.2999999999999</v>
      </c>
      <c r="CL103" s="24">
        <v>322.38</v>
      </c>
      <c r="CM103" s="24">
        <v>254.26000000000002</v>
      </c>
      <c r="CN103" s="24">
        <v>269.52000000000004</v>
      </c>
      <c r="CO103" s="24">
        <v>286.45999999999998</v>
      </c>
      <c r="CP103" s="24">
        <v>305.82</v>
      </c>
      <c r="CQ103" s="24">
        <v>234.36</v>
      </c>
      <c r="CR103" s="24">
        <v>232.55999999999997</v>
      </c>
      <c r="CS103" s="24">
        <v>370.06000000000006</v>
      </c>
      <c r="CT103" s="24">
        <v>376.0200000000001</v>
      </c>
      <c r="CU103" s="24">
        <v>312.02000000000004</v>
      </c>
      <c r="CV103" s="24">
        <v>294.43999999999994</v>
      </c>
      <c r="CW103" s="24">
        <v>168.94000000000003</v>
      </c>
      <c r="CX103" s="24">
        <v>170.03999999999996</v>
      </c>
      <c r="CY103" s="24">
        <v>276</v>
      </c>
      <c r="CZ103" s="24">
        <v>265.2</v>
      </c>
      <c r="DA103" s="24">
        <v>308.82000000000005</v>
      </c>
      <c r="DB103" s="24">
        <v>314.09999999999997</v>
      </c>
      <c r="DC103" s="24">
        <v>341.72</v>
      </c>
      <c r="DD103" s="24">
        <v>364.86000000000007</v>
      </c>
      <c r="DE103" s="24">
        <v>348.15999999999997</v>
      </c>
      <c r="DF103" s="24">
        <v>401.85999999999996</v>
      </c>
      <c r="DG103" s="24">
        <v>275.7600000000001</v>
      </c>
      <c r="DH103" s="24">
        <v>313.63999999999993</v>
      </c>
      <c r="DI103" s="24">
        <v>353.54</v>
      </c>
      <c r="DJ103" s="24">
        <v>359.97999999999996</v>
      </c>
      <c r="DK103" s="24">
        <v>388.8</v>
      </c>
      <c r="DL103" s="24">
        <v>397.93999999999983</v>
      </c>
      <c r="DM103" s="24">
        <v>282.76</v>
      </c>
      <c r="DN103" s="24">
        <v>287.0800000000001</v>
      </c>
      <c r="DO103" s="24">
        <v>389.13999999999993</v>
      </c>
      <c r="DP103" s="24">
        <v>391.7999999999999</v>
      </c>
      <c r="DQ103" s="24">
        <v>481.34</v>
      </c>
      <c r="DR103" s="24">
        <v>410.798</v>
      </c>
      <c r="DS103" s="24">
        <v>384.92000000000007</v>
      </c>
      <c r="DT103" s="24">
        <v>273.08000000000004</v>
      </c>
      <c r="DU103" s="24">
        <v>356.66</v>
      </c>
      <c r="DV103" s="24">
        <v>38.5</v>
      </c>
      <c r="DW103" s="24" cm="1">
        <f t="array" ref="DW103">SUMPRODUCT(BQ103:DU103,--(BQ$2:DU$2=DW$2))</f>
        <v>9138.3000000000011</v>
      </c>
      <c r="DX103" s="24" cm="1">
        <f t="array" ref="DX103">SUMPRODUCT(BR103:DV103,--(BR$2:DV$2=DX$2))</f>
        <v>8920.848</v>
      </c>
      <c r="DY103" s="24">
        <v>411.08000000000004</v>
      </c>
      <c r="DZ103" s="24">
        <v>411.14</v>
      </c>
      <c r="EA103" s="24">
        <v>390.58</v>
      </c>
      <c r="EB103" s="24">
        <v>395.64</v>
      </c>
      <c r="EC103" s="24">
        <v>378.54</v>
      </c>
      <c r="ED103" s="24">
        <v>367.76000000000005</v>
      </c>
      <c r="EE103" s="24">
        <v>378.88</v>
      </c>
      <c r="EF103" s="24">
        <v>367.46000000000004</v>
      </c>
      <c r="EG103" s="24">
        <v>365.34000000000009</v>
      </c>
      <c r="EH103" s="24">
        <v>363.36000000000007</v>
      </c>
      <c r="EI103" s="24">
        <v>325.08000000000004</v>
      </c>
      <c r="EJ103" s="24">
        <v>326.94</v>
      </c>
      <c r="EK103" s="24">
        <v>390.65999999999997</v>
      </c>
      <c r="EL103" s="24">
        <v>386.86000000000007</v>
      </c>
      <c r="EM103" s="24">
        <v>383.82000000000011</v>
      </c>
      <c r="EN103" s="24">
        <v>384.28000000000009</v>
      </c>
      <c r="EO103" s="24">
        <v>310.05999999999995</v>
      </c>
      <c r="EP103" s="24">
        <v>305.16000000000008</v>
      </c>
      <c r="EQ103" s="24">
        <v>186.74</v>
      </c>
      <c r="ER103" s="24">
        <v>188.59999999999997</v>
      </c>
      <c r="ES103" s="24">
        <v>225.34000000000003</v>
      </c>
      <c r="ET103" s="24">
        <v>224.46</v>
      </c>
      <c r="EU103" s="24">
        <v>163.34</v>
      </c>
      <c r="EV103" s="24">
        <v>162.88000000000002</v>
      </c>
      <c r="EW103" s="24">
        <v>166.57999999999998</v>
      </c>
      <c r="EX103" s="24">
        <v>162.58000000000004</v>
      </c>
      <c r="EY103" s="24">
        <v>145.06</v>
      </c>
      <c r="EZ103" s="24">
        <v>146.06</v>
      </c>
      <c r="FA103" s="24">
        <v>273.0800000000001</v>
      </c>
      <c r="FB103" s="24">
        <v>274.38000000000005</v>
      </c>
      <c r="FC103" s="24">
        <v>31.439999999999998</v>
      </c>
      <c r="FD103" s="24">
        <v>31.799999999999997</v>
      </c>
      <c r="FE103" s="24">
        <v>186.94</v>
      </c>
      <c r="FF103" s="24">
        <v>187.98</v>
      </c>
      <c r="FG103" s="24">
        <v>195.26000000000002</v>
      </c>
      <c r="FH103" s="24">
        <v>199.42000000000002</v>
      </c>
      <c r="FI103" s="24">
        <v>165.06</v>
      </c>
      <c r="FJ103" s="24">
        <v>164.28</v>
      </c>
      <c r="FK103" s="24">
        <v>220.46</v>
      </c>
      <c r="FL103" s="24">
        <v>224.26000000000002</v>
      </c>
      <c r="FM103" s="24">
        <v>337.84000000000003</v>
      </c>
      <c r="FN103" s="24">
        <v>341.9</v>
      </c>
      <c r="FO103" s="24">
        <v>305.08000000000004</v>
      </c>
      <c r="FP103" s="24">
        <v>305.48</v>
      </c>
      <c r="FQ103" s="24">
        <v>85.64</v>
      </c>
      <c r="FR103" s="24">
        <v>84.8</v>
      </c>
      <c r="FS103" s="24">
        <v>162.99999999999997</v>
      </c>
      <c r="FT103" s="24">
        <v>160.82</v>
      </c>
      <c r="FU103" s="24">
        <v>253.81000000000006</v>
      </c>
      <c r="FV103" s="24">
        <v>260.52</v>
      </c>
      <c r="FW103" s="24">
        <v>369.03999999999991</v>
      </c>
      <c r="FX103" s="24">
        <v>372.14</v>
      </c>
      <c r="FY103" s="24">
        <v>284.02000000000004</v>
      </c>
      <c r="FZ103" s="24">
        <v>286.08</v>
      </c>
      <c r="GA103" s="24">
        <v>331.36000000000007</v>
      </c>
      <c r="GB103" s="24">
        <v>328.09999999999997</v>
      </c>
      <c r="GC103" s="24">
        <v>394.3599999999999</v>
      </c>
      <c r="GD103" s="24">
        <v>397.16000000000008</v>
      </c>
      <c r="GE103" s="24">
        <v>470.16000000000008</v>
      </c>
      <c r="GF103" s="24">
        <v>470.5200000000001</v>
      </c>
      <c r="GG103" s="24">
        <v>383.29999999999995</v>
      </c>
      <c r="GH103" s="24">
        <v>363.08000000000004</v>
      </c>
      <c r="GI103" s="24" cm="1">
        <f t="array" ref="GI103">SUMPRODUCT(DY103:GG103,--(DY$2:GG$2=GI$2))</f>
        <v>8670.9500000000007</v>
      </c>
      <c r="GJ103" s="24" cm="1">
        <f t="array" ref="GJ103">SUMPRODUCT(DZ103:GH103,--(DZ$2:GH$2=GJ$2))</f>
        <v>8645.9</v>
      </c>
      <c r="GK103" s="24">
        <v>279.28000000000003</v>
      </c>
      <c r="GL103" s="24">
        <v>283.82</v>
      </c>
      <c r="GM103" s="24">
        <v>383.7</v>
      </c>
      <c r="GN103" s="24">
        <v>386.11999999999995</v>
      </c>
      <c r="GO103" s="24">
        <v>267.42</v>
      </c>
      <c r="GP103" s="24">
        <v>264.94</v>
      </c>
      <c r="GQ103" s="24">
        <v>238.70000000000005</v>
      </c>
      <c r="GR103" s="24">
        <v>234.76000000000002</v>
      </c>
      <c r="GS103" s="24">
        <v>343.02</v>
      </c>
      <c r="GT103" s="24">
        <v>347.1400000000001</v>
      </c>
      <c r="GU103" s="24">
        <v>405.05999999999989</v>
      </c>
      <c r="GV103" s="24">
        <v>402.11999999999995</v>
      </c>
      <c r="GW103" s="24">
        <v>327.80000000000007</v>
      </c>
      <c r="GX103" s="24">
        <v>329.62</v>
      </c>
      <c r="GY103" s="24">
        <v>394.5</v>
      </c>
      <c r="GZ103" s="24">
        <v>377.41999999999996</v>
      </c>
      <c r="HA103" s="24">
        <v>303.67999999999995</v>
      </c>
      <c r="HB103" s="24">
        <v>309.95999999999998</v>
      </c>
      <c r="HC103" s="24">
        <v>365.62000000000006</v>
      </c>
      <c r="HD103" s="24">
        <v>366.28</v>
      </c>
      <c r="HE103" s="24">
        <v>488.92</v>
      </c>
      <c r="HF103" s="24">
        <v>497.18</v>
      </c>
      <c r="HG103" s="24">
        <v>468.56000000000006</v>
      </c>
      <c r="HH103" s="24">
        <v>461.26000000000005</v>
      </c>
      <c r="HI103" s="24">
        <v>443.05999999999995</v>
      </c>
      <c r="HJ103" s="24">
        <v>446.28000000000009</v>
      </c>
      <c r="HK103" s="24">
        <v>372.32000000000005</v>
      </c>
      <c r="HL103" s="24">
        <v>384.41999999999996</v>
      </c>
      <c r="HM103" s="24">
        <v>357.16</v>
      </c>
      <c r="HN103" s="24">
        <v>358.89999999999992</v>
      </c>
      <c r="HO103" s="24">
        <v>398.30000000000007</v>
      </c>
      <c r="HP103" s="24">
        <v>391.7000000000001</v>
      </c>
      <c r="HQ103" s="24">
        <v>340.38</v>
      </c>
      <c r="HR103" s="24">
        <v>342.04</v>
      </c>
      <c r="HS103" s="24">
        <v>325.02000000000004</v>
      </c>
      <c r="HT103" s="24">
        <v>311.15999999999997</v>
      </c>
      <c r="HU103" s="24">
        <v>341.97999999999996</v>
      </c>
      <c r="HV103" s="24">
        <v>343.56000000000006</v>
      </c>
      <c r="HW103" s="24">
        <v>190.82000000000002</v>
      </c>
      <c r="HX103" s="24">
        <v>177.94</v>
      </c>
      <c r="HY103" s="24">
        <v>62.379999999999995</v>
      </c>
      <c r="HZ103" s="24">
        <v>68.699999999999989</v>
      </c>
      <c r="IA103" s="24">
        <v>366.17999999999989</v>
      </c>
      <c r="IB103" s="24">
        <v>366.38000000000005</v>
      </c>
      <c r="IC103" s="24">
        <v>423.78</v>
      </c>
      <c r="ID103" s="24">
        <v>397.58</v>
      </c>
      <c r="IE103" s="24">
        <v>309.64</v>
      </c>
      <c r="IF103" s="24">
        <v>310.56</v>
      </c>
      <c r="IG103" s="24">
        <v>333.73999999999995</v>
      </c>
      <c r="IH103" s="24">
        <v>292.52000000000004</v>
      </c>
      <c r="II103" s="24">
        <v>418.44000000000005</v>
      </c>
      <c r="IJ103" s="24">
        <v>344.13999999999993</v>
      </c>
      <c r="IK103" s="24">
        <v>172.51999999999998</v>
      </c>
      <c r="IL103" s="24">
        <v>22.6</v>
      </c>
      <c r="IM103" s="24"/>
      <c r="IN103" s="24"/>
      <c r="IO103" s="24"/>
      <c r="IP103" s="24"/>
      <c r="IQ103" s="24"/>
      <c r="IR103" s="24"/>
      <c r="IS103" s="24">
        <f t="shared" si="235"/>
        <v>9121.98</v>
      </c>
      <c r="IT103" s="24">
        <f t="shared" si="235"/>
        <v>8819.0999999999985</v>
      </c>
      <c r="IU103" s="24">
        <v>396.22000000000008</v>
      </c>
      <c r="IV103" s="24">
        <v>391.93999999999988</v>
      </c>
      <c r="IW103" s="24">
        <v>329.67999999999995</v>
      </c>
      <c r="IX103" s="24">
        <v>329.3</v>
      </c>
      <c r="IY103" s="24">
        <v>423.94000000000005</v>
      </c>
      <c r="IZ103" s="24">
        <v>427.03999999999996</v>
      </c>
      <c r="JA103" s="24">
        <v>345.31999999999994</v>
      </c>
      <c r="JB103" s="24">
        <v>329.32000000000005</v>
      </c>
      <c r="JC103" s="24">
        <v>327.7399999999999</v>
      </c>
      <c r="JD103" s="24">
        <v>322.8</v>
      </c>
      <c r="JE103" s="24">
        <v>368.3</v>
      </c>
      <c r="JF103" s="24">
        <v>372.48000000000008</v>
      </c>
      <c r="JG103" s="24">
        <v>430.47999999999996</v>
      </c>
      <c r="JH103" s="24">
        <v>432.54</v>
      </c>
      <c r="JI103" s="24">
        <v>281.02000000000004</v>
      </c>
      <c r="JJ103" s="24">
        <v>282.27999999999997</v>
      </c>
      <c r="JK103" s="24">
        <v>356.06000000000006</v>
      </c>
      <c r="JL103" s="24">
        <v>353.58000000000004</v>
      </c>
      <c r="JM103" s="24">
        <v>387.7999999999999</v>
      </c>
      <c r="JN103" s="24">
        <v>392.2</v>
      </c>
      <c r="JO103" s="24">
        <v>381.01999999999992</v>
      </c>
      <c r="JP103" s="24">
        <v>360.03999999999996</v>
      </c>
      <c r="JQ103" s="24">
        <v>267.08000000000004</v>
      </c>
      <c r="JR103" s="24">
        <v>239.26000000000005</v>
      </c>
      <c r="JS103" s="24">
        <v>381.9</v>
      </c>
      <c r="JT103" s="24">
        <v>324.88</v>
      </c>
      <c r="JU103" s="24">
        <v>208.31999999999996</v>
      </c>
      <c r="JV103" s="24">
        <v>32.120000000000005</v>
      </c>
      <c r="JW103" s="24"/>
      <c r="JX103" s="24"/>
      <c r="JY103" s="24"/>
      <c r="JZ103" s="24"/>
      <c r="KA103" s="24"/>
      <c r="KB103" s="24"/>
      <c r="KC103" s="24"/>
      <c r="KD103" s="24"/>
      <c r="KE103" s="24"/>
      <c r="KF103" s="24"/>
      <c r="KG103" s="24"/>
      <c r="KH103" s="24"/>
      <c r="KI103" s="24"/>
      <c r="KJ103" s="24"/>
      <c r="KK103" s="24"/>
      <c r="KL103" s="24"/>
      <c r="KM103" s="24"/>
      <c r="KN103" s="24"/>
      <c r="KO103" s="24"/>
      <c r="KP103" s="24"/>
      <c r="KQ103" s="24"/>
      <c r="KR103" s="24"/>
      <c r="KS103" s="24"/>
      <c r="KT103" s="24"/>
      <c r="KU103" s="24"/>
      <c r="KV103" s="24"/>
      <c r="KW103" s="24"/>
      <c r="KX103" s="24"/>
      <c r="KY103" s="24"/>
      <c r="KZ103" s="24"/>
      <c r="LA103" s="24"/>
      <c r="LB103" s="24"/>
      <c r="LC103" s="24"/>
      <c r="LD103" s="24"/>
      <c r="LE103" s="24">
        <f t="shared" si="236"/>
        <v>4884.8799999999992</v>
      </c>
      <c r="LF103" s="24">
        <f t="shared" si="236"/>
        <v>4589.78</v>
      </c>
      <c r="LG103" s="24"/>
      <c r="LH103" s="24"/>
      <c r="LI103" s="24"/>
      <c r="LJ103" s="24"/>
      <c r="LK103" s="24"/>
      <c r="LL103" s="24"/>
      <c r="LM103" s="24"/>
      <c r="LN103" s="24"/>
      <c r="LO103" s="24"/>
      <c r="LP103" s="24"/>
      <c r="LQ103" s="24"/>
      <c r="LR103" s="24"/>
      <c r="LS103" s="24"/>
      <c r="LT103" s="24"/>
      <c r="LU103" s="24"/>
      <c r="LV103" s="24"/>
      <c r="LW103" s="24"/>
      <c r="LX103" s="24"/>
      <c r="LY103" s="24"/>
      <c r="LZ103" s="24"/>
      <c r="MA103" s="24"/>
      <c r="MB103" s="24"/>
      <c r="MC103" s="24"/>
      <c r="MD103" s="24"/>
      <c r="ME103" s="24"/>
      <c r="MF103" s="24"/>
      <c r="MG103" s="24"/>
      <c r="MH103" s="24"/>
      <c r="MI103" s="24"/>
      <c r="MJ103" s="24"/>
      <c r="MK103" s="24"/>
      <c r="ML103" s="24"/>
      <c r="MM103" s="24"/>
      <c r="MN103" s="24"/>
      <c r="MO103" s="24"/>
      <c r="MP103" s="24"/>
      <c r="MQ103" s="24"/>
      <c r="MR103" s="24"/>
      <c r="MS103" s="24"/>
      <c r="MT103" s="24"/>
      <c r="MU103" s="24"/>
      <c r="MV103" s="24"/>
      <c r="MW103" s="24"/>
      <c r="MX103" s="24"/>
      <c r="MY103" s="24"/>
      <c r="MZ103" s="24"/>
      <c r="NA103" s="24"/>
      <c r="NB103" s="24"/>
      <c r="NC103" s="24"/>
      <c r="ND103" s="24"/>
      <c r="NE103" s="24"/>
      <c r="NF103" s="24"/>
      <c r="NG103" s="24"/>
      <c r="NH103" s="24"/>
      <c r="NI103" s="24"/>
      <c r="NJ103" s="24"/>
      <c r="NK103" s="24"/>
      <c r="NL103" s="24"/>
      <c r="NM103" s="24"/>
      <c r="NN103" s="24"/>
      <c r="NO103" s="24">
        <f t="shared" si="237"/>
        <v>0</v>
      </c>
      <c r="NP103" s="24">
        <f t="shared" si="237"/>
        <v>0</v>
      </c>
      <c r="NQ103" s="24"/>
      <c r="NR103" s="24"/>
      <c r="NS103" s="24"/>
      <c r="NT103" s="24"/>
      <c r="NU103" s="24"/>
      <c r="NV103" s="24"/>
      <c r="NW103" s="24"/>
      <c r="NX103" s="24"/>
      <c r="NY103" s="24"/>
      <c r="NZ103" s="24"/>
      <c r="OA103" s="24"/>
      <c r="OB103" s="24"/>
      <c r="OC103" s="24"/>
      <c r="OD103" s="24"/>
      <c r="OE103" s="24"/>
      <c r="OF103" s="24"/>
      <c r="OG103" s="24"/>
      <c r="OH103" s="24"/>
      <c r="OI103" s="24"/>
      <c r="OJ103" s="24"/>
      <c r="OK103" s="24"/>
      <c r="OL103" s="24"/>
      <c r="OM103" s="24"/>
      <c r="ON103" s="24"/>
      <c r="OO103" s="24"/>
      <c r="OP103" s="24"/>
      <c r="OQ103" s="24"/>
      <c r="OR103" s="24"/>
      <c r="OS103" s="24"/>
      <c r="OT103" s="24"/>
      <c r="OU103" s="24"/>
      <c r="OV103" s="24"/>
      <c r="OW103" s="24"/>
      <c r="OX103" s="24"/>
      <c r="OY103" s="24"/>
      <c r="OZ103" s="24"/>
      <c r="PA103" s="24"/>
      <c r="PB103" s="24"/>
      <c r="PC103" s="24"/>
      <c r="PD103" s="24"/>
      <c r="PE103" s="24"/>
      <c r="PF103" s="24"/>
      <c r="PG103" s="24"/>
      <c r="PH103" s="24"/>
      <c r="PI103" s="24"/>
      <c r="PJ103" s="24"/>
      <c r="PK103" s="24"/>
      <c r="PL103" s="24"/>
      <c r="PM103" s="24"/>
      <c r="PN103" s="24"/>
      <c r="PO103" s="24"/>
      <c r="PP103" s="24"/>
      <c r="PQ103" s="24"/>
      <c r="PR103" s="24"/>
      <c r="PS103" s="24"/>
      <c r="PT103" s="24"/>
      <c r="PU103" s="24"/>
      <c r="PV103" s="24"/>
      <c r="PW103" s="24"/>
      <c r="PX103" s="24"/>
      <c r="PY103" s="24"/>
      <c r="PZ103" s="24"/>
      <c r="QA103" s="24">
        <f t="shared" si="238"/>
        <v>0</v>
      </c>
      <c r="QB103" s="24">
        <f t="shared" si="238"/>
        <v>0</v>
      </c>
      <c r="QC103" s="24"/>
      <c r="QD103" s="24"/>
      <c r="QE103" s="24"/>
      <c r="QF103" s="24"/>
      <c r="QG103" s="24"/>
      <c r="QH103" s="24"/>
      <c r="QI103" s="24"/>
      <c r="QJ103" s="24"/>
      <c r="QK103" s="24"/>
      <c r="QL103" s="24"/>
      <c r="QM103" s="24"/>
      <c r="QN103" s="24"/>
      <c r="QO103" s="24"/>
      <c r="QP103" s="24"/>
      <c r="QQ103" s="24"/>
      <c r="QR103" s="24"/>
      <c r="QS103" s="24"/>
      <c r="QT103" s="24"/>
      <c r="QU103" s="24"/>
      <c r="QV103" s="24"/>
      <c r="QW103" s="24"/>
      <c r="QX103" s="24"/>
      <c r="QY103" s="24"/>
      <c r="QZ103" s="24"/>
      <c r="RA103" s="24"/>
      <c r="RB103" s="24"/>
      <c r="RC103" s="24"/>
      <c r="RD103" s="24"/>
      <c r="RE103" s="24"/>
      <c r="RF103" s="24"/>
      <c r="RG103" s="24"/>
      <c r="RH103" s="24"/>
      <c r="RI103" s="24"/>
      <c r="RJ103" s="24"/>
      <c r="RK103" s="24"/>
      <c r="RL103" s="24"/>
      <c r="RM103" s="24"/>
      <c r="RN103" s="24"/>
      <c r="RO103" s="24"/>
      <c r="RP103" s="24"/>
      <c r="RQ103" s="24"/>
      <c r="RR103" s="24"/>
      <c r="RS103" s="24"/>
      <c r="RT103" s="24"/>
      <c r="RU103" s="24"/>
      <c r="RV103" s="24"/>
      <c r="RW103" s="24"/>
      <c r="RX103" s="24"/>
      <c r="RY103" s="24"/>
      <c r="RZ103" s="24"/>
      <c r="SA103" s="24"/>
      <c r="SB103" s="24"/>
      <c r="SC103" s="24"/>
      <c r="SD103" s="24"/>
      <c r="SE103" s="24"/>
      <c r="SF103" s="24"/>
      <c r="SG103" s="24"/>
      <c r="SH103" s="24"/>
      <c r="SI103" s="24"/>
      <c r="SJ103" s="24"/>
      <c r="SK103" s="24"/>
      <c r="SL103" s="24"/>
      <c r="SM103" s="24">
        <f t="shared" si="239"/>
        <v>0</v>
      </c>
      <c r="SN103" s="24">
        <f t="shared" si="239"/>
        <v>0</v>
      </c>
      <c r="SO103" s="24"/>
      <c r="SP103" s="24"/>
      <c r="SQ103" s="24"/>
      <c r="SR103" s="24"/>
      <c r="SS103" s="24"/>
      <c r="ST103" s="24"/>
      <c r="SU103" s="24"/>
      <c r="SV103" s="24"/>
      <c r="SW103" s="24"/>
      <c r="SX103" s="24"/>
      <c r="SY103" s="24"/>
      <c r="SZ103" s="24"/>
      <c r="TA103" s="24"/>
      <c r="TB103" s="24"/>
      <c r="TC103" s="24"/>
      <c r="TD103" s="24"/>
      <c r="TE103" s="24"/>
      <c r="TF103" s="24"/>
      <c r="TG103" s="24"/>
      <c r="TH103" s="24"/>
      <c r="TI103" s="24"/>
      <c r="TJ103" s="24"/>
      <c r="TK103" s="24"/>
      <c r="TL103" s="24"/>
      <c r="TM103" s="24"/>
      <c r="TN103" s="24"/>
      <c r="TO103" s="24"/>
      <c r="TP103" s="24"/>
      <c r="TQ103" s="24"/>
      <c r="TR103" s="24"/>
      <c r="TS103" s="24"/>
      <c r="TT103" s="24"/>
      <c r="TU103" s="24"/>
      <c r="TV103" s="24"/>
      <c r="TW103" s="24"/>
      <c r="TX103" s="24"/>
      <c r="TY103" s="24"/>
      <c r="TZ103" s="24"/>
      <c r="UA103" s="24"/>
      <c r="UB103" s="24"/>
      <c r="UC103" s="24"/>
      <c r="UD103" s="24"/>
      <c r="UE103" s="24"/>
      <c r="UF103" s="24"/>
      <c r="UG103" s="24"/>
      <c r="UH103" s="24"/>
      <c r="UI103" s="24"/>
      <c r="UJ103" s="24"/>
      <c r="UK103" s="24"/>
      <c r="UL103" s="24"/>
      <c r="UM103" s="24"/>
      <c r="UN103" s="24"/>
      <c r="UO103" s="24"/>
      <c r="UP103" s="24"/>
      <c r="UQ103" s="24"/>
      <c r="UR103" s="24"/>
      <c r="US103" s="24"/>
      <c r="UT103" s="24"/>
      <c r="UU103" s="24"/>
      <c r="UV103" s="24"/>
      <c r="UW103" s="24">
        <f t="shared" si="240"/>
        <v>0</v>
      </c>
      <c r="UX103" s="24">
        <f t="shared" si="240"/>
        <v>0</v>
      </c>
      <c r="UY103" s="24"/>
      <c r="UZ103" s="24"/>
      <c r="VA103" s="24"/>
      <c r="VB103" s="24"/>
      <c r="VC103" s="24"/>
      <c r="VD103" s="24"/>
      <c r="VE103" s="24"/>
      <c r="VF103" s="24"/>
      <c r="VG103" s="24"/>
      <c r="VH103" s="24"/>
      <c r="VI103" s="24"/>
      <c r="VJ103" s="24"/>
      <c r="VK103" s="24"/>
      <c r="VL103" s="24"/>
      <c r="VM103" s="24"/>
      <c r="VN103" s="24"/>
      <c r="VO103" s="24"/>
      <c r="VP103" s="24"/>
      <c r="VQ103" s="24"/>
      <c r="VR103" s="24"/>
      <c r="VS103" s="24"/>
      <c r="VT103" s="24"/>
      <c r="VU103" s="24"/>
      <c r="VV103" s="24"/>
      <c r="VW103" s="24"/>
      <c r="VX103" s="24"/>
      <c r="VY103" s="24"/>
      <c r="VZ103" s="24"/>
      <c r="WA103" s="24"/>
      <c r="WB103" s="24"/>
      <c r="WC103" s="24"/>
      <c r="WD103" s="24"/>
      <c r="WE103" s="24"/>
      <c r="WF103" s="24"/>
      <c r="WG103" s="24"/>
      <c r="WH103" s="24"/>
      <c r="WI103" s="24"/>
      <c r="WJ103" s="24"/>
      <c r="WK103" s="24"/>
      <c r="WL103" s="24"/>
      <c r="WM103" s="24"/>
      <c r="WN103" s="24"/>
      <c r="WO103" s="24"/>
      <c r="WP103" s="24"/>
      <c r="WQ103" s="24"/>
      <c r="WR103" s="24"/>
      <c r="WS103" s="24"/>
      <c r="WT103" s="24"/>
      <c r="WU103" s="24"/>
      <c r="WV103" s="24"/>
      <c r="WW103" s="24"/>
      <c r="WX103" s="24"/>
      <c r="WY103" s="24"/>
      <c r="WZ103" s="24"/>
      <c r="XA103" s="24"/>
      <c r="XB103" s="24"/>
      <c r="XC103" s="24"/>
      <c r="XD103" s="24"/>
      <c r="XE103" s="24"/>
      <c r="XF103" s="24"/>
      <c r="XG103" s="24"/>
      <c r="XH103" s="24"/>
      <c r="XI103" s="24">
        <f t="shared" si="241"/>
        <v>0</v>
      </c>
      <c r="XJ103" s="24">
        <f t="shared" si="241"/>
        <v>0</v>
      </c>
      <c r="XK103" s="24"/>
      <c r="XL103" s="24"/>
      <c r="XM103" s="24"/>
      <c r="XN103" s="24"/>
      <c r="XO103" s="24"/>
      <c r="XP103" s="24"/>
      <c r="XQ103" s="24"/>
      <c r="XR103" s="24"/>
      <c r="XS103" s="24"/>
      <c r="XT103" s="24"/>
      <c r="XU103" s="24"/>
      <c r="XV103" s="24"/>
      <c r="XW103" s="24"/>
      <c r="XX103" s="24"/>
      <c r="XY103" s="24"/>
      <c r="XZ103" s="24"/>
      <c r="YA103" s="24"/>
      <c r="YB103" s="24"/>
      <c r="YC103" s="24"/>
      <c r="YD103" s="24"/>
      <c r="YE103" s="24"/>
      <c r="YF103" s="24"/>
      <c r="YG103" s="24"/>
      <c r="YH103" s="24"/>
      <c r="YI103" s="24"/>
      <c r="YJ103" s="24"/>
      <c r="YK103" s="24"/>
      <c r="YL103" s="24"/>
      <c r="YM103" s="24"/>
      <c r="YN103" s="24"/>
      <c r="YO103" s="24"/>
      <c r="YP103" s="24"/>
      <c r="YQ103" s="24"/>
      <c r="YR103" s="24"/>
      <c r="YS103" s="24"/>
      <c r="YT103" s="24"/>
      <c r="YU103" s="24"/>
      <c r="YV103" s="24"/>
      <c r="YW103" s="24"/>
      <c r="YX103" s="24"/>
      <c r="YY103" s="24"/>
      <c r="YZ103" s="24"/>
      <c r="ZA103" s="24"/>
      <c r="ZB103" s="24"/>
      <c r="ZC103" s="24"/>
      <c r="ZD103" s="24"/>
      <c r="ZE103" s="24"/>
      <c r="ZF103" s="24"/>
      <c r="ZG103" s="24"/>
      <c r="ZH103" s="24"/>
      <c r="ZI103" s="24"/>
      <c r="ZJ103" s="24"/>
      <c r="ZK103" s="24"/>
      <c r="ZL103" s="24"/>
      <c r="ZM103" s="24"/>
      <c r="ZN103" s="24"/>
      <c r="ZO103" s="24"/>
      <c r="ZP103" s="24"/>
      <c r="ZQ103" s="24"/>
      <c r="ZR103" s="24"/>
      <c r="ZS103" s="24">
        <f t="shared" si="242"/>
        <v>0</v>
      </c>
      <c r="ZT103" s="24">
        <f t="shared" si="242"/>
        <v>0</v>
      </c>
      <c r="ZU103" s="24"/>
      <c r="ZV103" s="24"/>
      <c r="ZW103" s="24"/>
      <c r="ZX103" s="24"/>
      <c r="ZY103" s="24"/>
      <c r="ZZ103" s="24"/>
      <c r="AAA103" s="24"/>
      <c r="AAB103" s="24"/>
      <c r="AAC103" s="24"/>
      <c r="AAD103" s="24"/>
      <c r="AAE103" s="24"/>
      <c r="AAF103" s="24"/>
      <c r="AAG103" s="24"/>
      <c r="AAH103" s="24"/>
      <c r="AAI103" s="24"/>
      <c r="AAJ103" s="24"/>
      <c r="AAK103" s="24"/>
      <c r="AAL103" s="24"/>
      <c r="AAM103" s="24"/>
      <c r="AAN103" s="24"/>
      <c r="AAO103" s="24"/>
      <c r="AAP103" s="24"/>
      <c r="AAQ103" s="24"/>
      <c r="AAR103" s="24"/>
      <c r="AAS103" s="24"/>
      <c r="AAT103" s="24"/>
      <c r="AAU103" s="24"/>
      <c r="AAV103" s="24"/>
      <c r="AAW103" s="24"/>
      <c r="AAX103" s="24"/>
      <c r="AAY103" s="24"/>
      <c r="AAZ103" s="24"/>
      <c r="ABA103" s="24"/>
      <c r="ABB103" s="24"/>
      <c r="ABC103" s="24"/>
      <c r="ABD103" s="24"/>
      <c r="ABE103" s="24"/>
      <c r="ABF103" s="24"/>
      <c r="ABG103" s="24"/>
      <c r="ABH103" s="24"/>
      <c r="ABI103" s="24"/>
      <c r="ABJ103" s="24"/>
      <c r="ABK103" s="24"/>
      <c r="ABL103" s="24"/>
      <c r="ABM103" s="24"/>
      <c r="ABN103" s="24"/>
      <c r="ABO103" s="24"/>
      <c r="ABP103" s="24"/>
      <c r="ABQ103" s="24"/>
      <c r="ABR103" s="24"/>
      <c r="ABS103" s="24"/>
      <c r="ABT103" s="24"/>
      <c r="ABU103" s="24"/>
      <c r="ABV103" s="24"/>
      <c r="ABW103" s="24"/>
      <c r="ABX103" s="24"/>
      <c r="ABY103" s="24"/>
      <c r="ABZ103" s="24"/>
      <c r="ACA103" s="24"/>
      <c r="ACB103" s="24"/>
      <c r="ACC103" s="24"/>
      <c r="ACD103" s="24"/>
      <c r="ACE103" s="24">
        <f>ZU103+ZW103+ZY103+AAA103+AAC103+AAE103+AAG103+AAI103+AAK103+AAM103+AAO103+AAQ103+AAS103+AAU103+AAW103+AAY103+ABA103+ABC103+ABE103+ABG103+ABI103+ABK103+ABM103+ABO103+ABQ103+ABS103+ABU103+ABW103+ABY103+ACA103+ACC103</f>
        <v>0</v>
      </c>
      <c r="ACF103" s="24"/>
      <c r="ACG103" s="24">
        <f>BO103+DW103+GI103+IS103+LE103+NO103+QA103+SM103+UW103+XI103+ZS103+ACE103</f>
        <v>40292.86</v>
      </c>
      <c r="ACH103" s="25"/>
      <c r="ACI103" s="71" t="s">
        <v>193</v>
      </c>
      <c r="ACJ103" s="71" t="s">
        <v>101</v>
      </c>
    </row>
    <row r="104" spans="1:764" x14ac:dyDescent="0.25">
      <c r="A104" s="162"/>
      <c r="B104" s="152"/>
      <c r="C104" s="155"/>
      <c r="D104" s="50" t="s">
        <v>4</v>
      </c>
      <c r="E104" s="74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24" cm="1">
        <f t="array" ref="BO104">SUMPRODUCT(E104:BM104,--(E$2:BM$2=BO$2))</f>
        <v>0</v>
      </c>
      <c r="BP104" s="24" cm="1">
        <f t="array" ref="BP104">SUMPRODUCT(F104:BN104,--(F$2:BN$2=BP$2))</f>
        <v>0</v>
      </c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  <c r="CO104" s="24"/>
      <c r="CP104" s="24"/>
      <c r="CQ104" s="24"/>
      <c r="CR104" s="24"/>
      <c r="CS104" s="24"/>
      <c r="CT104" s="24"/>
      <c r="CU104" s="24"/>
      <c r="CV104" s="24"/>
      <c r="CW104" s="24"/>
      <c r="CX104" s="24"/>
      <c r="CY104" s="24"/>
      <c r="CZ104" s="24"/>
      <c r="DA104" s="24"/>
      <c r="DB104" s="24"/>
      <c r="DC104" s="24"/>
      <c r="DD104" s="24"/>
      <c r="DE104" s="24"/>
      <c r="DF104" s="24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4"/>
      <c r="DV104" s="24"/>
      <c r="DW104" s="24" cm="1">
        <f t="array" ref="DW104">SUMPRODUCT(BQ104:DU104,--(BQ$2:DU$2=DW$2))</f>
        <v>0</v>
      </c>
      <c r="DX104" s="24" cm="1">
        <f t="array" ref="DX104">SUMPRODUCT(BR104:DV104,--(BR$2:DV$2=DX$2))</f>
        <v>0</v>
      </c>
      <c r="DY104" s="24"/>
      <c r="DZ104" s="24"/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  <c r="ES104" s="24"/>
      <c r="ET104" s="24"/>
      <c r="EU104" s="24"/>
      <c r="EV104" s="24"/>
      <c r="EW104" s="24"/>
      <c r="EX104" s="24"/>
      <c r="EY104" s="24"/>
      <c r="EZ104" s="24"/>
      <c r="FA104" s="24"/>
      <c r="FB104" s="24"/>
      <c r="FC104" s="24"/>
      <c r="FD104" s="24"/>
      <c r="FE104" s="24"/>
      <c r="FF104" s="24"/>
      <c r="FG104" s="24"/>
      <c r="FH104" s="24"/>
      <c r="FI104" s="24"/>
      <c r="FJ104" s="24"/>
      <c r="FK104" s="24"/>
      <c r="FL104" s="24"/>
      <c r="FM104" s="24"/>
      <c r="FN104" s="24"/>
      <c r="FO104" s="24"/>
      <c r="FP104" s="24"/>
      <c r="FQ104" s="24"/>
      <c r="FR104" s="24"/>
      <c r="FS104" s="24"/>
      <c r="FT104" s="24"/>
      <c r="FU104" s="24"/>
      <c r="FV104" s="24"/>
      <c r="FW104" s="24"/>
      <c r="FX104" s="24"/>
      <c r="FY104" s="24"/>
      <c r="FZ104" s="24"/>
      <c r="GA104" s="24"/>
      <c r="GB104" s="24"/>
      <c r="GC104" s="24"/>
      <c r="GD104" s="24"/>
      <c r="GE104" s="24"/>
      <c r="GF104" s="24"/>
      <c r="GG104" s="24"/>
      <c r="GH104" s="24"/>
      <c r="GI104" s="24" cm="1">
        <f t="array" ref="GI104">SUMPRODUCT(DY104:GG104,--(DY$2:GG$2=GI$2))</f>
        <v>0</v>
      </c>
      <c r="GJ104" s="24" cm="1">
        <f t="array" ref="GJ104">SUMPRODUCT(DZ104:GH104,--(DZ$2:GH$2=GJ$2))</f>
        <v>0</v>
      </c>
      <c r="GK104" s="24"/>
      <c r="GL104" s="24"/>
      <c r="GM104" s="24"/>
      <c r="GN104" s="24"/>
      <c r="GO104" s="24"/>
      <c r="GP104" s="24"/>
      <c r="GQ104" s="24"/>
      <c r="GR104" s="24"/>
      <c r="GS104" s="24"/>
      <c r="GT104" s="24"/>
      <c r="GU104" s="24"/>
      <c r="GV104" s="24"/>
      <c r="GW104" s="24"/>
      <c r="GX104" s="24"/>
      <c r="GY104" s="24"/>
      <c r="GZ104" s="24"/>
      <c r="HA104" s="24"/>
      <c r="HB104" s="24"/>
      <c r="HC104" s="24"/>
      <c r="HD104" s="24"/>
      <c r="HE104" s="24"/>
      <c r="HF104" s="24"/>
      <c r="HG104" s="24"/>
      <c r="HH104" s="24"/>
      <c r="HI104" s="24"/>
      <c r="HJ104" s="24"/>
      <c r="HK104" s="24"/>
      <c r="HL104" s="24"/>
      <c r="HM104" s="24"/>
      <c r="HN104" s="24"/>
      <c r="HO104" s="24"/>
      <c r="HP104" s="24"/>
      <c r="HQ104" s="24"/>
      <c r="HR104" s="24"/>
      <c r="HS104" s="24"/>
      <c r="HT104" s="24"/>
      <c r="HU104" s="24"/>
      <c r="HV104" s="24"/>
      <c r="HW104" s="24"/>
      <c r="HX104" s="24"/>
      <c r="HY104" s="24"/>
      <c r="HZ104" s="24"/>
      <c r="IA104" s="24"/>
      <c r="IB104" s="24"/>
      <c r="IC104" s="24"/>
      <c r="ID104" s="24"/>
      <c r="IE104" s="24"/>
      <c r="IF104" s="24"/>
      <c r="IG104" s="24"/>
      <c r="IH104" s="24"/>
      <c r="II104" s="24"/>
      <c r="IJ104" s="24"/>
      <c r="IK104" s="24"/>
      <c r="IL104" s="24"/>
      <c r="IM104" s="24"/>
      <c r="IN104" s="24"/>
      <c r="IO104" s="24"/>
      <c r="IP104" s="24"/>
      <c r="IQ104" s="24"/>
      <c r="IR104" s="24"/>
      <c r="IS104" s="24">
        <f t="shared" si="235"/>
        <v>0</v>
      </c>
      <c r="IT104" s="24">
        <f t="shared" si="235"/>
        <v>0</v>
      </c>
      <c r="IU104" s="24"/>
      <c r="IV104" s="24"/>
      <c r="IW104" s="24"/>
      <c r="IX104" s="24"/>
      <c r="IY104" s="24"/>
      <c r="IZ104" s="24"/>
      <c r="JA104" s="24"/>
      <c r="JB104" s="24"/>
      <c r="JC104" s="24"/>
      <c r="JD104" s="24"/>
      <c r="JE104" s="24"/>
      <c r="JF104" s="24"/>
      <c r="JG104" s="24"/>
      <c r="JH104" s="24"/>
      <c r="JI104" s="24"/>
      <c r="JJ104" s="24"/>
      <c r="JK104" s="24"/>
      <c r="JL104" s="24"/>
      <c r="JM104" s="24"/>
      <c r="JN104" s="24"/>
      <c r="JO104" s="24"/>
      <c r="JP104" s="24"/>
      <c r="JQ104" s="24"/>
      <c r="JR104" s="24"/>
      <c r="JS104" s="24"/>
      <c r="JT104" s="24"/>
      <c r="JU104" s="24"/>
      <c r="JV104" s="24"/>
      <c r="JW104" s="24"/>
      <c r="JX104" s="24"/>
      <c r="JY104" s="24"/>
      <c r="JZ104" s="24"/>
      <c r="KA104" s="24"/>
      <c r="KB104" s="24"/>
      <c r="KC104" s="24"/>
      <c r="KD104" s="24"/>
      <c r="KE104" s="24"/>
      <c r="KF104" s="24"/>
      <c r="KG104" s="24"/>
      <c r="KH104" s="24"/>
      <c r="KI104" s="24"/>
      <c r="KJ104" s="24"/>
      <c r="KK104" s="24"/>
      <c r="KL104" s="24"/>
      <c r="KM104" s="24"/>
      <c r="KN104" s="24"/>
      <c r="KO104" s="24"/>
      <c r="KP104" s="24"/>
      <c r="KQ104" s="24"/>
      <c r="KR104" s="24"/>
      <c r="KS104" s="24"/>
      <c r="KT104" s="24"/>
      <c r="KU104" s="24"/>
      <c r="KV104" s="24"/>
      <c r="KW104" s="24"/>
      <c r="KX104" s="24"/>
      <c r="KY104" s="24"/>
      <c r="KZ104" s="24"/>
      <c r="LA104" s="24"/>
      <c r="LB104" s="24"/>
      <c r="LC104" s="24"/>
      <c r="LD104" s="24"/>
      <c r="LE104" s="24">
        <f t="shared" si="236"/>
        <v>0</v>
      </c>
      <c r="LF104" s="24">
        <f t="shared" si="236"/>
        <v>0</v>
      </c>
      <c r="LG104" s="24"/>
      <c r="LH104" s="24"/>
      <c r="LI104" s="24"/>
      <c r="LJ104" s="24"/>
      <c r="LK104" s="24"/>
      <c r="LL104" s="24"/>
      <c r="LM104" s="24"/>
      <c r="LN104" s="24"/>
      <c r="LO104" s="24"/>
      <c r="LP104" s="24"/>
      <c r="LQ104" s="24"/>
      <c r="LR104" s="24"/>
      <c r="LS104" s="24"/>
      <c r="LT104" s="24"/>
      <c r="LU104" s="24"/>
      <c r="LV104" s="24"/>
      <c r="LW104" s="24"/>
      <c r="LX104" s="24"/>
      <c r="LY104" s="24"/>
      <c r="LZ104" s="24"/>
      <c r="MA104" s="24"/>
      <c r="MB104" s="24"/>
      <c r="MC104" s="24"/>
      <c r="MD104" s="24"/>
      <c r="ME104" s="24"/>
      <c r="MF104" s="24"/>
      <c r="MG104" s="24"/>
      <c r="MH104" s="24"/>
      <c r="MI104" s="24"/>
      <c r="MJ104" s="24"/>
      <c r="MK104" s="24"/>
      <c r="ML104" s="24"/>
      <c r="MM104" s="24"/>
      <c r="MN104" s="24"/>
      <c r="MO104" s="24"/>
      <c r="MP104" s="24"/>
      <c r="MQ104" s="24"/>
      <c r="MR104" s="24"/>
      <c r="MS104" s="24"/>
      <c r="MT104" s="24"/>
      <c r="MU104" s="24"/>
      <c r="MV104" s="24"/>
      <c r="MW104" s="24"/>
      <c r="MX104" s="24"/>
      <c r="MY104" s="24"/>
      <c r="MZ104" s="24"/>
      <c r="NA104" s="24"/>
      <c r="NB104" s="24"/>
      <c r="NC104" s="24"/>
      <c r="ND104" s="24"/>
      <c r="NE104" s="24"/>
      <c r="NF104" s="24"/>
      <c r="NG104" s="24"/>
      <c r="NH104" s="24"/>
      <c r="NI104" s="24"/>
      <c r="NJ104" s="24"/>
      <c r="NK104" s="24"/>
      <c r="NL104" s="24"/>
      <c r="NM104" s="24"/>
      <c r="NN104" s="24"/>
      <c r="NO104" s="24">
        <f t="shared" si="237"/>
        <v>0</v>
      </c>
      <c r="NP104" s="24">
        <f t="shared" si="237"/>
        <v>0</v>
      </c>
      <c r="NQ104" s="24"/>
      <c r="NR104" s="24"/>
      <c r="NS104" s="24"/>
      <c r="NT104" s="24"/>
      <c r="NU104" s="24"/>
      <c r="NV104" s="24"/>
      <c r="NW104" s="24"/>
      <c r="NX104" s="24"/>
      <c r="NY104" s="24"/>
      <c r="NZ104" s="24"/>
      <c r="OA104" s="24"/>
      <c r="OB104" s="24"/>
      <c r="OC104" s="24"/>
      <c r="OD104" s="24"/>
      <c r="OE104" s="24"/>
      <c r="OF104" s="24"/>
      <c r="OG104" s="24"/>
      <c r="OH104" s="24"/>
      <c r="OI104" s="24"/>
      <c r="OJ104" s="24"/>
      <c r="OK104" s="24"/>
      <c r="OL104" s="24"/>
      <c r="OM104" s="24"/>
      <c r="ON104" s="24"/>
      <c r="OO104" s="24"/>
      <c r="OP104" s="24"/>
      <c r="OQ104" s="24"/>
      <c r="OR104" s="24"/>
      <c r="OS104" s="24"/>
      <c r="OT104" s="24"/>
      <c r="OU104" s="24"/>
      <c r="OV104" s="24"/>
      <c r="OW104" s="24"/>
      <c r="OX104" s="24"/>
      <c r="OY104" s="24"/>
      <c r="OZ104" s="24"/>
      <c r="PA104" s="24"/>
      <c r="PB104" s="24"/>
      <c r="PC104" s="24"/>
      <c r="PD104" s="24"/>
      <c r="PE104" s="24"/>
      <c r="PF104" s="24"/>
      <c r="PG104" s="24"/>
      <c r="PH104" s="24"/>
      <c r="PI104" s="24"/>
      <c r="PJ104" s="24"/>
      <c r="PK104" s="24"/>
      <c r="PL104" s="24"/>
      <c r="PM104" s="24"/>
      <c r="PN104" s="24"/>
      <c r="PO104" s="24"/>
      <c r="PP104" s="24"/>
      <c r="PQ104" s="24"/>
      <c r="PR104" s="24"/>
      <c r="PS104" s="24"/>
      <c r="PT104" s="24"/>
      <c r="PU104" s="24"/>
      <c r="PV104" s="24"/>
      <c r="PW104" s="24"/>
      <c r="PX104" s="24"/>
      <c r="PY104" s="24"/>
      <c r="PZ104" s="24"/>
      <c r="QA104" s="24">
        <f t="shared" si="238"/>
        <v>0</v>
      </c>
      <c r="QB104" s="24">
        <f t="shared" si="238"/>
        <v>0</v>
      </c>
      <c r="QC104" s="24"/>
      <c r="QD104" s="24"/>
      <c r="QE104" s="24"/>
      <c r="QF104" s="24"/>
      <c r="QG104" s="24"/>
      <c r="QH104" s="24"/>
      <c r="QI104" s="24"/>
      <c r="QJ104" s="24"/>
      <c r="QK104" s="24"/>
      <c r="QL104" s="24"/>
      <c r="QM104" s="24"/>
      <c r="QN104" s="24"/>
      <c r="QO104" s="24"/>
      <c r="QP104" s="24"/>
      <c r="QQ104" s="24"/>
      <c r="QR104" s="24"/>
      <c r="QS104" s="24"/>
      <c r="QT104" s="24"/>
      <c r="QU104" s="24"/>
      <c r="QV104" s="24"/>
      <c r="QW104" s="24"/>
      <c r="QX104" s="24"/>
      <c r="QY104" s="24"/>
      <c r="QZ104" s="24"/>
      <c r="RA104" s="24"/>
      <c r="RB104" s="24"/>
      <c r="RC104" s="24"/>
      <c r="RD104" s="24"/>
      <c r="RE104" s="24"/>
      <c r="RF104" s="24"/>
      <c r="RG104" s="24"/>
      <c r="RH104" s="24"/>
      <c r="RI104" s="24"/>
      <c r="RJ104" s="24"/>
      <c r="RK104" s="24"/>
      <c r="RL104" s="24"/>
      <c r="RM104" s="24"/>
      <c r="RN104" s="24"/>
      <c r="RO104" s="24"/>
      <c r="RP104" s="24"/>
      <c r="RQ104" s="24"/>
      <c r="RR104" s="24"/>
      <c r="RS104" s="24"/>
      <c r="RT104" s="24"/>
      <c r="RU104" s="24"/>
      <c r="RV104" s="24"/>
      <c r="RW104" s="24"/>
      <c r="RX104" s="24"/>
      <c r="RY104" s="24"/>
      <c r="RZ104" s="24"/>
      <c r="SA104" s="24"/>
      <c r="SB104" s="24"/>
      <c r="SC104" s="24"/>
      <c r="SD104" s="24"/>
      <c r="SE104" s="24"/>
      <c r="SF104" s="24"/>
      <c r="SG104" s="24"/>
      <c r="SH104" s="24"/>
      <c r="SI104" s="24"/>
      <c r="SJ104" s="24"/>
      <c r="SK104" s="24"/>
      <c r="SL104" s="24"/>
      <c r="SM104" s="24">
        <f t="shared" si="239"/>
        <v>0</v>
      </c>
      <c r="SN104" s="24">
        <f t="shared" si="239"/>
        <v>0</v>
      </c>
      <c r="SO104" s="24"/>
      <c r="SP104" s="24"/>
      <c r="SQ104" s="24"/>
      <c r="SR104" s="24"/>
      <c r="SS104" s="24"/>
      <c r="ST104" s="24"/>
      <c r="SU104" s="24"/>
      <c r="SV104" s="24"/>
      <c r="SW104" s="24"/>
      <c r="SX104" s="24"/>
      <c r="SY104" s="24"/>
      <c r="SZ104" s="24"/>
      <c r="TA104" s="24"/>
      <c r="TB104" s="24"/>
      <c r="TC104" s="24"/>
      <c r="TD104" s="24"/>
      <c r="TE104" s="24"/>
      <c r="TF104" s="24"/>
      <c r="TG104" s="24"/>
      <c r="TH104" s="24"/>
      <c r="TI104" s="24"/>
      <c r="TJ104" s="24"/>
      <c r="TK104" s="24"/>
      <c r="TL104" s="24"/>
      <c r="TM104" s="24"/>
      <c r="TN104" s="24"/>
      <c r="TO104" s="24"/>
      <c r="TP104" s="24"/>
      <c r="TQ104" s="24"/>
      <c r="TR104" s="24"/>
      <c r="TS104" s="24"/>
      <c r="TT104" s="24"/>
      <c r="TU104" s="24"/>
      <c r="TV104" s="24"/>
      <c r="TW104" s="24"/>
      <c r="TX104" s="24"/>
      <c r="TY104" s="24"/>
      <c r="TZ104" s="24"/>
      <c r="UA104" s="24"/>
      <c r="UB104" s="24"/>
      <c r="UC104" s="24"/>
      <c r="UD104" s="24"/>
      <c r="UE104" s="24"/>
      <c r="UF104" s="24"/>
      <c r="UG104" s="24"/>
      <c r="UH104" s="24"/>
      <c r="UI104" s="24"/>
      <c r="UJ104" s="24"/>
      <c r="UK104" s="24"/>
      <c r="UL104" s="24"/>
      <c r="UM104" s="24"/>
      <c r="UN104" s="24"/>
      <c r="UO104" s="24"/>
      <c r="UP104" s="24"/>
      <c r="UQ104" s="24"/>
      <c r="UR104" s="24"/>
      <c r="US104" s="24"/>
      <c r="UT104" s="24"/>
      <c r="UU104" s="24"/>
      <c r="UV104" s="24"/>
      <c r="UW104" s="24">
        <f t="shared" si="240"/>
        <v>0</v>
      </c>
      <c r="UX104" s="24">
        <f t="shared" si="240"/>
        <v>0</v>
      </c>
      <c r="UY104" s="24"/>
      <c r="UZ104" s="24"/>
      <c r="VA104" s="24"/>
      <c r="VB104" s="24"/>
      <c r="VC104" s="24"/>
      <c r="VD104" s="24"/>
      <c r="VE104" s="24"/>
      <c r="VF104" s="24"/>
      <c r="VG104" s="24"/>
      <c r="VH104" s="24"/>
      <c r="VI104" s="24"/>
      <c r="VJ104" s="24"/>
      <c r="VK104" s="24"/>
      <c r="VL104" s="24"/>
      <c r="VM104" s="24"/>
      <c r="VN104" s="24"/>
      <c r="VO104" s="24"/>
      <c r="VP104" s="24"/>
      <c r="VQ104" s="24"/>
      <c r="VR104" s="24"/>
      <c r="VS104" s="24"/>
      <c r="VT104" s="24"/>
      <c r="VU104" s="24"/>
      <c r="VV104" s="24"/>
      <c r="VW104" s="24"/>
      <c r="VX104" s="24"/>
      <c r="VY104" s="24"/>
      <c r="VZ104" s="24"/>
      <c r="WA104" s="24"/>
      <c r="WB104" s="24"/>
      <c r="WC104" s="24"/>
      <c r="WD104" s="24"/>
      <c r="WE104" s="24"/>
      <c r="WF104" s="24"/>
      <c r="WG104" s="24"/>
      <c r="WH104" s="24"/>
      <c r="WI104" s="24"/>
      <c r="WJ104" s="24"/>
      <c r="WK104" s="24"/>
      <c r="WL104" s="24"/>
      <c r="WM104" s="24"/>
      <c r="WN104" s="24"/>
      <c r="WO104" s="24"/>
      <c r="WP104" s="24"/>
      <c r="WQ104" s="24"/>
      <c r="WR104" s="24"/>
      <c r="WS104" s="24"/>
      <c r="WT104" s="24"/>
      <c r="WU104" s="24"/>
      <c r="WV104" s="24"/>
      <c r="WW104" s="24"/>
      <c r="WX104" s="24"/>
      <c r="WY104" s="24"/>
      <c r="WZ104" s="24"/>
      <c r="XA104" s="24"/>
      <c r="XB104" s="24"/>
      <c r="XC104" s="24"/>
      <c r="XD104" s="24"/>
      <c r="XE104" s="24"/>
      <c r="XF104" s="24"/>
      <c r="XG104" s="24"/>
      <c r="XH104" s="24"/>
      <c r="XI104" s="24">
        <f t="shared" si="241"/>
        <v>0</v>
      </c>
      <c r="XJ104" s="24">
        <f t="shared" si="241"/>
        <v>0</v>
      </c>
      <c r="XK104" s="24"/>
      <c r="XL104" s="24"/>
      <c r="XM104" s="24"/>
      <c r="XN104" s="24"/>
      <c r="XO104" s="24"/>
      <c r="XP104" s="24"/>
      <c r="XQ104" s="24"/>
      <c r="XR104" s="24"/>
      <c r="XS104" s="24"/>
      <c r="XT104" s="24"/>
      <c r="XU104" s="24"/>
      <c r="XV104" s="24"/>
      <c r="XW104" s="24"/>
      <c r="XX104" s="24"/>
      <c r="XY104" s="24"/>
      <c r="XZ104" s="24"/>
      <c r="YA104" s="24"/>
      <c r="YB104" s="24"/>
      <c r="YC104" s="24"/>
      <c r="YD104" s="24"/>
      <c r="YE104" s="24"/>
      <c r="YF104" s="24"/>
      <c r="YG104" s="24"/>
      <c r="YH104" s="24"/>
      <c r="YI104" s="24"/>
      <c r="YJ104" s="24"/>
      <c r="YK104" s="24"/>
      <c r="YL104" s="24"/>
      <c r="YM104" s="24"/>
      <c r="YN104" s="24"/>
      <c r="YO104" s="24"/>
      <c r="YP104" s="24"/>
      <c r="YQ104" s="24"/>
      <c r="YR104" s="24"/>
      <c r="YS104" s="24"/>
      <c r="YT104" s="24"/>
      <c r="YU104" s="24"/>
      <c r="YV104" s="24"/>
      <c r="YW104" s="24"/>
      <c r="YX104" s="24"/>
      <c r="YY104" s="24"/>
      <c r="YZ104" s="24"/>
      <c r="ZA104" s="24"/>
      <c r="ZB104" s="24"/>
      <c r="ZC104" s="24"/>
      <c r="ZD104" s="24"/>
      <c r="ZE104" s="24"/>
      <c r="ZF104" s="24"/>
      <c r="ZG104" s="24"/>
      <c r="ZH104" s="24"/>
      <c r="ZI104" s="24"/>
      <c r="ZJ104" s="24"/>
      <c r="ZK104" s="24"/>
      <c r="ZL104" s="24"/>
      <c r="ZM104" s="24"/>
      <c r="ZN104" s="24"/>
      <c r="ZO104" s="24"/>
      <c r="ZP104" s="24"/>
      <c r="ZQ104" s="24"/>
      <c r="ZR104" s="24"/>
      <c r="ZS104" s="24">
        <f t="shared" si="242"/>
        <v>0</v>
      </c>
      <c r="ZT104" s="24">
        <f t="shared" si="242"/>
        <v>0</v>
      </c>
      <c r="ZU104" s="24"/>
      <c r="ZV104" s="24"/>
      <c r="ZW104" s="24"/>
      <c r="ZX104" s="24"/>
      <c r="ZY104" s="24"/>
      <c r="ZZ104" s="24"/>
      <c r="AAA104" s="24"/>
      <c r="AAB104" s="24"/>
      <c r="AAC104" s="24"/>
      <c r="AAD104" s="24"/>
      <c r="AAE104" s="24"/>
      <c r="AAF104" s="24"/>
      <c r="AAG104" s="24"/>
      <c r="AAH104" s="24"/>
      <c r="AAI104" s="24"/>
      <c r="AAJ104" s="24"/>
      <c r="AAK104" s="24"/>
      <c r="AAL104" s="24"/>
      <c r="AAM104" s="24"/>
      <c r="AAN104" s="24"/>
      <c r="AAO104" s="24"/>
      <c r="AAP104" s="24"/>
      <c r="AAQ104" s="24"/>
      <c r="AAR104" s="24"/>
      <c r="AAS104" s="24"/>
      <c r="AAT104" s="24"/>
      <c r="AAU104" s="24"/>
      <c r="AAV104" s="24"/>
      <c r="AAW104" s="24"/>
      <c r="AAX104" s="24"/>
      <c r="AAY104" s="24"/>
      <c r="AAZ104" s="24"/>
      <c r="ABA104" s="24"/>
      <c r="ABB104" s="24"/>
      <c r="ABC104" s="24"/>
      <c r="ABD104" s="24"/>
      <c r="ABE104" s="24"/>
      <c r="ABF104" s="24"/>
      <c r="ABG104" s="24"/>
      <c r="ABH104" s="24"/>
      <c r="ABI104" s="24"/>
      <c r="ABJ104" s="24"/>
      <c r="ABK104" s="24"/>
      <c r="ABL104" s="24"/>
      <c r="ABM104" s="24"/>
      <c r="ABN104" s="24"/>
      <c r="ABO104" s="24"/>
      <c r="ABP104" s="24"/>
      <c r="ABQ104" s="24"/>
      <c r="ABR104" s="24"/>
      <c r="ABS104" s="24"/>
      <c r="ABT104" s="24"/>
      <c r="ABU104" s="24"/>
      <c r="ABV104" s="24"/>
      <c r="ABW104" s="24"/>
      <c r="ABX104" s="24"/>
      <c r="ABY104" s="24"/>
      <c r="ABZ104" s="24"/>
      <c r="ACA104" s="24"/>
      <c r="ACB104" s="24"/>
      <c r="ACC104" s="24"/>
      <c r="ACD104" s="24"/>
      <c r="ACE104" s="24">
        <f>ZU104+ZW104+ZY104+AAA104+AAC104+AAE104+AAG104+AAI104+AAK104+AAM104+AAO104+AAQ104+AAS104+AAU104+AAW104+AAY104+ABA104+ABC104+ABE104+ABG104+ABI104+ABK104+ABM104+ABO104+ABQ104+ABS104+ABU104+ABW104+ABY104+ACA104+ACC104</f>
        <v>0</v>
      </c>
      <c r="ACF104" s="24"/>
      <c r="ACG104" s="24">
        <f>BO104+DW104+GI104+IS104+LE104+NO104+QA104+SM104+UW104+XI104+ZS104+ACE104</f>
        <v>0</v>
      </c>
      <c r="ACH104" s="25"/>
      <c r="ACI104" s="71" t="s">
        <v>194</v>
      </c>
      <c r="ACJ104" s="71" t="s">
        <v>101</v>
      </c>
    </row>
    <row r="105" spans="1:764" x14ac:dyDescent="0.25">
      <c r="A105" s="162"/>
      <c r="B105" s="152"/>
      <c r="C105" s="155"/>
      <c r="D105" s="50" t="s">
        <v>8</v>
      </c>
      <c r="E105" s="74"/>
      <c r="F105" s="75"/>
      <c r="G105" s="75"/>
      <c r="H105" s="75"/>
      <c r="I105" s="75"/>
      <c r="J105" s="75"/>
      <c r="K105" s="75"/>
      <c r="L105" s="75"/>
      <c r="M105" s="75"/>
      <c r="N105" s="75"/>
      <c r="O105" s="75">
        <v>17.72</v>
      </c>
      <c r="P105" s="75">
        <v>13.04</v>
      </c>
      <c r="Q105" s="75"/>
      <c r="R105" s="75"/>
      <c r="S105" s="75"/>
      <c r="T105" s="75"/>
      <c r="U105" s="75">
        <v>41.739999999999995</v>
      </c>
      <c r="V105" s="75">
        <v>43.980000000000004</v>
      </c>
      <c r="W105" s="75">
        <v>36.6</v>
      </c>
      <c r="X105" s="75">
        <v>38.72</v>
      </c>
      <c r="Y105" s="75">
        <v>21.78</v>
      </c>
      <c r="Z105" s="75">
        <v>19.8</v>
      </c>
      <c r="AA105" s="75">
        <v>59.46</v>
      </c>
      <c r="AB105" s="75">
        <v>76.5</v>
      </c>
      <c r="AC105" s="75">
        <v>43.86</v>
      </c>
      <c r="AD105" s="75">
        <v>57.96</v>
      </c>
      <c r="AE105" s="75">
        <v>121.68</v>
      </c>
      <c r="AF105" s="75">
        <v>160.72</v>
      </c>
      <c r="AG105" s="75">
        <v>35.900000000000006</v>
      </c>
      <c r="AH105" s="75">
        <v>35.900000000000006</v>
      </c>
      <c r="AI105" s="75">
        <v>70.36</v>
      </c>
      <c r="AJ105" s="75">
        <v>73.259999999999991</v>
      </c>
      <c r="AK105" s="75">
        <v>60.94</v>
      </c>
      <c r="AL105" s="75">
        <v>80.78</v>
      </c>
      <c r="AM105" s="75">
        <v>34.019999999999996</v>
      </c>
      <c r="AN105" s="75">
        <v>32.26</v>
      </c>
      <c r="AO105" s="75"/>
      <c r="AP105" s="75"/>
      <c r="AQ105" s="75">
        <v>48.739999999999995</v>
      </c>
      <c r="AR105" s="75">
        <v>50.879999999999995</v>
      </c>
      <c r="AS105" s="75">
        <v>25.64</v>
      </c>
      <c r="AT105" s="75">
        <v>32.58</v>
      </c>
      <c r="AU105" s="75">
        <v>52.480000000000004</v>
      </c>
      <c r="AV105" s="75">
        <v>57.34</v>
      </c>
      <c r="AW105" s="75">
        <v>111.3</v>
      </c>
      <c r="AX105" s="75">
        <v>118.96000000000001</v>
      </c>
      <c r="AY105" s="75">
        <v>142.15999999999997</v>
      </c>
      <c r="AZ105" s="75">
        <v>150.38</v>
      </c>
      <c r="BA105" s="75">
        <v>43.3</v>
      </c>
      <c r="BB105" s="75">
        <v>50.45</v>
      </c>
      <c r="BC105" s="75">
        <v>80.3</v>
      </c>
      <c r="BD105" s="75">
        <v>80.02</v>
      </c>
      <c r="BE105" s="75">
        <v>93.360000000000014</v>
      </c>
      <c r="BF105" s="75">
        <v>95.04</v>
      </c>
      <c r="BG105" s="75">
        <v>50.620000000000005</v>
      </c>
      <c r="BH105" s="75">
        <v>58.120000000000005</v>
      </c>
      <c r="BI105" s="75">
        <v>56.440000000000012</v>
      </c>
      <c r="BJ105" s="75">
        <v>57.199999999999996</v>
      </c>
      <c r="BK105" s="75">
        <v>18.14</v>
      </c>
      <c r="BL105" s="75">
        <v>11.2</v>
      </c>
      <c r="BM105" s="75">
        <v>33.760000000000005</v>
      </c>
      <c r="BN105" s="75">
        <v>34.44</v>
      </c>
      <c r="BO105" s="24" cm="1">
        <f t="array" ref="BO105">SUMPRODUCT(E105:BM105,--(E$2:BM$2=BO$2))</f>
        <v>1300.3000000000002</v>
      </c>
      <c r="BP105" s="24" cm="1">
        <f t="array" ref="BP105">SUMPRODUCT(F105:BN105,--(F$2:BN$2=BP$2))</f>
        <v>1429.5300000000002</v>
      </c>
      <c r="BQ105" s="24">
        <v>20.98</v>
      </c>
      <c r="BR105" s="24">
        <v>21.36</v>
      </c>
      <c r="BS105" s="24">
        <v>31.68</v>
      </c>
      <c r="BT105" s="24">
        <v>29.54</v>
      </c>
      <c r="BU105" s="24">
        <v>33.940000000000005</v>
      </c>
      <c r="BV105" s="24">
        <v>34.980000000000004</v>
      </c>
      <c r="BW105" s="24">
        <v>20.3</v>
      </c>
      <c r="BX105" s="24">
        <v>20.54</v>
      </c>
      <c r="BY105" s="24">
        <v>50.36</v>
      </c>
      <c r="BZ105" s="24">
        <v>50.56</v>
      </c>
      <c r="CA105" s="24">
        <v>14.32</v>
      </c>
      <c r="CB105" s="24">
        <v>14.54</v>
      </c>
      <c r="CC105" s="24">
        <v>44.620000000000005</v>
      </c>
      <c r="CD105" s="24">
        <v>48.5</v>
      </c>
      <c r="CE105" s="24">
        <v>17.84</v>
      </c>
      <c r="CF105" s="24">
        <v>16.739999999999998</v>
      </c>
      <c r="CG105" s="24">
        <v>36.379999999999995</v>
      </c>
      <c r="CH105" s="24">
        <v>40.159999999999997</v>
      </c>
      <c r="CI105" s="24">
        <v>26.3</v>
      </c>
      <c r="CJ105" s="24">
        <v>26.56</v>
      </c>
      <c r="CK105" s="24"/>
      <c r="CL105" s="24"/>
      <c r="CM105" s="24">
        <v>53.060000000000009</v>
      </c>
      <c r="CN105" s="24">
        <v>52.199999999999996</v>
      </c>
      <c r="CO105" s="24">
        <v>16.02</v>
      </c>
      <c r="CP105" s="24">
        <v>16.18</v>
      </c>
      <c r="CQ105" s="24">
        <v>12.7</v>
      </c>
      <c r="CR105" s="24">
        <v>15.22</v>
      </c>
      <c r="CS105" s="24">
        <v>62</v>
      </c>
      <c r="CT105" s="24">
        <v>66.12</v>
      </c>
      <c r="CU105" s="24">
        <v>16.66</v>
      </c>
      <c r="CV105" s="24">
        <v>16.62</v>
      </c>
      <c r="CW105" s="24">
        <v>116.17999999999999</v>
      </c>
      <c r="CX105" s="24">
        <v>128.97999999999999</v>
      </c>
      <c r="CY105" s="24"/>
      <c r="CZ105" s="24"/>
      <c r="DA105" s="24"/>
      <c r="DB105" s="24"/>
      <c r="DC105" s="24">
        <v>28.6</v>
      </c>
      <c r="DD105" s="24">
        <v>32.22</v>
      </c>
      <c r="DE105" s="24">
        <v>32.26</v>
      </c>
      <c r="DF105" s="24">
        <v>39.28</v>
      </c>
      <c r="DG105" s="24">
        <v>50.339999999999996</v>
      </c>
      <c r="DH105" s="24">
        <v>50.58</v>
      </c>
      <c r="DI105" s="24">
        <v>14.92</v>
      </c>
      <c r="DJ105" s="24">
        <v>16.72</v>
      </c>
      <c r="DK105" s="24"/>
      <c r="DL105" s="24"/>
      <c r="DM105" s="24">
        <v>20.880000000000003</v>
      </c>
      <c r="DN105" s="24">
        <v>20.8</v>
      </c>
      <c r="DO105" s="24">
        <v>53.739999999999995</v>
      </c>
      <c r="DP105" s="24">
        <v>53.44</v>
      </c>
      <c r="DQ105" s="24">
        <v>51.679999999999993</v>
      </c>
      <c r="DR105" s="24">
        <v>35.6</v>
      </c>
      <c r="DS105" s="24">
        <v>15.58</v>
      </c>
      <c r="DT105" s="24">
        <v>0</v>
      </c>
      <c r="DU105" s="24">
        <v>31.7</v>
      </c>
      <c r="DV105" s="24">
        <v>0</v>
      </c>
      <c r="DW105" s="24" cm="1">
        <f t="array" ref="DW105">SUMPRODUCT(BQ105:DU105,--(BQ$2:DU$2=DW$2))</f>
        <v>873.04</v>
      </c>
      <c r="DX105" s="24" cm="1">
        <f t="array" ref="DX105">SUMPRODUCT(BR105:DV105,--(BR$2:DV$2=DX$2))</f>
        <v>847.43999999999994</v>
      </c>
      <c r="DY105" s="24">
        <v>17.919999999999998</v>
      </c>
      <c r="DZ105" s="24">
        <v>17.739999999999998</v>
      </c>
      <c r="EA105" s="24"/>
      <c r="EB105" s="24"/>
      <c r="EC105" s="24">
        <v>50.720000000000006</v>
      </c>
      <c r="ED105" s="24">
        <v>44</v>
      </c>
      <c r="EE105" s="24">
        <v>50.34</v>
      </c>
      <c r="EF105" s="24">
        <v>50.260000000000005</v>
      </c>
      <c r="EG105" s="24">
        <v>91.720000000000013</v>
      </c>
      <c r="EH105" s="24">
        <v>93.4</v>
      </c>
      <c r="EI105" s="24">
        <v>102.71999999999998</v>
      </c>
      <c r="EJ105" s="24">
        <v>100.86</v>
      </c>
      <c r="EK105" s="24"/>
      <c r="EL105" s="24"/>
      <c r="EM105" s="24">
        <v>30.28</v>
      </c>
      <c r="EN105" s="24">
        <v>30.14</v>
      </c>
      <c r="EO105" s="24">
        <v>39.119999999999997</v>
      </c>
      <c r="EP105" s="24">
        <v>38.840000000000003</v>
      </c>
      <c r="EQ105" s="24">
        <v>205.36</v>
      </c>
      <c r="ER105" s="24">
        <v>207.88</v>
      </c>
      <c r="ES105" s="24">
        <v>145.16</v>
      </c>
      <c r="ET105" s="24">
        <v>139.98000000000002</v>
      </c>
      <c r="EU105" s="24">
        <v>347.48000000000019</v>
      </c>
      <c r="EV105" s="24">
        <v>334.92000000000007</v>
      </c>
      <c r="EW105" s="24">
        <v>309.96000000000009</v>
      </c>
      <c r="EX105" s="24">
        <v>305.12000000000006</v>
      </c>
      <c r="EY105" s="24">
        <v>280.14</v>
      </c>
      <c r="EZ105" s="24">
        <v>283.91999999999996</v>
      </c>
      <c r="FA105" s="24">
        <v>213.46</v>
      </c>
      <c r="FB105" s="24">
        <v>215.06000000000003</v>
      </c>
      <c r="FC105" s="24">
        <v>405.64</v>
      </c>
      <c r="FD105" s="24">
        <v>400.68000000000012</v>
      </c>
      <c r="FE105" s="24">
        <v>178.04</v>
      </c>
      <c r="FF105" s="24">
        <v>178.34000000000003</v>
      </c>
      <c r="FG105" s="24">
        <v>196.55999999999997</v>
      </c>
      <c r="FH105" s="24">
        <v>194.8</v>
      </c>
      <c r="FI105" s="24">
        <v>373.49999999999989</v>
      </c>
      <c r="FJ105" s="24">
        <v>375.41999999999996</v>
      </c>
      <c r="FK105" s="24">
        <v>238.5</v>
      </c>
      <c r="FL105" s="24">
        <v>237.07999999999998</v>
      </c>
      <c r="FM105" s="24">
        <v>198.16</v>
      </c>
      <c r="FN105" s="24">
        <v>193.54000000000002</v>
      </c>
      <c r="FO105" s="24">
        <v>246.44</v>
      </c>
      <c r="FP105" s="24">
        <v>247.02000000000004</v>
      </c>
      <c r="FQ105" s="24">
        <v>309.76</v>
      </c>
      <c r="FR105" s="24">
        <v>311.5</v>
      </c>
      <c r="FS105" s="24">
        <v>267.5200000000001</v>
      </c>
      <c r="FT105" s="24">
        <v>273.59999999999997</v>
      </c>
      <c r="FU105" s="24">
        <v>135.12</v>
      </c>
      <c r="FV105" s="24">
        <v>135.44</v>
      </c>
      <c r="FW105" s="24">
        <v>92.440000000000012</v>
      </c>
      <c r="FX105" s="24">
        <v>92.440000000000012</v>
      </c>
      <c r="FY105" s="24">
        <v>146.5</v>
      </c>
      <c r="FZ105" s="24">
        <v>147.56</v>
      </c>
      <c r="GA105" s="24">
        <v>76.819999999999993</v>
      </c>
      <c r="GB105" s="24">
        <v>77.56</v>
      </c>
      <c r="GC105" s="24">
        <v>41.36</v>
      </c>
      <c r="GD105" s="24">
        <v>42.02</v>
      </c>
      <c r="GE105" s="24">
        <v>66.06</v>
      </c>
      <c r="GF105" s="24">
        <v>66.56</v>
      </c>
      <c r="GG105" s="24">
        <v>39.1</v>
      </c>
      <c r="GH105" s="24">
        <v>19.54</v>
      </c>
      <c r="GI105" s="24" cm="1">
        <f t="array" ref="GI105">SUMPRODUCT(DY105:GG105,--(DY$2:GG$2=GI$2))</f>
        <v>4895.8999999999996</v>
      </c>
      <c r="GJ105" s="24" cm="1">
        <f t="array" ref="GJ105">SUMPRODUCT(DZ105:GH105,--(DZ$2:GH$2=GJ$2))</f>
        <v>4855.2200000000012</v>
      </c>
      <c r="GK105" s="24">
        <v>93.24</v>
      </c>
      <c r="GL105" s="24">
        <v>95.12</v>
      </c>
      <c r="GM105" s="24">
        <v>20.259999999999998</v>
      </c>
      <c r="GN105" s="24">
        <v>20.46</v>
      </c>
      <c r="GO105" s="24">
        <v>137.58000000000001</v>
      </c>
      <c r="GP105" s="24">
        <v>137.84</v>
      </c>
      <c r="GQ105" s="24">
        <v>86.52</v>
      </c>
      <c r="GR105" s="24">
        <v>82.08</v>
      </c>
      <c r="GS105" s="24">
        <v>49.1</v>
      </c>
      <c r="GT105" s="24">
        <v>48.36</v>
      </c>
      <c r="GU105" s="24">
        <v>60</v>
      </c>
      <c r="GV105" s="24">
        <v>60.3</v>
      </c>
      <c r="GW105" s="24">
        <v>16.100000000000001</v>
      </c>
      <c r="GX105" s="24">
        <v>16.100000000000001</v>
      </c>
      <c r="GY105" s="24"/>
      <c r="GZ105" s="24"/>
      <c r="HA105" s="24">
        <v>16.400000000000002</v>
      </c>
      <c r="HB105" s="24">
        <v>16.38</v>
      </c>
      <c r="HC105" s="24">
        <v>47.62</v>
      </c>
      <c r="HD105" s="24">
        <v>47.600000000000009</v>
      </c>
      <c r="HE105" s="24">
        <v>47.72</v>
      </c>
      <c r="HF105" s="24">
        <v>46.92</v>
      </c>
      <c r="HG105" s="24">
        <v>42.04</v>
      </c>
      <c r="HH105" s="24">
        <v>44.5</v>
      </c>
      <c r="HI105" s="24">
        <v>16.72</v>
      </c>
      <c r="HJ105" s="24">
        <v>16.64</v>
      </c>
      <c r="HK105" s="24">
        <v>23.259999999999998</v>
      </c>
      <c r="HL105" s="24">
        <v>23.24</v>
      </c>
      <c r="HM105" s="24">
        <v>17.78</v>
      </c>
      <c r="HN105" s="24">
        <v>17.824999999999999</v>
      </c>
      <c r="HO105" s="24">
        <v>19.060000000000002</v>
      </c>
      <c r="HP105" s="24">
        <v>19.18</v>
      </c>
      <c r="HQ105" s="24">
        <v>33.619999999999997</v>
      </c>
      <c r="HR105" s="24">
        <v>33.620000000000005</v>
      </c>
      <c r="HS105" s="24">
        <v>38.64</v>
      </c>
      <c r="HT105" s="24">
        <v>39.64</v>
      </c>
      <c r="HU105" s="24">
        <v>132.18</v>
      </c>
      <c r="HV105" s="24">
        <v>130.84</v>
      </c>
      <c r="HW105" s="24">
        <v>61.18</v>
      </c>
      <c r="HX105" s="24">
        <v>58.28</v>
      </c>
      <c r="HY105" s="24">
        <v>280.38000000000005</v>
      </c>
      <c r="HZ105" s="24">
        <v>277.8</v>
      </c>
      <c r="IA105" s="24">
        <v>70.8</v>
      </c>
      <c r="IB105" s="24">
        <v>72.97999999999999</v>
      </c>
      <c r="IC105" s="24">
        <v>48.849999999999994</v>
      </c>
      <c r="ID105" s="24">
        <v>51.92</v>
      </c>
      <c r="IE105" s="24">
        <v>116.72</v>
      </c>
      <c r="IF105" s="24">
        <v>117.92</v>
      </c>
      <c r="IG105" s="24">
        <v>69.079999999999984</v>
      </c>
      <c r="IH105" s="24">
        <v>71.260000000000005</v>
      </c>
      <c r="II105" s="24">
        <v>60.4</v>
      </c>
      <c r="IJ105" s="24">
        <v>39.739999999999995</v>
      </c>
      <c r="IK105" s="24">
        <v>22.72</v>
      </c>
      <c r="IL105" s="24">
        <v>0</v>
      </c>
      <c r="IM105" s="24"/>
      <c r="IN105" s="24"/>
      <c r="IO105" s="24"/>
      <c r="IP105" s="24"/>
      <c r="IQ105" s="24"/>
      <c r="IR105" s="24"/>
      <c r="IS105" s="24">
        <f t="shared" si="235"/>
        <v>1627.97</v>
      </c>
      <c r="IT105" s="24">
        <f t="shared" si="235"/>
        <v>1586.5450000000001</v>
      </c>
      <c r="IU105" s="24">
        <v>60.679999999999993</v>
      </c>
      <c r="IV105" s="24">
        <v>60.64</v>
      </c>
      <c r="IW105" s="24"/>
      <c r="IX105" s="24"/>
      <c r="IY105" s="24">
        <v>76.52</v>
      </c>
      <c r="IZ105" s="24">
        <v>74.86</v>
      </c>
      <c r="JA105" s="24">
        <v>18.96</v>
      </c>
      <c r="JB105" s="24">
        <v>19</v>
      </c>
      <c r="JC105" s="24"/>
      <c r="JD105" s="24"/>
      <c r="JE105" s="24">
        <v>15.48</v>
      </c>
      <c r="JF105" s="24">
        <v>15.5</v>
      </c>
      <c r="JG105" s="24">
        <v>30.64</v>
      </c>
      <c r="JH105" s="24">
        <v>30.92</v>
      </c>
      <c r="JI105" s="24">
        <v>16.899999999999999</v>
      </c>
      <c r="JJ105" s="24">
        <v>16.88</v>
      </c>
      <c r="JK105" s="24">
        <v>84.98</v>
      </c>
      <c r="JL105" s="24">
        <v>86.42</v>
      </c>
      <c r="JM105" s="24">
        <v>15.6</v>
      </c>
      <c r="JN105" s="24">
        <v>15.48</v>
      </c>
      <c r="JO105" s="24">
        <v>14.64</v>
      </c>
      <c r="JP105" s="24">
        <v>14.5</v>
      </c>
      <c r="JQ105" s="24"/>
      <c r="JR105" s="24"/>
      <c r="JS105" s="24">
        <v>18.899999999999999</v>
      </c>
      <c r="JT105" s="24">
        <v>0</v>
      </c>
      <c r="JU105" s="24"/>
      <c r="JV105" s="24"/>
      <c r="JW105" s="24"/>
      <c r="JX105" s="24"/>
      <c r="JY105" s="24"/>
      <c r="JZ105" s="24"/>
      <c r="KA105" s="24"/>
      <c r="KB105" s="24"/>
      <c r="KC105" s="24"/>
      <c r="KD105" s="24"/>
      <c r="KE105" s="24"/>
      <c r="KF105" s="24"/>
      <c r="KG105" s="24"/>
      <c r="KH105" s="24"/>
      <c r="KI105" s="24"/>
      <c r="KJ105" s="24"/>
      <c r="KK105" s="24"/>
      <c r="KL105" s="24"/>
      <c r="KM105" s="24"/>
      <c r="KN105" s="24"/>
      <c r="KO105" s="24"/>
      <c r="KP105" s="24"/>
      <c r="KQ105" s="24"/>
      <c r="KR105" s="24"/>
      <c r="KS105" s="24"/>
      <c r="KT105" s="24"/>
      <c r="KU105" s="24"/>
      <c r="KV105" s="24"/>
      <c r="KW105" s="24"/>
      <c r="KX105" s="24"/>
      <c r="KY105" s="24"/>
      <c r="KZ105" s="24"/>
      <c r="LA105" s="24"/>
      <c r="LB105" s="24"/>
      <c r="LC105" s="24"/>
      <c r="LD105" s="24"/>
      <c r="LE105" s="24">
        <f t="shared" si="236"/>
        <v>353.29999999999995</v>
      </c>
      <c r="LF105" s="24">
        <f t="shared" si="236"/>
        <v>334.20000000000005</v>
      </c>
      <c r="LG105" s="24"/>
      <c r="LH105" s="24"/>
      <c r="LI105" s="24"/>
      <c r="LJ105" s="24"/>
      <c r="LK105" s="24"/>
      <c r="LL105" s="24"/>
      <c r="LM105" s="24"/>
      <c r="LN105" s="24"/>
      <c r="LO105" s="24"/>
      <c r="LP105" s="24"/>
      <c r="LQ105" s="24"/>
      <c r="LR105" s="24"/>
      <c r="LS105" s="24"/>
      <c r="LT105" s="24"/>
      <c r="LU105" s="24"/>
      <c r="LV105" s="24"/>
      <c r="LW105" s="24"/>
      <c r="LX105" s="24"/>
      <c r="LY105" s="24"/>
      <c r="LZ105" s="24"/>
      <c r="MA105" s="24"/>
      <c r="MB105" s="24"/>
      <c r="MC105" s="24"/>
      <c r="MD105" s="24"/>
      <c r="ME105" s="24"/>
      <c r="MF105" s="24"/>
      <c r="MG105" s="24"/>
      <c r="MH105" s="24"/>
      <c r="MI105" s="24"/>
      <c r="MJ105" s="24"/>
      <c r="MK105" s="24"/>
      <c r="ML105" s="24"/>
      <c r="MM105" s="24"/>
      <c r="MN105" s="24"/>
      <c r="MO105" s="24"/>
      <c r="MP105" s="24"/>
      <c r="MQ105" s="24"/>
      <c r="MR105" s="24"/>
      <c r="MS105" s="24"/>
      <c r="MT105" s="24"/>
      <c r="MU105" s="24"/>
      <c r="MV105" s="24"/>
      <c r="MW105" s="24"/>
      <c r="MX105" s="24"/>
      <c r="MY105" s="24"/>
      <c r="MZ105" s="24"/>
      <c r="NA105" s="24"/>
      <c r="NB105" s="24"/>
      <c r="NC105" s="24"/>
      <c r="ND105" s="24"/>
      <c r="NE105" s="24"/>
      <c r="NF105" s="24"/>
      <c r="NG105" s="24"/>
      <c r="NH105" s="24"/>
      <c r="NI105" s="24"/>
      <c r="NJ105" s="24"/>
      <c r="NK105" s="24"/>
      <c r="NL105" s="24"/>
      <c r="NM105" s="24"/>
      <c r="NN105" s="24"/>
      <c r="NO105" s="24">
        <f t="shared" si="237"/>
        <v>0</v>
      </c>
      <c r="NP105" s="24">
        <f t="shared" si="237"/>
        <v>0</v>
      </c>
      <c r="NQ105" s="24"/>
      <c r="NR105" s="24"/>
      <c r="NS105" s="24"/>
      <c r="NT105" s="24"/>
      <c r="NU105" s="24"/>
      <c r="NV105" s="24"/>
      <c r="NW105" s="24"/>
      <c r="NX105" s="24"/>
      <c r="NY105" s="24"/>
      <c r="NZ105" s="24"/>
      <c r="OA105" s="24"/>
      <c r="OB105" s="24"/>
      <c r="OC105" s="24"/>
      <c r="OD105" s="24"/>
      <c r="OE105" s="24"/>
      <c r="OF105" s="24"/>
      <c r="OG105" s="24"/>
      <c r="OH105" s="24"/>
      <c r="OI105" s="24"/>
      <c r="OJ105" s="24"/>
      <c r="OK105" s="24"/>
      <c r="OL105" s="24"/>
      <c r="OM105" s="24"/>
      <c r="ON105" s="24"/>
      <c r="OO105" s="24"/>
      <c r="OP105" s="24"/>
      <c r="OQ105" s="24"/>
      <c r="OR105" s="24"/>
      <c r="OS105" s="24"/>
      <c r="OT105" s="24"/>
      <c r="OU105" s="24"/>
      <c r="OV105" s="24"/>
      <c r="OW105" s="24"/>
      <c r="OX105" s="24"/>
      <c r="OY105" s="24"/>
      <c r="OZ105" s="24"/>
      <c r="PA105" s="24"/>
      <c r="PB105" s="24"/>
      <c r="PC105" s="24"/>
      <c r="PD105" s="24"/>
      <c r="PE105" s="24"/>
      <c r="PF105" s="24"/>
      <c r="PG105" s="24"/>
      <c r="PH105" s="24"/>
      <c r="PI105" s="24"/>
      <c r="PJ105" s="24"/>
      <c r="PK105" s="24"/>
      <c r="PL105" s="24"/>
      <c r="PM105" s="24"/>
      <c r="PN105" s="24"/>
      <c r="PO105" s="24"/>
      <c r="PP105" s="24"/>
      <c r="PQ105" s="24"/>
      <c r="PR105" s="24"/>
      <c r="PS105" s="24"/>
      <c r="PT105" s="24"/>
      <c r="PU105" s="24"/>
      <c r="PV105" s="24"/>
      <c r="PW105" s="24"/>
      <c r="PX105" s="24"/>
      <c r="PY105" s="24"/>
      <c r="PZ105" s="24"/>
      <c r="QA105" s="24">
        <f t="shared" si="238"/>
        <v>0</v>
      </c>
      <c r="QB105" s="24">
        <f t="shared" si="238"/>
        <v>0</v>
      </c>
      <c r="QC105" s="24"/>
      <c r="QD105" s="24"/>
      <c r="QE105" s="24"/>
      <c r="QF105" s="24"/>
      <c r="QG105" s="24"/>
      <c r="QH105" s="24"/>
      <c r="QI105" s="24"/>
      <c r="QJ105" s="24"/>
      <c r="QK105" s="24"/>
      <c r="QL105" s="24"/>
      <c r="QM105" s="24"/>
      <c r="QN105" s="24"/>
      <c r="QO105" s="24"/>
      <c r="QP105" s="24"/>
      <c r="QQ105" s="24"/>
      <c r="QR105" s="24"/>
      <c r="QS105" s="24"/>
      <c r="QT105" s="24"/>
      <c r="QU105" s="24"/>
      <c r="QV105" s="24"/>
      <c r="QW105" s="24"/>
      <c r="QX105" s="24"/>
      <c r="QY105" s="24"/>
      <c r="QZ105" s="24"/>
      <c r="RA105" s="24"/>
      <c r="RB105" s="24"/>
      <c r="RC105" s="24"/>
      <c r="RD105" s="24"/>
      <c r="RE105" s="24"/>
      <c r="RF105" s="24"/>
      <c r="RG105" s="24"/>
      <c r="RH105" s="24"/>
      <c r="RI105" s="24"/>
      <c r="RJ105" s="24"/>
      <c r="RK105" s="24"/>
      <c r="RL105" s="24"/>
      <c r="RM105" s="24"/>
      <c r="RN105" s="24"/>
      <c r="RO105" s="24"/>
      <c r="RP105" s="24"/>
      <c r="RQ105" s="24"/>
      <c r="RR105" s="24"/>
      <c r="RS105" s="24"/>
      <c r="RT105" s="24"/>
      <c r="RU105" s="24"/>
      <c r="RV105" s="24"/>
      <c r="RW105" s="24"/>
      <c r="RX105" s="24"/>
      <c r="RY105" s="24"/>
      <c r="RZ105" s="24"/>
      <c r="SA105" s="24"/>
      <c r="SB105" s="24"/>
      <c r="SC105" s="24"/>
      <c r="SD105" s="24"/>
      <c r="SE105" s="24"/>
      <c r="SF105" s="24"/>
      <c r="SG105" s="24"/>
      <c r="SH105" s="24"/>
      <c r="SI105" s="24"/>
      <c r="SJ105" s="24"/>
      <c r="SK105" s="24"/>
      <c r="SL105" s="24"/>
      <c r="SM105" s="24">
        <f t="shared" si="239"/>
        <v>0</v>
      </c>
      <c r="SN105" s="24">
        <f t="shared" si="239"/>
        <v>0</v>
      </c>
      <c r="SO105" s="24"/>
      <c r="SP105" s="24"/>
      <c r="SQ105" s="24"/>
      <c r="SR105" s="24"/>
      <c r="SS105" s="24"/>
      <c r="ST105" s="24"/>
      <c r="SU105" s="24"/>
      <c r="SV105" s="24"/>
      <c r="SW105" s="24"/>
      <c r="SX105" s="24"/>
      <c r="SY105" s="24"/>
      <c r="SZ105" s="24"/>
      <c r="TA105" s="24"/>
      <c r="TB105" s="24"/>
      <c r="TC105" s="24"/>
      <c r="TD105" s="24"/>
      <c r="TE105" s="24"/>
      <c r="TF105" s="24"/>
      <c r="TG105" s="24"/>
      <c r="TH105" s="24"/>
      <c r="TI105" s="24"/>
      <c r="TJ105" s="24"/>
      <c r="TK105" s="24"/>
      <c r="TL105" s="24"/>
      <c r="TM105" s="24"/>
      <c r="TN105" s="24"/>
      <c r="TO105" s="24"/>
      <c r="TP105" s="24"/>
      <c r="TQ105" s="24"/>
      <c r="TR105" s="24"/>
      <c r="TS105" s="24"/>
      <c r="TT105" s="24"/>
      <c r="TU105" s="24"/>
      <c r="TV105" s="24"/>
      <c r="TW105" s="24"/>
      <c r="TX105" s="24"/>
      <c r="TY105" s="24"/>
      <c r="TZ105" s="24"/>
      <c r="UA105" s="24"/>
      <c r="UB105" s="24"/>
      <c r="UC105" s="24"/>
      <c r="UD105" s="24"/>
      <c r="UE105" s="24"/>
      <c r="UF105" s="24"/>
      <c r="UG105" s="24"/>
      <c r="UH105" s="24"/>
      <c r="UI105" s="24"/>
      <c r="UJ105" s="24"/>
      <c r="UK105" s="24"/>
      <c r="UL105" s="24"/>
      <c r="UM105" s="24"/>
      <c r="UN105" s="24"/>
      <c r="UO105" s="24"/>
      <c r="UP105" s="24"/>
      <c r="UQ105" s="24"/>
      <c r="UR105" s="24"/>
      <c r="US105" s="24"/>
      <c r="UT105" s="24"/>
      <c r="UU105" s="24"/>
      <c r="UV105" s="24"/>
      <c r="UW105" s="24">
        <f t="shared" si="240"/>
        <v>0</v>
      </c>
      <c r="UX105" s="24">
        <f t="shared" si="240"/>
        <v>0</v>
      </c>
      <c r="UY105" s="24"/>
      <c r="UZ105" s="24"/>
      <c r="VA105" s="24"/>
      <c r="VB105" s="24"/>
      <c r="VC105" s="24"/>
      <c r="VD105" s="24"/>
      <c r="VE105" s="24"/>
      <c r="VF105" s="24"/>
      <c r="VG105" s="24"/>
      <c r="VH105" s="24"/>
      <c r="VI105" s="24"/>
      <c r="VJ105" s="24"/>
      <c r="VK105" s="24"/>
      <c r="VL105" s="24"/>
      <c r="VM105" s="24"/>
      <c r="VN105" s="24"/>
      <c r="VO105" s="24"/>
      <c r="VP105" s="24"/>
      <c r="VQ105" s="24"/>
      <c r="VR105" s="24"/>
      <c r="VS105" s="24"/>
      <c r="VT105" s="24"/>
      <c r="VU105" s="24"/>
      <c r="VV105" s="24"/>
      <c r="VW105" s="24"/>
      <c r="VX105" s="24"/>
      <c r="VY105" s="24"/>
      <c r="VZ105" s="24"/>
      <c r="WA105" s="24"/>
      <c r="WB105" s="24"/>
      <c r="WC105" s="24"/>
      <c r="WD105" s="24"/>
      <c r="WE105" s="24"/>
      <c r="WF105" s="24"/>
      <c r="WG105" s="24"/>
      <c r="WH105" s="24"/>
      <c r="WI105" s="24"/>
      <c r="WJ105" s="24"/>
      <c r="WK105" s="24"/>
      <c r="WL105" s="24"/>
      <c r="WM105" s="24"/>
      <c r="WN105" s="24"/>
      <c r="WO105" s="24"/>
      <c r="WP105" s="24"/>
      <c r="WQ105" s="24"/>
      <c r="WR105" s="24"/>
      <c r="WS105" s="24"/>
      <c r="WT105" s="24"/>
      <c r="WU105" s="24"/>
      <c r="WV105" s="24"/>
      <c r="WW105" s="24"/>
      <c r="WX105" s="24"/>
      <c r="WY105" s="24"/>
      <c r="WZ105" s="24"/>
      <c r="XA105" s="24"/>
      <c r="XB105" s="24"/>
      <c r="XC105" s="24"/>
      <c r="XD105" s="24"/>
      <c r="XE105" s="24"/>
      <c r="XF105" s="24"/>
      <c r="XG105" s="24"/>
      <c r="XH105" s="24"/>
      <c r="XI105" s="24">
        <f t="shared" si="241"/>
        <v>0</v>
      </c>
      <c r="XJ105" s="24">
        <f t="shared" si="241"/>
        <v>0</v>
      </c>
      <c r="XK105" s="24"/>
      <c r="XL105" s="24"/>
      <c r="XM105" s="24"/>
      <c r="XN105" s="24"/>
      <c r="XO105" s="24"/>
      <c r="XP105" s="24"/>
      <c r="XQ105" s="24"/>
      <c r="XR105" s="24"/>
      <c r="XS105" s="24"/>
      <c r="XT105" s="24"/>
      <c r="XU105" s="24"/>
      <c r="XV105" s="24"/>
      <c r="XW105" s="24"/>
      <c r="XX105" s="24"/>
      <c r="XY105" s="24"/>
      <c r="XZ105" s="24"/>
      <c r="YA105" s="24"/>
      <c r="YB105" s="24"/>
      <c r="YC105" s="24"/>
      <c r="YD105" s="24"/>
      <c r="YE105" s="24"/>
      <c r="YF105" s="24"/>
      <c r="YG105" s="24"/>
      <c r="YH105" s="24"/>
      <c r="YI105" s="24"/>
      <c r="YJ105" s="24"/>
      <c r="YK105" s="24"/>
      <c r="YL105" s="24"/>
      <c r="YM105" s="24"/>
      <c r="YN105" s="24"/>
      <c r="YO105" s="24"/>
      <c r="YP105" s="24"/>
      <c r="YQ105" s="24"/>
      <c r="YR105" s="24"/>
      <c r="YS105" s="24"/>
      <c r="YT105" s="24"/>
      <c r="YU105" s="24"/>
      <c r="YV105" s="24"/>
      <c r="YW105" s="24"/>
      <c r="YX105" s="24"/>
      <c r="YY105" s="24"/>
      <c r="YZ105" s="24"/>
      <c r="ZA105" s="24"/>
      <c r="ZB105" s="24"/>
      <c r="ZC105" s="24"/>
      <c r="ZD105" s="24"/>
      <c r="ZE105" s="24"/>
      <c r="ZF105" s="24"/>
      <c r="ZG105" s="24"/>
      <c r="ZH105" s="24"/>
      <c r="ZI105" s="24"/>
      <c r="ZJ105" s="24"/>
      <c r="ZK105" s="24"/>
      <c r="ZL105" s="24"/>
      <c r="ZM105" s="24"/>
      <c r="ZN105" s="24"/>
      <c r="ZO105" s="24"/>
      <c r="ZP105" s="24"/>
      <c r="ZQ105" s="24"/>
      <c r="ZR105" s="24"/>
      <c r="ZS105" s="24">
        <f t="shared" si="242"/>
        <v>0</v>
      </c>
      <c r="ZT105" s="24">
        <f t="shared" si="242"/>
        <v>0</v>
      </c>
      <c r="ZU105" s="24"/>
      <c r="ZV105" s="24"/>
      <c r="ZW105" s="24"/>
      <c r="ZX105" s="24"/>
      <c r="ZY105" s="24"/>
      <c r="ZZ105" s="24"/>
      <c r="AAA105" s="24"/>
      <c r="AAB105" s="24"/>
      <c r="AAC105" s="24"/>
      <c r="AAD105" s="24"/>
      <c r="AAE105" s="24"/>
      <c r="AAF105" s="24"/>
      <c r="AAG105" s="24"/>
      <c r="AAH105" s="24"/>
      <c r="AAI105" s="24"/>
      <c r="AAJ105" s="24"/>
      <c r="AAK105" s="24"/>
      <c r="AAL105" s="24"/>
      <c r="AAM105" s="24"/>
      <c r="AAN105" s="24"/>
      <c r="AAO105" s="24"/>
      <c r="AAP105" s="24"/>
      <c r="AAQ105" s="24"/>
      <c r="AAR105" s="24"/>
      <c r="AAS105" s="24"/>
      <c r="AAT105" s="24"/>
      <c r="AAU105" s="24"/>
      <c r="AAV105" s="24"/>
      <c r="AAW105" s="24"/>
      <c r="AAX105" s="24"/>
      <c r="AAY105" s="24"/>
      <c r="AAZ105" s="24"/>
      <c r="ABA105" s="24"/>
      <c r="ABB105" s="24"/>
      <c r="ABC105" s="24"/>
      <c r="ABD105" s="24"/>
      <c r="ABE105" s="24"/>
      <c r="ABF105" s="24"/>
      <c r="ABG105" s="24"/>
      <c r="ABH105" s="24"/>
      <c r="ABI105" s="24"/>
      <c r="ABJ105" s="24"/>
      <c r="ABK105" s="24"/>
      <c r="ABL105" s="24"/>
      <c r="ABM105" s="24"/>
      <c r="ABN105" s="24"/>
      <c r="ABO105" s="24"/>
      <c r="ABP105" s="24"/>
      <c r="ABQ105" s="24"/>
      <c r="ABR105" s="24"/>
      <c r="ABS105" s="24"/>
      <c r="ABT105" s="24"/>
      <c r="ABU105" s="24"/>
      <c r="ABV105" s="24"/>
      <c r="ABW105" s="24"/>
      <c r="ABX105" s="24"/>
      <c r="ABY105" s="24"/>
      <c r="ABZ105" s="24"/>
      <c r="ACA105" s="24"/>
      <c r="ACB105" s="24"/>
      <c r="ACC105" s="24"/>
      <c r="ACD105" s="24"/>
      <c r="ACE105" s="24">
        <f>ZU105+ZW105+ZY105+AAA105+AAC105+AAE105+AAG105+AAI105+AAK105+AAM105+AAO105+AAQ105+AAS105+AAU105+AAW105+AAY105+ABA105+ABC105+ABE105+ABG105+ABI105+ABK105+ABM105+ABO105+ABQ105+ABS105+ABU105+ABW105+ABY105+ACA105+ACC105</f>
        <v>0</v>
      </c>
      <c r="ACF105" s="24"/>
      <c r="ACG105" s="24">
        <f>BO105+DW105+GI105+IS105+LE105+NO105+QA105+SM105+UW105+XI105+ZS105+ACE105</f>
        <v>9050.5099999999984</v>
      </c>
      <c r="ACH105" s="25"/>
      <c r="ACI105" s="71" t="s">
        <v>195</v>
      </c>
      <c r="ACJ105" s="71" t="s">
        <v>101</v>
      </c>
    </row>
    <row r="106" spans="1:764" ht="15.75" thickBot="1" x14ac:dyDescent="0.3">
      <c r="A106" s="162"/>
      <c r="B106" s="153"/>
      <c r="C106" s="158"/>
      <c r="D106" s="68" t="s">
        <v>9</v>
      </c>
      <c r="E106" s="76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  <c r="BF106" s="77"/>
      <c r="BG106" s="77"/>
      <c r="BH106" s="77"/>
      <c r="BI106" s="77"/>
      <c r="BJ106" s="77"/>
      <c r="BK106" s="77"/>
      <c r="BL106" s="77"/>
      <c r="BM106" s="77"/>
      <c r="BN106" s="77"/>
      <c r="BO106" s="45" cm="1">
        <f t="array" ref="BO106">SUMPRODUCT(E106:BM106,--(E$2:BM$2=BO$2))</f>
        <v>0</v>
      </c>
      <c r="BP106" s="45" cm="1">
        <f t="array" ref="BP106">SUMPRODUCT(F106:BN106,--(F$2:BN$2=BP$2))</f>
        <v>0</v>
      </c>
      <c r="BQ106" s="45"/>
      <c r="BR106" s="45"/>
      <c r="BS106" s="45"/>
      <c r="BT106" s="45"/>
      <c r="BU106" s="45"/>
      <c r="BV106" s="45"/>
      <c r="BW106" s="45"/>
      <c r="BX106" s="45"/>
      <c r="BY106" s="45"/>
      <c r="BZ106" s="45"/>
      <c r="CA106" s="45"/>
      <c r="CB106" s="45"/>
      <c r="CC106" s="45"/>
      <c r="CD106" s="45"/>
      <c r="CE106" s="45"/>
      <c r="CF106" s="45"/>
      <c r="CG106" s="45"/>
      <c r="CH106" s="45"/>
      <c r="CI106" s="45"/>
      <c r="CJ106" s="45"/>
      <c r="CK106" s="45"/>
      <c r="CL106" s="45"/>
      <c r="CM106" s="45"/>
      <c r="CN106" s="45"/>
      <c r="CO106" s="45"/>
      <c r="CP106" s="45"/>
      <c r="CQ106" s="45"/>
      <c r="CR106" s="45"/>
      <c r="CS106" s="45"/>
      <c r="CT106" s="45"/>
      <c r="CU106" s="45"/>
      <c r="CV106" s="45"/>
      <c r="CW106" s="45"/>
      <c r="CX106" s="45"/>
      <c r="CY106" s="45"/>
      <c r="CZ106" s="45"/>
      <c r="DA106" s="45"/>
      <c r="DB106" s="45"/>
      <c r="DC106" s="45"/>
      <c r="DD106" s="45"/>
      <c r="DE106" s="45"/>
      <c r="DF106" s="45"/>
      <c r="DG106" s="45"/>
      <c r="DH106" s="45"/>
      <c r="DI106" s="45"/>
      <c r="DJ106" s="45"/>
      <c r="DK106" s="45"/>
      <c r="DL106" s="45"/>
      <c r="DM106" s="45"/>
      <c r="DN106" s="45"/>
      <c r="DO106" s="45"/>
      <c r="DP106" s="45"/>
      <c r="DQ106" s="45"/>
      <c r="DR106" s="45"/>
      <c r="DS106" s="45"/>
      <c r="DT106" s="45"/>
      <c r="DU106" s="45"/>
      <c r="DV106" s="45"/>
      <c r="DW106" s="45" cm="1">
        <f t="array" ref="DW106">SUMPRODUCT(BQ106:DU106,--(BQ$2:DU$2=DW$2))</f>
        <v>0</v>
      </c>
      <c r="DX106" s="45" cm="1">
        <f t="array" ref="DX106">SUMPRODUCT(BR106:DV106,--(BR$2:DV$2=DX$2))</f>
        <v>0</v>
      </c>
      <c r="DY106" s="45"/>
      <c r="DZ106" s="45"/>
      <c r="EA106" s="45"/>
      <c r="EB106" s="45"/>
      <c r="EC106" s="45"/>
      <c r="ED106" s="45"/>
      <c r="EE106" s="45"/>
      <c r="EF106" s="45"/>
      <c r="EG106" s="45"/>
      <c r="EH106" s="45"/>
      <c r="EI106" s="45"/>
      <c r="EJ106" s="45"/>
      <c r="EK106" s="45"/>
      <c r="EL106" s="45"/>
      <c r="EM106" s="45"/>
      <c r="EN106" s="45"/>
      <c r="EO106" s="45"/>
      <c r="EP106" s="45"/>
      <c r="EQ106" s="45"/>
      <c r="ER106" s="45"/>
      <c r="ES106" s="45"/>
      <c r="ET106" s="45"/>
      <c r="EU106" s="45"/>
      <c r="EV106" s="45"/>
      <c r="EW106" s="45"/>
      <c r="EX106" s="45"/>
      <c r="EY106" s="45"/>
      <c r="EZ106" s="45"/>
      <c r="FA106" s="45"/>
      <c r="FB106" s="45"/>
      <c r="FC106" s="45"/>
      <c r="FD106" s="45"/>
      <c r="FE106" s="45"/>
      <c r="FF106" s="45"/>
      <c r="FG106" s="45"/>
      <c r="FH106" s="45"/>
      <c r="FI106" s="45"/>
      <c r="FJ106" s="45"/>
      <c r="FK106" s="45"/>
      <c r="FL106" s="45"/>
      <c r="FM106" s="45"/>
      <c r="FN106" s="45"/>
      <c r="FO106" s="45"/>
      <c r="FP106" s="45"/>
      <c r="FQ106" s="45"/>
      <c r="FR106" s="45"/>
      <c r="FS106" s="45"/>
      <c r="FT106" s="45"/>
      <c r="FU106" s="45"/>
      <c r="FV106" s="45"/>
      <c r="FW106" s="45"/>
      <c r="FX106" s="45"/>
      <c r="FY106" s="45"/>
      <c r="FZ106" s="45"/>
      <c r="GA106" s="45"/>
      <c r="GB106" s="45"/>
      <c r="GC106" s="45"/>
      <c r="GD106" s="45"/>
      <c r="GE106" s="45"/>
      <c r="GF106" s="45"/>
      <c r="GG106" s="45"/>
      <c r="GH106" s="45"/>
      <c r="GI106" s="45" cm="1">
        <f t="array" ref="GI106">SUMPRODUCT(DY106:GG106,--(DY$2:GG$2=GI$2))</f>
        <v>0</v>
      </c>
      <c r="GJ106" s="45" cm="1">
        <f t="array" ref="GJ106">SUMPRODUCT(DZ106:GH106,--(DZ$2:GH$2=GJ$2))</f>
        <v>0</v>
      </c>
      <c r="GK106" s="24"/>
      <c r="GL106" s="24"/>
      <c r="GM106" s="24"/>
      <c r="GN106" s="24"/>
      <c r="GO106" s="24"/>
      <c r="GP106" s="24"/>
      <c r="GQ106" s="24"/>
      <c r="GR106" s="24"/>
      <c r="GS106" s="24"/>
      <c r="GT106" s="24"/>
      <c r="GU106" s="24"/>
      <c r="GV106" s="24"/>
      <c r="GW106" s="24"/>
      <c r="GX106" s="24"/>
      <c r="GY106" s="24"/>
      <c r="GZ106" s="24"/>
      <c r="HA106" s="24"/>
      <c r="HB106" s="24"/>
      <c r="HC106" s="24"/>
      <c r="HD106" s="24"/>
      <c r="HE106" s="24"/>
      <c r="HF106" s="24"/>
      <c r="HG106" s="24"/>
      <c r="HH106" s="24"/>
      <c r="HI106" s="24"/>
      <c r="HJ106" s="24"/>
      <c r="HK106" s="24"/>
      <c r="HL106" s="24"/>
      <c r="HM106" s="24"/>
      <c r="HN106" s="24"/>
      <c r="HO106" s="24"/>
      <c r="HP106" s="24"/>
      <c r="HQ106" s="24"/>
      <c r="HR106" s="24"/>
      <c r="HS106" s="24"/>
      <c r="HT106" s="24"/>
      <c r="HU106" s="24"/>
      <c r="HV106" s="24"/>
      <c r="HW106" s="24"/>
      <c r="HX106" s="24"/>
      <c r="HY106" s="24"/>
      <c r="HZ106" s="24"/>
      <c r="IA106" s="24"/>
      <c r="IB106" s="24"/>
      <c r="IC106" s="24"/>
      <c r="ID106" s="24"/>
      <c r="IE106" s="24"/>
      <c r="IF106" s="24"/>
      <c r="IG106" s="24"/>
      <c r="IH106" s="24"/>
      <c r="II106" s="24"/>
      <c r="IJ106" s="24"/>
      <c r="IK106" s="24"/>
      <c r="IL106" s="24"/>
      <c r="IM106" s="24"/>
      <c r="IN106" s="24"/>
      <c r="IO106" s="24"/>
      <c r="IP106" s="24"/>
      <c r="IQ106" s="24"/>
      <c r="IR106" s="24"/>
      <c r="IS106" s="45">
        <f t="shared" si="235"/>
        <v>0</v>
      </c>
      <c r="IT106" s="45">
        <f t="shared" si="235"/>
        <v>0</v>
      </c>
      <c r="IU106" s="45"/>
      <c r="IV106" s="45"/>
      <c r="IW106" s="45"/>
      <c r="IX106" s="45"/>
      <c r="IY106" s="45"/>
      <c r="IZ106" s="45"/>
      <c r="JA106" s="45"/>
      <c r="JB106" s="45"/>
      <c r="JC106" s="45"/>
      <c r="JD106" s="45"/>
      <c r="JE106" s="45"/>
      <c r="JF106" s="45"/>
      <c r="JG106" s="45"/>
      <c r="JH106" s="45"/>
      <c r="JI106" s="45"/>
      <c r="JJ106" s="45"/>
      <c r="JK106" s="45"/>
      <c r="JL106" s="45"/>
      <c r="JM106" s="45"/>
      <c r="JN106" s="45"/>
      <c r="JO106" s="45"/>
      <c r="JP106" s="45"/>
      <c r="JQ106" s="45"/>
      <c r="JR106" s="45"/>
      <c r="JS106" s="45"/>
      <c r="JT106" s="45"/>
      <c r="JU106" s="45"/>
      <c r="JV106" s="45"/>
      <c r="JW106" s="45"/>
      <c r="JX106" s="45"/>
      <c r="JY106" s="45"/>
      <c r="JZ106" s="45"/>
      <c r="KA106" s="45"/>
      <c r="KB106" s="45"/>
      <c r="KC106" s="45"/>
      <c r="KD106" s="45"/>
      <c r="KE106" s="45"/>
      <c r="KF106" s="45"/>
      <c r="KG106" s="45"/>
      <c r="KH106" s="45"/>
      <c r="KI106" s="45"/>
      <c r="KJ106" s="45"/>
      <c r="KK106" s="45"/>
      <c r="KL106" s="45"/>
      <c r="KM106" s="45"/>
      <c r="KN106" s="45"/>
      <c r="KO106" s="45"/>
      <c r="KP106" s="45"/>
      <c r="KQ106" s="45"/>
      <c r="KR106" s="45"/>
      <c r="KS106" s="45"/>
      <c r="KT106" s="45"/>
      <c r="KU106" s="45"/>
      <c r="KV106" s="45"/>
      <c r="KW106" s="45"/>
      <c r="KX106" s="45"/>
      <c r="KY106" s="45"/>
      <c r="KZ106" s="45"/>
      <c r="LA106" s="45"/>
      <c r="LB106" s="45"/>
      <c r="LC106" s="45"/>
      <c r="LD106" s="45"/>
      <c r="LE106" s="45">
        <f t="shared" si="236"/>
        <v>0</v>
      </c>
      <c r="LF106" s="45">
        <f t="shared" si="236"/>
        <v>0</v>
      </c>
      <c r="LG106" s="45"/>
      <c r="LH106" s="45"/>
      <c r="LI106" s="45"/>
      <c r="LJ106" s="45"/>
      <c r="LK106" s="45"/>
      <c r="LL106" s="45"/>
      <c r="LM106" s="45"/>
      <c r="LN106" s="45"/>
      <c r="LO106" s="45"/>
      <c r="LP106" s="45"/>
      <c r="LQ106" s="45"/>
      <c r="LR106" s="45"/>
      <c r="LS106" s="45"/>
      <c r="LT106" s="45"/>
      <c r="LU106" s="45"/>
      <c r="LV106" s="45"/>
      <c r="LW106" s="45"/>
      <c r="LX106" s="45"/>
      <c r="LY106" s="45"/>
      <c r="LZ106" s="45"/>
      <c r="MA106" s="45"/>
      <c r="MB106" s="45"/>
      <c r="MC106" s="45"/>
      <c r="MD106" s="45"/>
      <c r="ME106" s="45"/>
      <c r="MF106" s="45"/>
      <c r="MG106" s="45"/>
      <c r="MH106" s="45"/>
      <c r="MI106" s="45"/>
      <c r="MJ106" s="45"/>
      <c r="MK106" s="45"/>
      <c r="ML106" s="45"/>
      <c r="MM106" s="45"/>
      <c r="MN106" s="45"/>
      <c r="MO106" s="45"/>
      <c r="MP106" s="45"/>
      <c r="MQ106" s="45"/>
      <c r="MR106" s="45"/>
      <c r="MS106" s="45"/>
      <c r="MT106" s="45"/>
      <c r="MU106" s="45"/>
      <c r="MV106" s="45"/>
      <c r="MW106" s="45"/>
      <c r="MX106" s="45"/>
      <c r="MY106" s="45"/>
      <c r="MZ106" s="45"/>
      <c r="NA106" s="45"/>
      <c r="NB106" s="45"/>
      <c r="NC106" s="45"/>
      <c r="ND106" s="45"/>
      <c r="NE106" s="45"/>
      <c r="NF106" s="45"/>
      <c r="NG106" s="45"/>
      <c r="NH106" s="45"/>
      <c r="NI106" s="45"/>
      <c r="NJ106" s="45"/>
      <c r="NK106" s="45"/>
      <c r="NL106" s="45"/>
      <c r="NM106" s="45"/>
      <c r="NN106" s="45"/>
      <c r="NO106" s="45">
        <f t="shared" si="237"/>
        <v>0</v>
      </c>
      <c r="NP106" s="45">
        <f t="shared" si="237"/>
        <v>0</v>
      </c>
      <c r="NQ106" s="45"/>
      <c r="NR106" s="45"/>
      <c r="NS106" s="45"/>
      <c r="NT106" s="45"/>
      <c r="NU106" s="45"/>
      <c r="NV106" s="45"/>
      <c r="NW106" s="45"/>
      <c r="NX106" s="45"/>
      <c r="NY106" s="45"/>
      <c r="NZ106" s="45"/>
      <c r="OA106" s="45"/>
      <c r="OB106" s="45"/>
      <c r="OC106" s="45"/>
      <c r="OD106" s="45"/>
      <c r="OE106" s="45"/>
      <c r="OF106" s="45"/>
      <c r="OG106" s="45"/>
      <c r="OH106" s="45"/>
      <c r="OI106" s="45"/>
      <c r="OJ106" s="45"/>
      <c r="OK106" s="45"/>
      <c r="OL106" s="45"/>
      <c r="OM106" s="45"/>
      <c r="ON106" s="45"/>
      <c r="OO106" s="45"/>
      <c r="OP106" s="45"/>
      <c r="OQ106" s="45"/>
      <c r="OR106" s="45"/>
      <c r="OS106" s="45"/>
      <c r="OT106" s="45"/>
      <c r="OU106" s="45"/>
      <c r="OV106" s="45"/>
      <c r="OW106" s="45"/>
      <c r="OX106" s="45"/>
      <c r="OY106" s="45"/>
      <c r="OZ106" s="45"/>
      <c r="PA106" s="45"/>
      <c r="PB106" s="45"/>
      <c r="PC106" s="45"/>
      <c r="PD106" s="45"/>
      <c r="PE106" s="45"/>
      <c r="PF106" s="45"/>
      <c r="PG106" s="45"/>
      <c r="PH106" s="45"/>
      <c r="PI106" s="45"/>
      <c r="PJ106" s="45"/>
      <c r="PK106" s="45"/>
      <c r="PL106" s="45"/>
      <c r="PM106" s="45"/>
      <c r="PN106" s="45"/>
      <c r="PO106" s="45"/>
      <c r="PP106" s="45"/>
      <c r="PQ106" s="45"/>
      <c r="PR106" s="45"/>
      <c r="PS106" s="45"/>
      <c r="PT106" s="45"/>
      <c r="PU106" s="45"/>
      <c r="PV106" s="45"/>
      <c r="PW106" s="45"/>
      <c r="PX106" s="45"/>
      <c r="PY106" s="45"/>
      <c r="PZ106" s="45"/>
      <c r="QA106" s="45">
        <f t="shared" si="238"/>
        <v>0</v>
      </c>
      <c r="QB106" s="45">
        <f t="shared" si="238"/>
        <v>0</v>
      </c>
      <c r="QC106" s="45"/>
      <c r="QD106" s="45"/>
      <c r="QE106" s="45"/>
      <c r="QF106" s="45"/>
      <c r="QG106" s="45"/>
      <c r="QH106" s="45"/>
      <c r="QI106" s="45"/>
      <c r="QJ106" s="45"/>
      <c r="QK106" s="45"/>
      <c r="QL106" s="45"/>
      <c r="QM106" s="45"/>
      <c r="QN106" s="45"/>
      <c r="QO106" s="45"/>
      <c r="QP106" s="45"/>
      <c r="QQ106" s="45"/>
      <c r="QR106" s="45"/>
      <c r="QS106" s="45"/>
      <c r="QT106" s="45"/>
      <c r="QU106" s="45"/>
      <c r="QV106" s="45"/>
      <c r="QW106" s="45"/>
      <c r="QX106" s="45"/>
      <c r="QY106" s="45"/>
      <c r="QZ106" s="45"/>
      <c r="RA106" s="45"/>
      <c r="RB106" s="45"/>
      <c r="RC106" s="45"/>
      <c r="RD106" s="45"/>
      <c r="RE106" s="45"/>
      <c r="RF106" s="45"/>
      <c r="RG106" s="45"/>
      <c r="RH106" s="45"/>
      <c r="RI106" s="45"/>
      <c r="RJ106" s="45"/>
      <c r="RK106" s="45"/>
      <c r="RL106" s="45"/>
      <c r="RM106" s="45"/>
      <c r="RN106" s="45"/>
      <c r="RO106" s="45"/>
      <c r="RP106" s="45"/>
      <c r="RQ106" s="45"/>
      <c r="RR106" s="45"/>
      <c r="RS106" s="45"/>
      <c r="RT106" s="45"/>
      <c r="RU106" s="45"/>
      <c r="RV106" s="45"/>
      <c r="RW106" s="45"/>
      <c r="RX106" s="45"/>
      <c r="RY106" s="45"/>
      <c r="RZ106" s="45"/>
      <c r="SA106" s="45"/>
      <c r="SB106" s="45"/>
      <c r="SC106" s="45"/>
      <c r="SD106" s="45"/>
      <c r="SE106" s="45"/>
      <c r="SF106" s="45"/>
      <c r="SG106" s="45"/>
      <c r="SH106" s="45"/>
      <c r="SI106" s="45"/>
      <c r="SJ106" s="45"/>
      <c r="SK106" s="45"/>
      <c r="SL106" s="45"/>
      <c r="SM106" s="45">
        <f t="shared" si="239"/>
        <v>0</v>
      </c>
      <c r="SN106" s="45">
        <f t="shared" si="239"/>
        <v>0</v>
      </c>
      <c r="SO106" s="24"/>
      <c r="SP106" s="24"/>
      <c r="SQ106" s="24"/>
      <c r="SR106" s="24"/>
      <c r="SS106" s="24"/>
      <c r="ST106" s="24"/>
      <c r="SU106" s="24"/>
      <c r="SV106" s="24"/>
      <c r="SW106" s="24"/>
      <c r="SX106" s="24"/>
      <c r="SY106" s="24"/>
      <c r="SZ106" s="24"/>
      <c r="TA106" s="24"/>
      <c r="TB106" s="24"/>
      <c r="TC106" s="24"/>
      <c r="TD106" s="24"/>
      <c r="TE106" s="24"/>
      <c r="TF106" s="24"/>
      <c r="TG106" s="24"/>
      <c r="TH106" s="24"/>
      <c r="TI106" s="24"/>
      <c r="TJ106" s="24"/>
      <c r="TK106" s="24"/>
      <c r="TL106" s="24"/>
      <c r="TM106" s="24"/>
      <c r="TN106" s="24"/>
      <c r="TO106" s="24"/>
      <c r="TP106" s="24"/>
      <c r="TQ106" s="24"/>
      <c r="TR106" s="24"/>
      <c r="TS106" s="24"/>
      <c r="TT106" s="24"/>
      <c r="TU106" s="24"/>
      <c r="TV106" s="24"/>
      <c r="TW106" s="24"/>
      <c r="TX106" s="24"/>
      <c r="TY106" s="24"/>
      <c r="TZ106" s="24"/>
      <c r="UA106" s="24"/>
      <c r="UB106" s="24"/>
      <c r="UC106" s="24"/>
      <c r="UD106" s="24"/>
      <c r="UE106" s="24"/>
      <c r="UF106" s="24"/>
      <c r="UG106" s="24"/>
      <c r="UH106" s="24"/>
      <c r="UI106" s="24"/>
      <c r="UJ106" s="24"/>
      <c r="UK106" s="24"/>
      <c r="UL106" s="24"/>
      <c r="UM106" s="24"/>
      <c r="UN106" s="24"/>
      <c r="UO106" s="24"/>
      <c r="UP106" s="24"/>
      <c r="UQ106" s="24"/>
      <c r="UR106" s="24"/>
      <c r="US106" s="24"/>
      <c r="UT106" s="24"/>
      <c r="UU106" s="24"/>
      <c r="UV106" s="24"/>
      <c r="UW106" s="45">
        <f t="shared" si="240"/>
        <v>0</v>
      </c>
      <c r="UX106" s="45">
        <f t="shared" si="240"/>
        <v>0</v>
      </c>
      <c r="UY106" s="45"/>
      <c r="UZ106" s="45"/>
      <c r="VA106" s="45"/>
      <c r="VB106" s="45"/>
      <c r="VC106" s="45"/>
      <c r="VD106" s="45"/>
      <c r="VE106" s="45"/>
      <c r="VF106" s="45"/>
      <c r="VG106" s="45"/>
      <c r="VH106" s="45"/>
      <c r="VI106" s="45"/>
      <c r="VJ106" s="45"/>
      <c r="VK106" s="45"/>
      <c r="VL106" s="45"/>
      <c r="VM106" s="45"/>
      <c r="VN106" s="45"/>
      <c r="VO106" s="45"/>
      <c r="VP106" s="45"/>
      <c r="VQ106" s="45"/>
      <c r="VR106" s="45"/>
      <c r="VS106" s="45"/>
      <c r="VT106" s="45"/>
      <c r="VU106" s="45"/>
      <c r="VV106" s="45"/>
      <c r="VW106" s="45"/>
      <c r="VX106" s="45"/>
      <c r="VY106" s="45"/>
      <c r="VZ106" s="45"/>
      <c r="WA106" s="45"/>
      <c r="WB106" s="45"/>
      <c r="WC106" s="45"/>
      <c r="WD106" s="45"/>
      <c r="WE106" s="45"/>
      <c r="WF106" s="45"/>
      <c r="WG106" s="45"/>
      <c r="WH106" s="45"/>
      <c r="WI106" s="45"/>
      <c r="WJ106" s="45"/>
      <c r="WK106" s="45"/>
      <c r="WL106" s="45"/>
      <c r="WM106" s="45"/>
      <c r="WN106" s="45"/>
      <c r="WO106" s="45"/>
      <c r="WP106" s="45"/>
      <c r="WQ106" s="45"/>
      <c r="WR106" s="45"/>
      <c r="WS106" s="45"/>
      <c r="WT106" s="45"/>
      <c r="WU106" s="45"/>
      <c r="WV106" s="45"/>
      <c r="WW106" s="45"/>
      <c r="WX106" s="45"/>
      <c r="WY106" s="45"/>
      <c r="WZ106" s="45"/>
      <c r="XA106" s="45"/>
      <c r="XB106" s="45"/>
      <c r="XC106" s="45"/>
      <c r="XD106" s="45"/>
      <c r="XE106" s="45"/>
      <c r="XF106" s="45"/>
      <c r="XG106" s="45"/>
      <c r="XH106" s="45"/>
      <c r="XI106" s="45">
        <f t="shared" si="241"/>
        <v>0</v>
      </c>
      <c r="XJ106" s="45">
        <f t="shared" si="241"/>
        <v>0</v>
      </c>
      <c r="XK106" s="45"/>
      <c r="XL106" s="45"/>
      <c r="XM106" s="45"/>
      <c r="XN106" s="45"/>
      <c r="XO106" s="45"/>
      <c r="XP106" s="45"/>
      <c r="XQ106" s="45"/>
      <c r="XR106" s="45"/>
      <c r="XS106" s="45"/>
      <c r="XT106" s="45"/>
      <c r="XU106" s="45"/>
      <c r="XV106" s="45"/>
      <c r="XW106" s="45"/>
      <c r="XX106" s="45"/>
      <c r="XY106" s="45"/>
      <c r="XZ106" s="45"/>
      <c r="YA106" s="45"/>
      <c r="YB106" s="45"/>
      <c r="YC106" s="45"/>
      <c r="YD106" s="45"/>
      <c r="YE106" s="45"/>
      <c r="YF106" s="45"/>
      <c r="YG106" s="45"/>
      <c r="YH106" s="45"/>
      <c r="YI106" s="45"/>
      <c r="YJ106" s="45"/>
      <c r="YK106" s="45"/>
      <c r="YL106" s="45"/>
      <c r="YM106" s="45"/>
      <c r="YN106" s="45"/>
      <c r="YO106" s="45"/>
      <c r="YP106" s="45"/>
      <c r="YQ106" s="45"/>
      <c r="YR106" s="45"/>
      <c r="YS106" s="45"/>
      <c r="YT106" s="45"/>
      <c r="YU106" s="45"/>
      <c r="YV106" s="45"/>
      <c r="YW106" s="45"/>
      <c r="YX106" s="45"/>
      <c r="YY106" s="45"/>
      <c r="YZ106" s="45"/>
      <c r="ZA106" s="45"/>
      <c r="ZB106" s="45"/>
      <c r="ZC106" s="45"/>
      <c r="ZD106" s="45"/>
      <c r="ZE106" s="45"/>
      <c r="ZF106" s="45"/>
      <c r="ZG106" s="45"/>
      <c r="ZH106" s="45"/>
      <c r="ZI106" s="45"/>
      <c r="ZJ106" s="45"/>
      <c r="ZK106" s="45"/>
      <c r="ZL106" s="45"/>
      <c r="ZM106" s="45"/>
      <c r="ZN106" s="45"/>
      <c r="ZO106" s="45"/>
      <c r="ZP106" s="45"/>
      <c r="ZQ106" s="45"/>
      <c r="ZR106" s="45"/>
      <c r="ZS106" s="45">
        <f t="shared" si="242"/>
        <v>0</v>
      </c>
      <c r="ZT106" s="45">
        <f t="shared" si="242"/>
        <v>0</v>
      </c>
      <c r="ZU106" s="45"/>
      <c r="ZV106" s="45"/>
      <c r="ZW106" s="45"/>
      <c r="ZX106" s="45"/>
      <c r="ZY106" s="45"/>
      <c r="ZZ106" s="45"/>
      <c r="AAA106" s="45"/>
      <c r="AAB106" s="45"/>
      <c r="AAC106" s="45"/>
      <c r="AAD106" s="45"/>
      <c r="AAE106" s="45"/>
      <c r="AAF106" s="45"/>
      <c r="AAG106" s="45"/>
      <c r="AAH106" s="45"/>
      <c r="AAI106" s="45"/>
      <c r="AAJ106" s="45"/>
      <c r="AAK106" s="45"/>
      <c r="AAL106" s="45"/>
      <c r="AAM106" s="45"/>
      <c r="AAN106" s="45"/>
      <c r="AAO106" s="45"/>
      <c r="AAP106" s="45"/>
      <c r="AAQ106" s="45"/>
      <c r="AAR106" s="45"/>
      <c r="AAS106" s="45"/>
      <c r="AAT106" s="45"/>
      <c r="AAU106" s="45"/>
      <c r="AAV106" s="45"/>
      <c r="AAW106" s="45"/>
      <c r="AAX106" s="45"/>
      <c r="AAY106" s="45"/>
      <c r="AAZ106" s="45"/>
      <c r="ABA106" s="45"/>
      <c r="ABB106" s="45"/>
      <c r="ABC106" s="45"/>
      <c r="ABD106" s="45"/>
      <c r="ABE106" s="45"/>
      <c r="ABF106" s="45"/>
      <c r="ABG106" s="45"/>
      <c r="ABH106" s="45"/>
      <c r="ABI106" s="45"/>
      <c r="ABJ106" s="45"/>
      <c r="ABK106" s="45"/>
      <c r="ABL106" s="45"/>
      <c r="ABM106" s="45"/>
      <c r="ABN106" s="45"/>
      <c r="ABO106" s="45"/>
      <c r="ABP106" s="45"/>
      <c r="ABQ106" s="45"/>
      <c r="ABR106" s="45"/>
      <c r="ABS106" s="45"/>
      <c r="ABT106" s="45"/>
      <c r="ABU106" s="45"/>
      <c r="ABV106" s="45"/>
      <c r="ABW106" s="45"/>
      <c r="ABX106" s="45"/>
      <c r="ABY106" s="45"/>
      <c r="ABZ106" s="45"/>
      <c r="ACA106" s="45"/>
      <c r="ACB106" s="45"/>
      <c r="ACC106" s="45"/>
      <c r="ACD106" s="45"/>
      <c r="ACE106" s="45">
        <f>ZU106+ZW106+ZY106+AAA106+AAC106+AAE106+AAG106+AAI106+AAK106+AAM106+AAO106+AAQ106+AAS106+AAU106+AAW106+AAY106+ABA106+ABC106+ABE106+ABG106+ABI106+ABK106+ABM106+ABO106+ABQ106+ABS106+ABU106+ABW106+ABY106+ACA106+ACC106</f>
        <v>0</v>
      </c>
      <c r="ACF106" s="45"/>
      <c r="ACG106" s="45">
        <f>BO106+DW106+GI106+IS106+LE106+NO106+QA106+SM106+UW106+XI106+ZS106+ACE106</f>
        <v>0</v>
      </c>
      <c r="ACH106" s="55"/>
      <c r="ACI106" s="71" t="s">
        <v>196</v>
      </c>
      <c r="ACJ106" s="71" t="s">
        <v>101</v>
      </c>
    </row>
    <row r="107" spans="1:764" ht="16.5" thickBot="1" x14ac:dyDescent="0.3">
      <c r="A107" s="163"/>
      <c r="B107" s="164" t="s">
        <v>37</v>
      </c>
      <c r="C107" s="165"/>
      <c r="D107" s="166"/>
      <c r="E107" s="48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>
        <f>SUM(BO102:BO106)</f>
        <v>10032.709999999999</v>
      </c>
      <c r="BP107" s="39">
        <f>SUM(BP102:BP106)</f>
        <v>10364.49</v>
      </c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39"/>
      <c r="DB107" s="39"/>
      <c r="DC107" s="39"/>
      <c r="DD107" s="39"/>
      <c r="DE107" s="39"/>
      <c r="DF107" s="39"/>
      <c r="DG107" s="39"/>
      <c r="DH107" s="39"/>
      <c r="DI107" s="39"/>
      <c r="DJ107" s="39"/>
      <c r="DK107" s="39"/>
      <c r="DL107" s="39"/>
      <c r="DM107" s="39"/>
      <c r="DN107" s="39"/>
      <c r="DO107" s="39"/>
      <c r="DP107" s="39"/>
      <c r="DQ107" s="39"/>
      <c r="DR107" s="39"/>
      <c r="DS107" s="39"/>
      <c r="DT107" s="39"/>
      <c r="DU107" s="39"/>
      <c r="DV107" s="39"/>
      <c r="DW107" s="39">
        <f>SUM(DW102:DW106)</f>
        <v>10162.66</v>
      </c>
      <c r="DX107" s="39">
        <f>SUM(DX102:DX106)</f>
        <v>9944.0879999999997</v>
      </c>
      <c r="DY107" s="39"/>
      <c r="DZ107" s="39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>
        <f>SUM(GI102:GI106)</f>
        <v>13637.17</v>
      </c>
      <c r="GJ107" s="39">
        <f>SUM(GJ102:GJ106)</f>
        <v>13580.820000000002</v>
      </c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>
        <f>SUM(IS102:IS106)</f>
        <v>10770.89</v>
      </c>
      <c r="IT107" s="39">
        <f>SUM(IT102:IT106)</f>
        <v>10426.664999999999</v>
      </c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  <c r="JP107" s="39"/>
      <c r="JQ107" s="39"/>
      <c r="JR107" s="39"/>
      <c r="JS107" s="39"/>
      <c r="JT107" s="39"/>
      <c r="JU107" s="39"/>
      <c r="JV107" s="39"/>
      <c r="JW107" s="39"/>
      <c r="JX107" s="39"/>
      <c r="JY107" s="39"/>
      <c r="JZ107" s="39"/>
      <c r="KA107" s="39"/>
      <c r="KB107" s="39"/>
      <c r="KC107" s="39"/>
      <c r="KD107" s="39"/>
      <c r="KE107" s="39"/>
      <c r="KF107" s="39"/>
      <c r="KG107" s="39"/>
      <c r="KH107" s="39"/>
      <c r="KI107" s="39"/>
      <c r="KJ107" s="39"/>
      <c r="KK107" s="39"/>
      <c r="KL107" s="39"/>
      <c r="KM107" s="39"/>
      <c r="KN107" s="39"/>
      <c r="KO107" s="39"/>
      <c r="KP107" s="39"/>
      <c r="KQ107" s="39"/>
      <c r="KR107" s="39"/>
      <c r="KS107" s="39"/>
      <c r="KT107" s="39"/>
      <c r="KU107" s="39"/>
      <c r="KV107" s="39"/>
      <c r="KW107" s="39"/>
      <c r="KX107" s="39"/>
      <c r="KY107" s="39"/>
      <c r="KZ107" s="39"/>
      <c r="LA107" s="39"/>
      <c r="LB107" s="39"/>
      <c r="LC107" s="39"/>
      <c r="LD107" s="39"/>
      <c r="LE107" s="39">
        <f>SUM(LE102:LE106)</f>
        <v>5238.1799999999994</v>
      </c>
      <c r="LF107" s="39">
        <f>SUM(LF102:LF106)</f>
        <v>4923.9799999999996</v>
      </c>
      <c r="LG107" s="39"/>
      <c r="LH107" s="39"/>
      <c r="LI107" s="39"/>
      <c r="LJ107" s="39"/>
      <c r="LK107" s="39"/>
      <c r="LL107" s="39"/>
      <c r="LM107" s="39"/>
      <c r="LN107" s="39"/>
      <c r="LO107" s="39"/>
      <c r="LP107" s="39"/>
      <c r="LQ107" s="39"/>
      <c r="LR107" s="39"/>
      <c r="LS107" s="39"/>
      <c r="LT107" s="39"/>
      <c r="LU107" s="39"/>
      <c r="LV107" s="39"/>
      <c r="LW107" s="39"/>
      <c r="LX107" s="39"/>
      <c r="LY107" s="39"/>
      <c r="LZ107" s="39"/>
      <c r="MA107" s="39"/>
      <c r="MB107" s="39"/>
      <c r="MC107" s="39"/>
      <c r="MD107" s="39"/>
      <c r="ME107" s="39"/>
      <c r="MF107" s="39"/>
      <c r="MG107" s="39"/>
      <c r="MH107" s="39"/>
      <c r="MI107" s="39"/>
      <c r="MJ107" s="39"/>
      <c r="MK107" s="39"/>
      <c r="ML107" s="39"/>
      <c r="MM107" s="39"/>
      <c r="MN107" s="39"/>
      <c r="MO107" s="39"/>
      <c r="MP107" s="39"/>
      <c r="MQ107" s="39"/>
      <c r="MR107" s="39"/>
      <c r="MS107" s="39"/>
      <c r="MT107" s="39"/>
      <c r="MU107" s="39"/>
      <c r="MV107" s="39"/>
      <c r="MW107" s="39"/>
      <c r="MX107" s="39"/>
      <c r="MY107" s="39"/>
      <c r="MZ107" s="39"/>
      <c r="NA107" s="39"/>
      <c r="NB107" s="39"/>
      <c r="NC107" s="39"/>
      <c r="ND107" s="39"/>
      <c r="NE107" s="39"/>
      <c r="NF107" s="39"/>
      <c r="NG107" s="39"/>
      <c r="NH107" s="39"/>
      <c r="NI107" s="39"/>
      <c r="NJ107" s="39"/>
      <c r="NK107" s="39"/>
      <c r="NL107" s="39"/>
      <c r="NM107" s="39"/>
      <c r="NN107" s="39"/>
      <c r="NO107" s="39">
        <f>SUM(NO102:NO106)</f>
        <v>0</v>
      </c>
      <c r="NP107" s="39">
        <f>SUM(NP102:NP106)</f>
        <v>0</v>
      </c>
      <c r="NQ107" s="39"/>
      <c r="NR107" s="39"/>
      <c r="NS107" s="39"/>
      <c r="NT107" s="39"/>
      <c r="NU107" s="39"/>
      <c r="NV107" s="39"/>
      <c r="NW107" s="39"/>
      <c r="NX107" s="39"/>
      <c r="NY107" s="39"/>
      <c r="NZ107" s="39"/>
      <c r="OA107" s="39"/>
      <c r="OB107" s="39"/>
      <c r="OC107" s="39"/>
      <c r="OD107" s="39"/>
      <c r="OE107" s="39"/>
      <c r="OF107" s="39"/>
      <c r="OG107" s="39"/>
      <c r="OH107" s="39"/>
      <c r="OI107" s="39"/>
      <c r="OJ107" s="39"/>
      <c r="OK107" s="39"/>
      <c r="OL107" s="39"/>
      <c r="OM107" s="39"/>
      <c r="ON107" s="39"/>
      <c r="OO107" s="39"/>
      <c r="OP107" s="39"/>
      <c r="OQ107" s="39"/>
      <c r="OR107" s="39"/>
      <c r="OS107" s="39"/>
      <c r="OT107" s="39"/>
      <c r="OU107" s="39"/>
      <c r="OV107" s="39"/>
      <c r="OW107" s="39"/>
      <c r="OX107" s="39"/>
      <c r="OY107" s="39"/>
      <c r="OZ107" s="39"/>
      <c r="PA107" s="39"/>
      <c r="PB107" s="39"/>
      <c r="PC107" s="39"/>
      <c r="PD107" s="39"/>
      <c r="PE107" s="39"/>
      <c r="PF107" s="39"/>
      <c r="PG107" s="39"/>
      <c r="PH107" s="39"/>
      <c r="PI107" s="39"/>
      <c r="PJ107" s="39"/>
      <c r="PK107" s="39"/>
      <c r="PL107" s="39"/>
      <c r="PM107" s="39"/>
      <c r="PN107" s="39"/>
      <c r="PO107" s="39"/>
      <c r="PP107" s="39"/>
      <c r="PQ107" s="39"/>
      <c r="PR107" s="39"/>
      <c r="PS107" s="39"/>
      <c r="PT107" s="39"/>
      <c r="PU107" s="39"/>
      <c r="PV107" s="39"/>
      <c r="PW107" s="39"/>
      <c r="PX107" s="39"/>
      <c r="PY107" s="39"/>
      <c r="PZ107" s="39"/>
      <c r="QA107" s="39">
        <f>SUM(QA102:QA106)</f>
        <v>0</v>
      </c>
      <c r="QB107" s="39">
        <f>SUM(QB102:QB106)</f>
        <v>0</v>
      </c>
      <c r="QC107" s="39"/>
      <c r="QD107" s="39"/>
      <c r="QE107" s="39"/>
      <c r="QF107" s="39"/>
      <c r="QG107" s="39"/>
      <c r="QH107" s="39"/>
      <c r="QI107" s="39"/>
      <c r="QJ107" s="39"/>
      <c r="QK107" s="39"/>
      <c r="QL107" s="39"/>
      <c r="QM107" s="39"/>
      <c r="QN107" s="39"/>
      <c r="QO107" s="39"/>
      <c r="QP107" s="39"/>
      <c r="QQ107" s="39"/>
      <c r="QR107" s="39"/>
      <c r="QS107" s="39"/>
      <c r="QT107" s="39"/>
      <c r="QU107" s="39"/>
      <c r="QV107" s="39"/>
      <c r="QW107" s="39"/>
      <c r="QX107" s="39"/>
      <c r="QY107" s="39"/>
      <c r="QZ107" s="39"/>
      <c r="RA107" s="39"/>
      <c r="RB107" s="39"/>
      <c r="RC107" s="39"/>
      <c r="RD107" s="39"/>
      <c r="RE107" s="39"/>
      <c r="RF107" s="39"/>
      <c r="RG107" s="39"/>
      <c r="RH107" s="39"/>
      <c r="RI107" s="39"/>
      <c r="RJ107" s="39"/>
      <c r="RK107" s="39"/>
      <c r="RL107" s="39"/>
      <c r="RM107" s="39"/>
      <c r="RN107" s="39"/>
      <c r="RO107" s="39"/>
      <c r="RP107" s="39"/>
      <c r="RQ107" s="39"/>
      <c r="RR107" s="39"/>
      <c r="RS107" s="39"/>
      <c r="RT107" s="39"/>
      <c r="RU107" s="39"/>
      <c r="RV107" s="39"/>
      <c r="RW107" s="39"/>
      <c r="RX107" s="39"/>
      <c r="RY107" s="39"/>
      <c r="RZ107" s="39"/>
      <c r="SA107" s="39"/>
      <c r="SB107" s="39"/>
      <c r="SC107" s="39"/>
      <c r="SD107" s="39"/>
      <c r="SE107" s="39"/>
      <c r="SF107" s="39"/>
      <c r="SG107" s="39"/>
      <c r="SH107" s="39"/>
      <c r="SI107" s="39"/>
      <c r="SJ107" s="39"/>
      <c r="SK107" s="39"/>
      <c r="SL107" s="39"/>
      <c r="SM107" s="39">
        <f>SUM(SM102:SM106)</f>
        <v>0</v>
      </c>
      <c r="SN107" s="39">
        <f>SUM(SN102:SN106)</f>
        <v>0</v>
      </c>
      <c r="SO107" s="39"/>
      <c r="SP107" s="39"/>
      <c r="SQ107" s="39"/>
      <c r="SR107" s="39"/>
      <c r="SS107" s="39"/>
      <c r="ST107" s="39"/>
      <c r="SU107" s="39"/>
      <c r="SV107" s="39"/>
      <c r="SW107" s="39"/>
      <c r="SX107" s="39"/>
      <c r="SY107" s="39"/>
      <c r="SZ107" s="39"/>
      <c r="TA107" s="39"/>
      <c r="TB107" s="39"/>
      <c r="TC107" s="39"/>
      <c r="TD107" s="39"/>
      <c r="TE107" s="39"/>
      <c r="TF107" s="39"/>
      <c r="TG107" s="39"/>
      <c r="TH107" s="39"/>
      <c r="TI107" s="39"/>
      <c r="TJ107" s="39"/>
      <c r="TK107" s="39"/>
      <c r="TL107" s="39"/>
      <c r="TM107" s="39"/>
      <c r="TN107" s="39"/>
      <c r="TO107" s="39"/>
      <c r="TP107" s="39"/>
      <c r="TQ107" s="39"/>
      <c r="TR107" s="39"/>
      <c r="TS107" s="39"/>
      <c r="TT107" s="39"/>
      <c r="TU107" s="39"/>
      <c r="TV107" s="39"/>
      <c r="TW107" s="39"/>
      <c r="TX107" s="39"/>
      <c r="TY107" s="39"/>
      <c r="TZ107" s="39"/>
      <c r="UA107" s="39"/>
      <c r="UB107" s="39"/>
      <c r="UC107" s="39"/>
      <c r="UD107" s="39"/>
      <c r="UE107" s="39"/>
      <c r="UF107" s="39"/>
      <c r="UG107" s="39"/>
      <c r="UH107" s="39"/>
      <c r="UI107" s="39"/>
      <c r="UJ107" s="39"/>
      <c r="UK107" s="39"/>
      <c r="UL107" s="39"/>
      <c r="UM107" s="39"/>
      <c r="UN107" s="39"/>
      <c r="UO107" s="39"/>
      <c r="UP107" s="39"/>
      <c r="UQ107" s="39"/>
      <c r="UR107" s="39"/>
      <c r="US107" s="39"/>
      <c r="UT107" s="39"/>
      <c r="UU107" s="39"/>
      <c r="UV107" s="39"/>
      <c r="UW107" s="39">
        <f>SUM(UW102:UW106)</f>
        <v>0</v>
      </c>
      <c r="UX107" s="39">
        <f>SUM(UX102:UX106)</f>
        <v>0</v>
      </c>
      <c r="UY107" s="39"/>
      <c r="UZ107" s="39"/>
      <c r="VA107" s="39"/>
      <c r="VB107" s="39"/>
      <c r="VC107" s="39"/>
      <c r="VD107" s="39"/>
      <c r="VE107" s="39"/>
      <c r="VF107" s="39"/>
      <c r="VG107" s="39"/>
      <c r="VH107" s="39"/>
      <c r="VI107" s="39"/>
      <c r="VJ107" s="39"/>
      <c r="VK107" s="39"/>
      <c r="VL107" s="39"/>
      <c r="VM107" s="39"/>
      <c r="VN107" s="39"/>
      <c r="VO107" s="39"/>
      <c r="VP107" s="39"/>
      <c r="VQ107" s="39"/>
      <c r="VR107" s="39"/>
      <c r="VS107" s="39"/>
      <c r="VT107" s="39"/>
      <c r="VU107" s="39"/>
      <c r="VV107" s="39"/>
      <c r="VW107" s="39"/>
      <c r="VX107" s="39"/>
      <c r="VY107" s="39"/>
      <c r="VZ107" s="39"/>
      <c r="WA107" s="39"/>
      <c r="WB107" s="39"/>
      <c r="WC107" s="39"/>
      <c r="WD107" s="39"/>
      <c r="WE107" s="39"/>
      <c r="WF107" s="39"/>
      <c r="WG107" s="39"/>
      <c r="WH107" s="39"/>
      <c r="WI107" s="39"/>
      <c r="WJ107" s="39"/>
      <c r="WK107" s="39"/>
      <c r="WL107" s="39"/>
      <c r="WM107" s="39"/>
      <c r="WN107" s="39"/>
      <c r="WO107" s="39"/>
      <c r="WP107" s="39"/>
      <c r="WQ107" s="39"/>
      <c r="WR107" s="39"/>
      <c r="WS107" s="39"/>
      <c r="WT107" s="39"/>
      <c r="WU107" s="39"/>
      <c r="WV107" s="39"/>
      <c r="WW107" s="39"/>
      <c r="WX107" s="39"/>
      <c r="WY107" s="39"/>
      <c r="WZ107" s="39"/>
      <c r="XA107" s="39"/>
      <c r="XB107" s="39"/>
      <c r="XC107" s="39"/>
      <c r="XD107" s="39"/>
      <c r="XE107" s="39"/>
      <c r="XF107" s="39"/>
      <c r="XG107" s="39"/>
      <c r="XH107" s="39"/>
      <c r="XI107" s="39">
        <f>SUM(XI102:XI106)</f>
        <v>0</v>
      </c>
      <c r="XJ107" s="39">
        <f>SUM(XJ102:XJ106)</f>
        <v>0</v>
      </c>
      <c r="XK107" s="39"/>
      <c r="XL107" s="39"/>
      <c r="XM107" s="39"/>
      <c r="XN107" s="39"/>
      <c r="XO107" s="39"/>
      <c r="XP107" s="39"/>
      <c r="XQ107" s="39"/>
      <c r="XR107" s="39"/>
      <c r="XS107" s="39"/>
      <c r="XT107" s="39"/>
      <c r="XU107" s="39"/>
      <c r="XV107" s="39"/>
      <c r="XW107" s="39"/>
      <c r="XX107" s="39"/>
      <c r="XY107" s="39"/>
      <c r="XZ107" s="39"/>
      <c r="YA107" s="39"/>
      <c r="YB107" s="39"/>
      <c r="YC107" s="39"/>
      <c r="YD107" s="39"/>
      <c r="YE107" s="39"/>
      <c r="YF107" s="39"/>
      <c r="YG107" s="39"/>
      <c r="YH107" s="39"/>
      <c r="YI107" s="39"/>
      <c r="YJ107" s="39"/>
      <c r="YK107" s="39"/>
      <c r="YL107" s="39"/>
      <c r="YM107" s="39"/>
      <c r="YN107" s="39"/>
      <c r="YO107" s="39"/>
      <c r="YP107" s="39"/>
      <c r="YQ107" s="39"/>
      <c r="YR107" s="39"/>
      <c r="YS107" s="39"/>
      <c r="YT107" s="39"/>
      <c r="YU107" s="39"/>
      <c r="YV107" s="39"/>
      <c r="YW107" s="39"/>
      <c r="YX107" s="39"/>
      <c r="YY107" s="39"/>
      <c r="YZ107" s="39"/>
      <c r="ZA107" s="39"/>
      <c r="ZB107" s="39"/>
      <c r="ZC107" s="39"/>
      <c r="ZD107" s="39"/>
      <c r="ZE107" s="39"/>
      <c r="ZF107" s="39"/>
      <c r="ZG107" s="39"/>
      <c r="ZH107" s="39"/>
      <c r="ZI107" s="39"/>
      <c r="ZJ107" s="39"/>
      <c r="ZK107" s="39"/>
      <c r="ZL107" s="39"/>
      <c r="ZM107" s="39"/>
      <c r="ZN107" s="39"/>
      <c r="ZO107" s="39"/>
      <c r="ZP107" s="39"/>
      <c r="ZQ107" s="39"/>
      <c r="ZR107" s="39"/>
      <c r="ZS107" s="39">
        <f>SUM(ZS102:ZS106)</f>
        <v>0</v>
      </c>
      <c r="ZT107" s="39">
        <f>SUM(ZT102:ZT106)</f>
        <v>0</v>
      </c>
      <c r="ZU107" s="39"/>
      <c r="ZV107" s="39"/>
      <c r="ZW107" s="39"/>
      <c r="ZX107" s="39"/>
      <c r="ZY107" s="39"/>
      <c r="ZZ107" s="39"/>
      <c r="AAA107" s="39"/>
      <c r="AAB107" s="39"/>
      <c r="AAC107" s="39"/>
      <c r="AAD107" s="39"/>
      <c r="AAE107" s="39"/>
      <c r="AAF107" s="39"/>
      <c r="AAG107" s="39"/>
      <c r="AAH107" s="39"/>
      <c r="AAI107" s="39"/>
      <c r="AAJ107" s="39"/>
      <c r="AAK107" s="39"/>
      <c r="AAL107" s="39"/>
      <c r="AAM107" s="39"/>
      <c r="AAN107" s="39"/>
      <c r="AAO107" s="39"/>
      <c r="AAP107" s="39"/>
      <c r="AAQ107" s="39"/>
      <c r="AAR107" s="39"/>
      <c r="AAS107" s="39"/>
      <c r="AAT107" s="39"/>
      <c r="AAU107" s="39"/>
      <c r="AAV107" s="39"/>
      <c r="AAW107" s="39"/>
      <c r="AAX107" s="39"/>
      <c r="AAY107" s="39"/>
      <c r="AAZ107" s="39"/>
      <c r="ABA107" s="39"/>
      <c r="ABB107" s="39"/>
      <c r="ABC107" s="39"/>
      <c r="ABD107" s="39"/>
      <c r="ABE107" s="39"/>
      <c r="ABF107" s="39"/>
      <c r="ABG107" s="39"/>
      <c r="ABH107" s="39"/>
      <c r="ABI107" s="39"/>
      <c r="ABJ107" s="39"/>
      <c r="ABK107" s="39"/>
      <c r="ABL107" s="39"/>
      <c r="ABM107" s="39"/>
      <c r="ABN107" s="39"/>
      <c r="ABO107" s="39"/>
      <c r="ABP107" s="39"/>
      <c r="ABQ107" s="39"/>
      <c r="ABR107" s="39"/>
      <c r="ABS107" s="39"/>
      <c r="ABT107" s="39"/>
      <c r="ABU107" s="39"/>
      <c r="ABV107" s="39"/>
      <c r="ABW107" s="39"/>
      <c r="ABX107" s="39"/>
      <c r="ABY107" s="39"/>
      <c r="ABZ107" s="39"/>
      <c r="ACA107" s="39"/>
      <c r="ACB107" s="39"/>
      <c r="ACC107" s="39"/>
      <c r="ACD107" s="39"/>
      <c r="ACE107" s="39">
        <f>SUM(ACE102:ACE106)</f>
        <v>0</v>
      </c>
      <c r="ACF107" s="39"/>
      <c r="ACG107" s="39">
        <f>SUM(ACG102:ACG106)</f>
        <v>49841.61</v>
      </c>
      <c r="ACH107" s="40"/>
      <c r="ACI107" s="71" t="s">
        <v>212</v>
      </c>
      <c r="ACJ107" s="71" t="s">
        <v>37</v>
      </c>
    </row>
    <row r="108" spans="1:764" x14ac:dyDescent="0.25">
      <c r="A108" s="161">
        <v>11</v>
      </c>
      <c r="B108" s="151" t="s">
        <v>102</v>
      </c>
      <c r="C108" s="154" t="s">
        <v>3</v>
      </c>
      <c r="D108" s="49" t="s">
        <v>6</v>
      </c>
      <c r="E108" s="72">
        <v>47.25</v>
      </c>
      <c r="F108" s="73">
        <v>47.019999999999996</v>
      </c>
      <c r="G108" s="73">
        <v>167.3</v>
      </c>
      <c r="H108" s="73">
        <v>164.84</v>
      </c>
      <c r="I108" s="73"/>
      <c r="J108" s="73"/>
      <c r="K108" s="73">
        <v>131.79999999999998</v>
      </c>
      <c r="L108" s="73">
        <v>129.76</v>
      </c>
      <c r="M108" s="73">
        <v>197.34999999999997</v>
      </c>
      <c r="N108" s="73">
        <v>195.84</v>
      </c>
      <c r="O108" s="73">
        <v>101.25</v>
      </c>
      <c r="P108" s="73">
        <v>100.34</v>
      </c>
      <c r="Q108" s="73">
        <v>172.49999999999997</v>
      </c>
      <c r="R108" s="73">
        <v>170.95999999999998</v>
      </c>
      <c r="S108" s="73">
        <v>217.6</v>
      </c>
      <c r="T108" s="73">
        <v>218.48000000000002</v>
      </c>
      <c r="U108" s="73">
        <v>248.64999999999998</v>
      </c>
      <c r="V108" s="73">
        <v>247.96</v>
      </c>
      <c r="W108" s="73">
        <v>111.65</v>
      </c>
      <c r="X108" s="73">
        <v>110.56</v>
      </c>
      <c r="Y108" s="73">
        <v>292.15000000000003</v>
      </c>
      <c r="Z108" s="73">
        <v>288.88</v>
      </c>
      <c r="AA108" s="73">
        <v>95.15</v>
      </c>
      <c r="AB108" s="73">
        <v>93.58</v>
      </c>
      <c r="AC108" s="73">
        <v>163.95000000000002</v>
      </c>
      <c r="AD108" s="73">
        <v>160.19999999999999</v>
      </c>
      <c r="AE108" s="73">
        <v>179.05</v>
      </c>
      <c r="AF108" s="73">
        <v>173.92</v>
      </c>
      <c r="AG108" s="73">
        <v>201.10000000000002</v>
      </c>
      <c r="AH108" s="73">
        <v>197.56</v>
      </c>
      <c r="AI108" s="73">
        <v>107.9</v>
      </c>
      <c r="AJ108" s="73">
        <v>110.28</v>
      </c>
      <c r="AK108" s="73">
        <v>133.04999999999998</v>
      </c>
      <c r="AL108" s="73">
        <v>131.10000000000002</v>
      </c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22" cm="1">
        <f t="array" ref="BO108">SUMPRODUCT(E108:BM108,--(E$2:BM$2=BO$2))</f>
        <v>2567.7000000000003</v>
      </c>
      <c r="BP108" s="22" cm="1">
        <f t="array" ref="BP108">SUMPRODUCT(F108:BN108,--(F$2:BN$2=BP$2))</f>
        <v>2541.2799999999997</v>
      </c>
      <c r="BQ108" s="22"/>
      <c r="BR108" s="22"/>
      <c r="BS108" s="22"/>
      <c r="BT108" s="22"/>
      <c r="BU108" s="22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M108" s="22"/>
      <c r="CN108" s="22"/>
      <c r="CO108" s="22"/>
      <c r="CP108" s="22"/>
      <c r="CQ108" s="22"/>
      <c r="CR108" s="22"/>
      <c r="CS108" s="22"/>
      <c r="CT108" s="22"/>
      <c r="CU108" s="22"/>
      <c r="CV108" s="22"/>
      <c r="CW108" s="22"/>
      <c r="CX108" s="22"/>
      <c r="CY108" s="22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22"/>
      <c r="DK108" s="22"/>
      <c r="DL108" s="22"/>
      <c r="DM108" s="22"/>
      <c r="DN108" s="22"/>
      <c r="DO108" s="22"/>
      <c r="DP108" s="22"/>
      <c r="DQ108" s="22"/>
      <c r="DR108" s="22"/>
      <c r="DS108" s="22"/>
      <c r="DT108" s="22"/>
      <c r="DU108" s="22"/>
      <c r="DV108" s="22"/>
      <c r="DW108" s="22" cm="1">
        <f t="array" ref="DW108">SUMPRODUCT(BQ108:DU108,--(BQ$2:DU$2=DW$2))</f>
        <v>0</v>
      </c>
      <c r="DX108" s="22" cm="1">
        <f t="array" ref="DX108">SUMPRODUCT(BR108:DV108,--(BR$2:DV$2=DX$2))</f>
        <v>0</v>
      </c>
      <c r="DY108" s="22"/>
      <c r="DZ108" s="22"/>
      <c r="EA108" s="22"/>
      <c r="EB108" s="22"/>
      <c r="EC108" s="22"/>
      <c r="ED108" s="22"/>
      <c r="EE108" s="22"/>
      <c r="EF108" s="22"/>
      <c r="EG108" s="22"/>
      <c r="EH108" s="22"/>
      <c r="EI108" s="22"/>
      <c r="EJ108" s="22"/>
      <c r="EK108" s="22"/>
      <c r="EL108" s="22"/>
      <c r="EM108" s="22"/>
      <c r="EN108" s="22"/>
      <c r="EO108" s="22"/>
      <c r="EP108" s="22"/>
      <c r="EQ108" s="22"/>
      <c r="ER108" s="22"/>
      <c r="ES108" s="22"/>
      <c r="ET108" s="22"/>
      <c r="EU108" s="22"/>
      <c r="EV108" s="22"/>
      <c r="EW108" s="22"/>
      <c r="EX108" s="22"/>
      <c r="EY108" s="22"/>
      <c r="EZ108" s="22"/>
      <c r="FA108" s="22"/>
      <c r="FB108" s="22"/>
      <c r="FC108" s="22"/>
      <c r="FD108" s="22"/>
      <c r="FE108" s="22"/>
      <c r="FF108" s="22"/>
      <c r="FG108" s="22"/>
      <c r="FH108" s="22"/>
      <c r="FI108" s="22"/>
      <c r="FJ108" s="22"/>
      <c r="FK108" s="22"/>
      <c r="FL108" s="22"/>
      <c r="FM108" s="22"/>
      <c r="FN108" s="22"/>
      <c r="FO108" s="22"/>
      <c r="FP108" s="22"/>
      <c r="FQ108" s="22"/>
      <c r="FR108" s="22"/>
      <c r="FS108" s="22"/>
      <c r="FT108" s="22"/>
      <c r="FU108" s="22"/>
      <c r="FV108" s="22"/>
      <c r="FW108" s="22"/>
      <c r="FX108" s="22"/>
      <c r="FY108" s="22"/>
      <c r="FZ108" s="22"/>
      <c r="GA108" s="22"/>
      <c r="GB108" s="22"/>
      <c r="GC108" s="22"/>
      <c r="GD108" s="22"/>
      <c r="GE108" s="22"/>
      <c r="GF108" s="22"/>
      <c r="GG108" s="22"/>
      <c r="GH108" s="22"/>
      <c r="GI108" s="22" cm="1">
        <f t="array" ref="GI108">SUMPRODUCT(DY108:GG108,--(DY$2:GG$2=GI$2))</f>
        <v>0</v>
      </c>
      <c r="GJ108" s="22" cm="1">
        <f t="array" ref="GJ108">SUMPRODUCT(DZ108:GH108,--(DZ$2:GH$2=GJ$2))</f>
        <v>0</v>
      </c>
      <c r="GK108" s="22"/>
      <c r="GL108" s="22"/>
      <c r="GM108" s="22"/>
      <c r="GN108" s="22"/>
      <c r="GO108" s="22"/>
      <c r="GP108" s="22"/>
      <c r="GQ108" s="22"/>
      <c r="GR108" s="22"/>
      <c r="GS108" s="22"/>
      <c r="GT108" s="22"/>
      <c r="GU108" s="22"/>
      <c r="GV108" s="22"/>
      <c r="GW108" s="22"/>
      <c r="GX108" s="22"/>
      <c r="GY108" s="22"/>
      <c r="GZ108" s="22"/>
      <c r="HA108" s="22"/>
      <c r="HB108" s="22"/>
      <c r="HC108" s="22"/>
      <c r="HD108" s="22"/>
      <c r="HE108" s="22"/>
      <c r="HF108" s="22"/>
      <c r="HG108" s="22"/>
      <c r="HH108" s="22"/>
      <c r="HI108" s="22"/>
      <c r="HJ108" s="22"/>
      <c r="HK108" s="22"/>
      <c r="HL108" s="22"/>
      <c r="HM108" s="22"/>
      <c r="HN108" s="22"/>
      <c r="HO108" s="22"/>
      <c r="HP108" s="22"/>
      <c r="HQ108" s="22"/>
      <c r="HR108" s="22"/>
      <c r="HS108" s="22"/>
      <c r="HT108" s="22"/>
      <c r="HU108" s="22"/>
      <c r="HV108" s="22"/>
      <c r="HW108" s="22"/>
      <c r="HX108" s="22"/>
      <c r="HY108" s="22"/>
      <c r="HZ108" s="22"/>
      <c r="IA108" s="22"/>
      <c r="IB108" s="22"/>
      <c r="IC108" s="22"/>
      <c r="ID108" s="22"/>
      <c r="IE108" s="22"/>
      <c r="IF108" s="22"/>
      <c r="IG108" s="22"/>
      <c r="IH108" s="22"/>
      <c r="II108" s="22"/>
      <c r="IJ108" s="22"/>
      <c r="IK108" s="22"/>
      <c r="IL108" s="22"/>
      <c r="IM108" s="22"/>
      <c r="IN108" s="22"/>
      <c r="IO108" s="22"/>
      <c r="IP108" s="22"/>
      <c r="IQ108" s="22"/>
      <c r="IR108" s="22"/>
      <c r="IS108" s="22">
        <f t="shared" ref="IS108:IT112" si="243">GK108+GM108+GO108+GQ108+GS108+GU108+GW108+GY108+HA108+HC108+HE108+HG108+HI108+HK108+HM108+HO108+HQ108+HS108+HU108+HW108+HY108+IA108+IC108+IE108+IG108+II108+IK108+IM108+IO108+IQ108</f>
        <v>0</v>
      </c>
      <c r="IT108" s="22">
        <f t="shared" si="243"/>
        <v>0</v>
      </c>
      <c r="IU108" s="22"/>
      <c r="IV108" s="22"/>
      <c r="IW108" s="22"/>
      <c r="IX108" s="22"/>
      <c r="IY108" s="22"/>
      <c r="IZ108" s="22"/>
      <c r="JA108" s="22"/>
      <c r="JB108" s="22"/>
      <c r="JC108" s="22"/>
      <c r="JD108" s="22"/>
      <c r="JE108" s="22"/>
      <c r="JF108" s="22"/>
      <c r="JG108" s="22"/>
      <c r="JH108" s="22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>
        <f t="shared" ref="LE108:LF112" si="244">IU108+IW108+IY108+JA108+JC108+JE108+JG108+JI108+JK108+JM108+JO108+JQ108+JS108+JU108+JW108+JY108+KA108+KC108+KE108+KG108+KI108+KK108+KM108+KO108+KQ108+KS108+KU108+KW108+KY108+LA108+LC108</f>
        <v>0</v>
      </c>
      <c r="LF108" s="22">
        <f t="shared" si="244"/>
        <v>0</v>
      </c>
      <c r="LG108" s="22"/>
      <c r="LH108" s="22"/>
      <c r="LI108" s="22"/>
      <c r="LJ108" s="22"/>
      <c r="LK108" s="22"/>
      <c r="LL108" s="22"/>
      <c r="LM108" s="22"/>
      <c r="LN108" s="22"/>
      <c r="LO108" s="22"/>
      <c r="LP108" s="22"/>
      <c r="LQ108" s="22"/>
      <c r="LR108" s="22"/>
      <c r="LS108" s="22"/>
      <c r="LT108" s="22"/>
      <c r="LU108" s="22"/>
      <c r="LV108" s="22"/>
      <c r="LW108" s="22"/>
      <c r="LX108" s="22"/>
      <c r="LY108" s="22"/>
      <c r="LZ108" s="22"/>
      <c r="MA108" s="22"/>
      <c r="MB108" s="22"/>
      <c r="MC108" s="22"/>
      <c r="MD108" s="22"/>
      <c r="ME108" s="22"/>
      <c r="MF108" s="22"/>
      <c r="MG108" s="22"/>
      <c r="MH108" s="22"/>
      <c r="MI108" s="22"/>
      <c r="MJ108" s="22"/>
      <c r="MK108" s="22"/>
      <c r="ML108" s="22"/>
      <c r="MM108" s="22"/>
      <c r="MN108" s="22"/>
      <c r="MO108" s="22"/>
      <c r="MP108" s="22"/>
      <c r="MQ108" s="22"/>
      <c r="MR108" s="22"/>
      <c r="MS108" s="22"/>
      <c r="MT108" s="22"/>
      <c r="MU108" s="22"/>
      <c r="MV108" s="22"/>
      <c r="MW108" s="22"/>
      <c r="MX108" s="22"/>
      <c r="MY108" s="22"/>
      <c r="MZ108" s="22"/>
      <c r="NA108" s="22"/>
      <c r="NB108" s="22"/>
      <c r="NC108" s="22"/>
      <c r="ND108" s="22"/>
      <c r="NE108" s="22"/>
      <c r="NF108" s="22"/>
      <c r="NG108" s="22"/>
      <c r="NH108" s="22"/>
      <c r="NI108" s="22"/>
      <c r="NJ108" s="22"/>
      <c r="NK108" s="22"/>
      <c r="NL108" s="22"/>
      <c r="NM108" s="22"/>
      <c r="NN108" s="22"/>
      <c r="NO108" s="22">
        <f t="shared" ref="NO108:NP112" si="245">LG108+LI108+LK108+LM108+LO108+LQ108+LS108+LU108+LW108+LY108+MA108+MC108+ME108+MG108+MI108+MK108+MM108+MO108+MQ108+MS108+MU108+MW108+MY108+NA108+NC108+NE108+NG108+NI108+NK108+NM108</f>
        <v>0</v>
      </c>
      <c r="NP108" s="22">
        <f t="shared" si="245"/>
        <v>0</v>
      </c>
      <c r="NQ108" s="22"/>
      <c r="NR108" s="22"/>
      <c r="NS108" s="22"/>
      <c r="NT108" s="22"/>
      <c r="NU108" s="22"/>
      <c r="NV108" s="22"/>
      <c r="NW108" s="22"/>
      <c r="NX108" s="22"/>
      <c r="NY108" s="22"/>
      <c r="NZ108" s="22"/>
      <c r="OA108" s="22"/>
      <c r="OB108" s="22"/>
      <c r="OC108" s="22"/>
      <c r="OD108" s="22"/>
      <c r="OE108" s="22"/>
      <c r="OF108" s="22"/>
      <c r="OG108" s="22"/>
      <c r="OH108" s="22"/>
      <c r="OI108" s="22"/>
      <c r="OJ108" s="22"/>
      <c r="OK108" s="22"/>
      <c r="OL108" s="22"/>
      <c r="OM108" s="22"/>
      <c r="ON108" s="22"/>
      <c r="OO108" s="22"/>
      <c r="OP108" s="22"/>
      <c r="OQ108" s="22"/>
      <c r="OR108" s="22"/>
      <c r="OS108" s="22"/>
      <c r="OT108" s="22"/>
      <c r="OU108" s="22"/>
      <c r="OV108" s="22"/>
      <c r="OW108" s="22"/>
      <c r="OX108" s="22"/>
      <c r="OY108" s="22"/>
      <c r="OZ108" s="22"/>
      <c r="PA108" s="22"/>
      <c r="PB108" s="22"/>
      <c r="PC108" s="22"/>
      <c r="PD108" s="22"/>
      <c r="PE108" s="22"/>
      <c r="PF108" s="22"/>
      <c r="PG108" s="22"/>
      <c r="PH108" s="22"/>
      <c r="PI108" s="22"/>
      <c r="PJ108" s="22"/>
      <c r="PK108" s="22"/>
      <c r="PL108" s="22"/>
      <c r="PM108" s="22"/>
      <c r="PN108" s="22"/>
      <c r="PO108" s="22"/>
      <c r="PP108" s="22"/>
      <c r="PQ108" s="22"/>
      <c r="PR108" s="22"/>
      <c r="PS108" s="22"/>
      <c r="PT108" s="22"/>
      <c r="PU108" s="22"/>
      <c r="PV108" s="22"/>
      <c r="PW108" s="22"/>
      <c r="PX108" s="22"/>
      <c r="PY108" s="22"/>
      <c r="PZ108" s="22"/>
      <c r="QA108" s="22">
        <f t="shared" ref="QA108:QB112" si="246">NQ108+NS108+NU108+NW108+NY108+OA108+OC108+OE108+OG108+OI108+OK108+OM108+OO108+OQ108+OS108+OU108+OW108+OY108+PA108+PC108+PE108+PG108+PI108+PK108+PM108+PO108+PQ108+PS108+PU108+PW108+PY108</f>
        <v>0</v>
      </c>
      <c r="QB108" s="22">
        <f t="shared" si="246"/>
        <v>0</v>
      </c>
      <c r="QC108" s="22"/>
      <c r="QD108" s="22"/>
      <c r="QE108" s="22"/>
      <c r="QF108" s="22"/>
      <c r="QG108" s="22"/>
      <c r="QH108" s="22"/>
      <c r="QI108" s="22"/>
      <c r="QJ108" s="22"/>
      <c r="QK108" s="22"/>
      <c r="QL108" s="22"/>
      <c r="QM108" s="22"/>
      <c r="QN108" s="22"/>
      <c r="QO108" s="22"/>
      <c r="QP108" s="22"/>
      <c r="QQ108" s="22"/>
      <c r="QR108" s="22"/>
      <c r="QS108" s="22"/>
      <c r="QT108" s="22"/>
      <c r="QU108" s="22"/>
      <c r="QV108" s="22"/>
      <c r="QW108" s="22"/>
      <c r="QX108" s="22"/>
      <c r="QY108" s="22"/>
      <c r="QZ108" s="22"/>
      <c r="RA108" s="22"/>
      <c r="RB108" s="22"/>
      <c r="RC108" s="22"/>
      <c r="RD108" s="22"/>
      <c r="RE108" s="22"/>
      <c r="RF108" s="22"/>
      <c r="RG108" s="22"/>
      <c r="RH108" s="22"/>
      <c r="RI108" s="22"/>
      <c r="RJ108" s="22"/>
      <c r="RK108" s="22"/>
      <c r="RL108" s="22"/>
      <c r="RM108" s="22"/>
      <c r="RN108" s="22"/>
      <c r="RO108" s="22"/>
      <c r="RP108" s="22"/>
      <c r="RQ108" s="22"/>
      <c r="RR108" s="22"/>
      <c r="RS108" s="22"/>
      <c r="RT108" s="22"/>
      <c r="RU108" s="22"/>
      <c r="RV108" s="22"/>
      <c r="RW108" s="22"/>
      <c r="RX108" s="22"/>
      <c r="RY108" s="22"/>
      <c r="RZ108" s="22"/>
      <c r="SA108" s="22"/>
      <c r="SB108" s="22"/>
      <c r="SC108" s="22"/>
      <c r="SD108" s="22"/>
      <c r="SE108" s="22"/>
      <c r="SF108" s="22"/>
      <c r="SG108" s="22"/>
      <c r="SH108" s="22"/>
      <c r="SI108" s="22"/>
      <c r="SJ108" s="22"/>
      <c r="SK108" s="22"/>
      <c r="SL108" s="22"/>
      <c r="SM108" s="22">
        <f t="shared" ref="SM108:SN112" si="247">QC108+QE108+QG108+QI108+QK108+QM108+QO108+QQ108+QS108+QU108+QW108+QY108+RA108+RC108+RE108+RG108+RI108+RK108+RM108+RO108+RQ108+RS108+RU108+RW108+RY108+SA108+SC108+SE108+SG108+SI108+SK108</f>
        <v>0</v>
      </c>
      <c r="SN108" s="22">
        <f t="shared" si="247"/>
        <v>0</v>
      </c>
      <c r="SO108" s="22"/>
      <c r="SP108" s="22"/>
      <c r="SQ108" s="22"/>
      <c r="SR108" s="22"/>
      <c r="SS108" s="22"/>
      <c r="ST108" s="22"/>
      <c r="SU108" s="22"/>
      <c r="SV108" s="22"/>
      <c r="SW108" s="22"/>
      <c r="SX108" s="22"/>
      <c r="SY108" s="22"/>
      <c r="SZ108" s="22"/>
      <c r="TA108" s="22"/>
      <c r="TB108" s="22"/>
      <c r="TC108" s="22"/>
      <c r="TD108" s="22"/>
      <c r="TE108" s="22"/>
      <c r="TF108" s="22"/>
      <c r="TG108" s="22"/>
      <c r="TH108" s="22"/>
      <c r="TI108" s="22"/>
      <c r="TJ108" s="22"/>
      <c r="TK108" s="22"/>
      <c r="TL108" s="22"/>
      <c r="TM108" s="22"/>
      <c r="TN108" s="22"/>
      <c r="TO108" s="22"/>
      <c r="TP108" s="22"/>
      <c r="TQ108" s="22"/>
      <c r="TR108" s="22"/>
      <c r="TS108" s="22"/>
      <c r="TT108" s="22"/>
      <c r="TU108" s="22"/>
      <c r="TV108" s="22"/>
      <c r="TW108" s="22"/>
      <c r="TX108" s="22"/>
      <c r="TY108" s="22"/>
      <c r="TZ108" s="22"/>
      <c r="UA108" s="22"/>
      <c r="UB108" s="22"/>
      <c r="UC108" s="22"/>
      <c r="UD108" s="22"/>
      <c r="UE108" s="22"/>
      <c r="UF108" s="22"/>
      <c r="UG108" s="22"/>
      <c r="UH108" s="22"/>
      <c r="UI108" s="22"/>
      <c r="UJ108" s="22"/>
      <c r="UK108" s="22"/>
      <c r="UL108" s="22"/>
      <c r="UM108" s="22"/>
      <c r="UN108" s="22"/>
      <c r="UO108" s="22"/>
      <c r="UP108" s="22"/>
      <c r="UQ108" s="22"/>
      <c r="UR108" s="22"/>
      <c r="US108" s="22"/>
      <c r="UT108" s="22"/>
      <c r="UU108" s="22"/>
      <c r="UV108" s="22"/>
      <c r="UW108" s="22">
        <f t="shared" ref="UW108:UX112" si="248">SO108+SQ108+SS108+SU108+SW108+SY108+TA108+TC108+TE108+TG108+TI108+TK108+TM108+TO108+TQ108+TS108+TU108+TW108+TY108+UA108+UC108+UE108+UG108+UI108+UK108+UM108+UO108+UQ108+US108+UU108</f>
        <v>0</v>
      </c>
      <c r="UX108" s="22">
        <f t="shared" si="248"/>
        <v>0</v>
      </c>
      <c r="UY108" s="22"/>
      <c r="UZ108" s="22"/>
      <c r="VA108" s="22"/>
      <c r="VB108" s="22"/>
      <c r="VC108" s="22"/>
      <c r="VD108" s="22"/>
      <c r="VE108" s="22"/>
      <c r="VF108" s="22"/>
      <c r="VG108" s="22"/>
      <c r="VH108" s="22"/>
      <c r="VI108" s="22"/>
      <c r="VJ108" s="22"/>
      <c r="VK108" s="22"/>
      <c r="VL108" s="22"/>
      <c r="VM108" s="22"/>
      <c r="VN108" s="22"/>
      <c r="VO108" s="22"/>
      <c r="VP108" s="22"/>
      <c r="VQ108" s="22"/>
      <c r="VR108" s="22"/>
      <c r="VS108" s="22"/>
      <c r="VT108" s="22"/>
      <c r="VU108" s="22"/>
      <c r="VV108" s="22"/>
      <c r="VW108" s="22"/>
      <c r="VX108" s="22"/>
      <c r="VY108" s="22"/>
      <c r="VZ108" s="22"/>
      <c r="WA108" s="22"/>
      <c r="WB108" s="22"/>
      <c r="WC108" s="22"/>
      <c r="WD108" s="22"/>
      <c r="WE108" s="22"/>
      <c r="WF108" s="22"/>
      <c r="WG108" s="22"/>
      <c r="WH108" s="22"/>
      <c r="WI108" s="22"/>
      <c r="WJ108" s="22"/>
      <c r="WK108" s="22"/>
      <c r="WL108" s="22"/>
      <c r="WM108" s="22"/>
      <c r="WN108" s="22"/>
      <c r="WO108" s="22"/>
      <c r="WP108" s="22"/>
      <c r="WQ108" s="22"/>
      <c r="WR108" s="22"/>
      <c r="WS108" s="22"/>
      <c r="WT108" s="22"/>
      <c r="WU108" s="22"/>
      <c r="WV108" s="22"/>
      <c r="WW108" s="22"/>
      <c r="WX108" s="22"/>
      <c r="WY108" s="22"/>
      <c r="WZ108" s="22"/>
      <c r="XA108" s="22"/>
      <c r="XB108" s="22"/>
      <c r="XC108" s="22"/>
      <c r="XD108" s="22"/>
      <c r="XE108" s="22"/>
      <c r="XF108" s="22"/>
      <c r="XG108" s="22"/>
      <c r="XH108" s="22"/>
      <c r="XI108" s="22">
        <f t="shared" ref="XI108:XJ112" si="249">UY108+VA108+VC108+VE108+VG108+VI108+VK108+VM108+VO108+VQ108+VS108+VU108+VW108+VY108+WA108+WC108+WE108+WG108+WI108+WK108+WM108+WO108+WQ108+WS108+WU108+WW108+WY108+XA108+XC108+XE108+XG108</f>
        <v>0</v>
      </c>
      <c r="XJ108" s="22">
        <f t="shared" si="249"/>
        <v>0</v>
      </c>
      <c r="XK108" s="22"/>
      <c r="XL108" s="22"/>
      <c r="XM108" s="22"/>
      <c r="XN108" s="22"/>
      <c r="XO108" s="22"/>
      <c r="XP108" s="22"/>
      <c r="XQ108" s="22"/>
      <c r="XR108" s="22"/>
      <c r="XS108" s="22"/>
      <c r="XT108" s="22"/>
      <c r="XU108" s="22"/>
      <c r="XV108" s="22"/>
      <c r="XW108" s="22"/>
      <c r="XX108" s="22"/>
      <c r="XY108" s="22"/>
      <c r="XZ108" s="22"/>
      <c r="YA108" s="22"/>
      <c r="YB108" s="22"/>
      <c r="YC108" s="22"/>
      <c r="YD108" s="22"/>
      <c r="YE108" s="22"/>
      <c r="YF108" s="22"/>
      <c r="YG108" s="22"/>
      <c r="YH108" s="22"/>
      <c r="YI108" s="22"/>
      <c r="YJ108" s="22"/>
      <c r="YK108" s="22"/>
      <c r="YL108" s="22"/>
      <c r="YM108" s="22"/>
      <c r="YN108" s="22"/>
      <c r="YO108" s="22"/>
      <c r="YP108" s="22"/>
      <c r="YQ108" s="22"/>
      <c r="YR108" s="22"/>
      <c r="YS108" s="22"/>
      <c r="YT108" s="22"/>
      <c r="YU108" s="22"/>
      <c r="YV108" s="22"/>
      <c r="YW108" s="22"/>
      <c r="YX108" s="22"/>
      <c r="YY108" s="22"/>
      <c r="YZ108" s="22"/>
      <c r="ZA108" s="22"/>
      <c r="ZB108" s="22"/>
      <c r="ZC108" s="22"/>
      <c r="ZD108" s="22"/>
      <c r="ZE108" s="22"/>
      <c r="ZF108" s="22"/>
      <c r="ZG108" s="22"/>
      <c r="ZH108" s="22"/>
      <c r="ZI108" s="22"/>
      <c r="ZJ108" s="22"/>
      <c r="ZK108" s="22"/>
      <c r="ZL108" s="22"/>
      <c r="ZM108" s="22"/>
      <c r="ZN108" s="22"/>
      <c r="ZO108" s="22"/>
      <c r="ZP108" s="22"/>
      <c r="ZQ108" s="22"/>
      <c r="ZR108" s="22"/>
      <c r="ZS108" s="22">
        <f t="shared" ref="ZS108:ZT112" si="250">XK108+XM108+XO108+XQ108+XS108+XU108+XW108+XY108+YA108+YC108+YE108+YG108+YI108+YK108+YM108+YO108+YQ108+YS108+YU108+YW108+YY108+ZA108+ZC108+ZE108+ZG108+ZI108+ZK108+ZM108+ZO108+ZQ108</f>
        <v>0</v>
      </c>
      <c r="ZT108" s="22">
        <f t="shared" si="250"/>
        <v>0</v>
      </c>
      <c r="ZU108" s="22"/>
      <c r="ZV108" s="22"/>
      <c r="ZW108" s="22"/>
      <c r="ZX108" s="22"/>
      <c r="ZY108" s="22"/>
      <c r="ZZ108" s="22"/>
      <c r="AAA108" s="22"/>
      <c r="AAB108" s="22"/>
      <c r="AAC108" s="22"/>
      <c r="AAD108" s="22"/>
      <c r="AAE108" s="22"/>
      <c r="AAF108" s="22"/>
      <c r="AAG108" s="22"/>
      <c r="AAH108" s="22"/>
      <c r="AAI108" s="22"/>
      <c r="AAJ108" s="22"/>
      <c r="AAK108" s="22"/>
      <c r="AAL108" s="22"/>
      <c r="AAM108" s="22"/>
      <c r="AAN108" s="22"/>
      <c r="AAO108" s="22"/>
      <c r="AAP108" s="22"/>
      <c r="AAQ108" s="22"/>
      <c r="AAR108" s="22"/>
      <c r="AAS108" s="22"/>
      <c r="AAT108" s="22"/>
      <c r="AAU108" s="22"/>
      <c r="AAV108" s="22"/>
      <c r="AAW108" s="22"/>
      <c r="AAX108" s="22"/>
      <c r="AAY108" s="22"/>
      <c r="AAZ108" s="22"/>
      <c r="ABA108" s="22"/>
      <c r="ABB108" s="22"/>
      <c r="ABC108" s="22"/>
      <c r="ABD108" s="22"/>
      <c r="ABE108" s="22"/>
      <c r="ABF108" s="22"/>
      <c r="ABG108" s="22"/>
      <c r="ABH108" s="22"/>
      <c r="ABI108" s="22"/>
      <c r="ABJ108" s="22"/>
      <c r="ABK108" s="22"/>
      <c r="ABL108" s="22"/>
      <c r="ABM108" s="22"/>
      <c r="ABN108" s="22"/>
      <c r="ABO108" s="22"/>
      <c r="ABP108" s="22"/>
      <c r="ABQ108" s="22"/>
      <c r="ABR108" s="22"/>
      <c r="ABS108" s="22"/>
      <c r="ABT108" s="22"/>
      <c r="ABU108" s="22"/>
      <c r="ABV108" s="22"/>
      <c r="ABW108" s="22"/>
      <c r="ABX108" s="22"/>
      <c r="ABY108" s="22"/>
      <c r="ABZ108" s="22"/>
      <c r="ACA108" s="22"/>
      <c r="ACB108" s="22"/>
      <c r="ACC108" s="22"/>
      <c r="ACD108" s="22"/>
      <c r="ACE108" s="22">
        <f>ZU108+ZW108+ZY108+AAA108+AAC108+AAE108+AAG108+AAI108+AAK108+AAM108+AAO108+AAQ108+AAS108+AAU108+AAW108+AAY108+ABA108+ABC108+ABE108+ABG108+ABI108+ABK108+ABM108+ABO108+ABQ108+ABS108+ABU108+ABW108+ABY108+ACA108+ACC108</f>
        <v>0</v>
      </c>
      <c r="ACF108" s="22"/>
      <c r="ACG108" s="22">
        <f>BO108+DW108+GI108+IS108+LE108+NO108+QA108+SM108+UW108+XI108+ZS108+ACE108</f>
        <v>2567.7000000000003</v>
      </c>
      <c r="ACH108" s="23"/>
      <c r="ACI108" s="71" t="s">
        <v>197</v>
      </c>
      <c r="ACJ108" s="71" t="s">
        <v>102</v>
      </c>
    </row>
    <row r="109" spans="1:764" x14ac:dyDescent="0.25">
      <c r="A109" s="162"/>
      <c r="B109" s="152"/>
      <c r="C109" s="155"/>
      <c r="D109" s="50" t="s">
        <v>7</v>
      </c>
      <c r="E109" s="74">
        <v>393.10000000000008</v>
      </c>
      <c r="F109" s="75">
        <v>402.46000000000004</v>
      </c>
      <c r="G109" s="75">
        <v>250.24999999999997</v>
      </c>
      <c r="H109" s="75">
        <v>230.14000000000001</v>
      </c>
      <c r="I109" s="75">
        <v>342.7</v>
      </c>
      <c r="J109" s="75">
        <v>341.18999999999994</v>
      </c>
      <c r="K109" s="75">
        <v>253.7</v>
      </c>
      <c r="L109" s="75">
        <v>249.96</v>
      </c>
      <c r="M109" s="75">
        <v>114.15</v>
      </c>
      <c r="N109" s="75">
        <v>114.54000000000002</v>
      </c>
      <c r="O109" s="75">
        <v>178.04999999999998</v>
      </c>
      <c r="P109" s="75">
        <v>178.20000000000002</v>
      </c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>
        <v>24.1</v>
      </c>
      <c r="AL109" s="75">
        <v>23.9</v>
      </c>
      <c r="AM109" s="75">
        <v>45.8</v>
      </c>
      <c r="AN109" s="75">
        <v>44.63</v>
      </c>
      <c r="AO109" s="75">
        <v>99.399999999999991</v>
      </c>
      <c r="AP109" s="75">
        <v>92.12</v>
      </c>
      <c r="AQ109" s="75">
        <v>273.95000000000005</v>
      </c>
      <c r="AR109" s="75">
        <v>249.17000000000002</v>
      </c>
      <c r="AS109" s="75">
        <v>112.15</v>
      </c>
      <c r="AT109" s="75">
        <v>111.31999999999998</v>
      </c>
      <c r="AU109" s="75">
        <v>187.70000000000002</v>
      </c>
      <c r="AV109" s="75">
        <v>186.26</v>
      </c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>
        <v>26.3</v>
      </c>
      <c r="BN109" s="75">
        <v>26.2</v>
      </c>
      <c r="BO109" s="24" cm="1">
        <f t="array" ref="BO109">SUMPRODUCT(E109:BM109,--(E$2:BM$2=BO$2))</f>
        <v>2301.35</v>
      </c>
      <c r="BP109" s="24" cm="1">
        <f t="array" ref="BP109">SUMPRODUCT(F109:BN109,--(F$2:BN$2=BP$2))</f>
        <v>2250.09</v>
      </c>
      <c r="BQ109" s="24">
        <v>52.25</v>
      </c>
      <c r="BR109" s="24">
        <v>52.22</v>
      </c>
      <c r="BS109" s="24">
        <v>25.4</v>
      </c>
      <c r="BT109" s="24">
        <v>25.28</v>
      </c>
      <c r="BU109" s="24">
        <v>167.85</v>
      </c>
      <c r="BV109" s="24">
        <v>166.92</v>
      </c>
      <c r="BW109" s="24">
        <v>181.59999999999997</v>
      </c>
      <c r="BX109" s="24">
        <v>181.3</v>
      </c>
      <c r="BY109" s="24">
        <v>97</v>
      </c>
      <c r="BZ109" s="24">
        <v>97.2</v>
      </c>
      <c r="CA109" s="24">
        <v>177.9</v>
      </c>
      <c r="CB109" s="24">
        <v>179.61</v>
      </c>
      <c r="CC109" s="24">
        <v>405.74999999999994</v>
      </c>
      <c r="CD109" s="24">
        <v>411.9</v>
      </c>
      <c r="CE109" s="24">
        <v>273.70000000000005</v>
      </c>
      <c r="CF109" s="24">
        <v>280.86000000000007</v>
      </c>
      <c r="CG109" s="24">
        <v>377.65000000000003</v>
      </c>
      <c r="CH109" s="24">
        <v>378.06</v>
      </c>
      <c r="CI109" s="24">
        <v>322.89999999999998</v>
      </c>
      <c r="CJ109" s="24">
        <v>314.98</v>
      </c>
      <c r="CK109" s="24">
        <v>384.0499999999999</v>
      </c>
      <c r="CL109" s="24">
        <v>376.28000000000009</v>
      </c>
      <c r="CM109" s="24">
        <v>265.90000000000003</v>
      </c>
      <c r="CN109" s="24">
        <v>266.54000000000002</v>
      </c>
      <c r="CO109" s="24">
        <v>415.37</v>
      </c>
      <c r="CP109" s="24">
        <v>400.41000000000008</v>
      </c>
      <c r="CQ109" s="24">
        <v>334.2</v>
      </c>
      <c r="CR109" s="24">
        <v>334.14000000000004</v>
      </c>
      <c r="CS109" s="24">
        <v>721.35</v>
      </c>
      <c r="CT109" s="24">
        <v>718.91999999999985</v>
      </c>
      <c r="CU109" s="24">
        <v>399.1</v>
      </c>
      <c r="CV109" s="24">
        <v>344.01999999999992</v>
      </c>
      <c r="CW109" s="24">
        <v>197.95000000000002</v>
      </c>
      <c r="CX109" s="24">
        <v>185.24</v>
      </c>
      <c r="CY109" s="24">
        <v>133.69999999999999</v>
      </c>
      <c r="CZ109" s="24">
        <v>134.38</v>
      </c>
      <c r="DA109" s="24">
        <v>65.3</v>
      </c>
      <c r="DB109" s="24">
        <v>65.8</v>
      </c>
      <c r="DC109" s="24">
        <v>138.95000000000002</v>
      </c>
      <c r="DD109" s="24">
        <v>138.56</v>
      </c>
      <c r="DE109" s="24">
        <v>323.34999999999991</v>
      </c>
      <c r="DF109" s="24">
        <v>323.60000000000002</v>
      </c>
      <c r="DG109" s="24">
        <v>60.7</v>
      </c>
      <c r="DH109" s="24">
        <v>60.34</v>
      </c>
      <c r="DI109" s="24">
        <v>127.6</v>
      </c>
      <c r="DJ109" s="24">
        <v>127.14</v>
      </c>
      <c r="DK109" s="24">
        <v>290.55000000000007</v>
      </c>
      <c r="DL109" s="24">
        <v>290.53999999999996</v>
      </c>
      <c r="DM109" s="24">
        <v>95.5</v>
      </c>
      <c r="DN109" s="24">
        <v>95.28</v>
      </c>
      <c r="DO109" s="24">
        <v>140.6</v>
      </c>
      <c r="DP109" s="24">
        <v>139.63999999999999</v>
      </c>
      <c r="DQ109" s="24">
        <v>128.65</v>
      </c>
      <c r="DR109" s="24">
        <v>127.82000000000001</v>
      </c>
      <c r="DS109" s="24">
        <v>141.1</v>
      </c>
      <c r="DT109" s="24">
        <v>140.56</v>
      </c>
      <c r="DU109" s="24"/>
      <c r="DV109" s="24"/>
      <c r="DW109" s="24" cm="1">
        <f t="array" ref="DW109">SUMPRODUCT(BQ109:DU109,--(BQ$2:DU$2=DW$2))</f>
        <v>6445.92</v>
      </c>
      <c r="DX109" s="24" cm="1">
        <f t="array" ref="DX109">SUMPRODUCT(BR109:DV109,--(BR$2:DV$2=DX$2))</f>
        <v>6357.5400000000009</v>
      </c>
      <c r="DY109" s="24">
        <v>131.04999999999998</v>
      </c>
      <c r="DZ109" s="24">
        <v>130.30000000000001</v>
      </c>
      <c r="EA109" s="24">
        <v>400.2</v>
      </c>
      <c r="EB109" s="24">
        <v>395.28000000000014</v>
      </c>
      <c r="EC109" s="24">
        <v>430.6</v>
      </c>
      <c r="ED109" s="24">
        <v>430.48</v>
      </c>
      <c r="EE109" s="24">
        <v>220.65</v>
      </c>
      <c r="EF109" s="24">
        <v>219.70000000000002</v>
      </c>
      <c r="EG109" s="24">
        <v>172.2</v>
      </c>
      <c r="EH109" s="24">
        <v>172.14000000000001</v>
      </c>
      <c r="EI109" s="24">
        <v>96</v>
      </c>
      <c r="EJ109" s="24">
        <v>95.86</v>
      </c>
      <c r="EK109" s="24">
        <v>269.8</v>
      </c>
      <c r="EL109" s="24">
        <v>267.72000000000003</v>
      </c>
      <c r="EM109" s="24">
        <v>306.14999999999998</v>
      </c>
      <c r="EN109" s="24">
        <v>303.35999999999996</v>
      </c>
      <c r="EO109" s="24">
        <v>198.99999999999997</v>
      </c>
      <c r="EP109" s="24">
        <v>198.57999999999998</v>
      </c>
      <c r="EQ109" s="24">
        <v>348.40000000000009</v>
      </c>
      <c r="ER109" s="24">
        <v>344.93999999999994</v>
      </c>
      <c r="ES109" s="24">
        <v>163.25</v>
      </c>
      <c r="ET109" s="24">
        <v>159.80000000000001</v>
      </c>
      <c r="EU109" s="24">
        <v>146.05000000000001</v>
      </c>
      <c r="EV109" s="24">
        <v>144.84</v>
      </c>
      <c r="EW109" s="24">
        <v>232.89999999999998</v>
      </c>
      <c r="EX109" s="24">
        <v>227.1</v>
      </c>
      <c r="EY109" s="24">
        <v>395.75</v>
      </c>
      <c r="EZ109" s="24">
        <v>392.16</v>
      </c>
      <c r="FA109" s="24">
        <v>204.45</v>
      </c>
      <c r="FB109" s="24">
        <v>205.20000000000002</v>
      </c>
      <c r="FC109" s="24">
        <v>165.35000000000002</v>
      </c>
      <c r="FD109" s="24">
        <v>165.44</v>
      </c>
      <c r="FE109" s="24">
        <v>167.55</v>
      </c>
      <c r="FF109" s="24">
        <v>166.92000000000002</v>
      </c>
      <c r="FG109" s="24">
        <v>118.85</v>
      </c>
      <c r="FH109" s="24">
        <v>118.03999999999999</v>
      </c>
      <c r="FI109" s="24">
        <v>59.300000000000004</v>
      </c>
      <c r="FJ109" s="24">
        <v>59.16</v>
      </c>
      <c r="FK109" s="24">
        <v>171.4</v>
      </c>
      <c r="FL109" s="24">
        <v>170.95999999999998</v>
      </c>
      <c r="FM109" s="24">
        <v>248.55</v>
      </c>
      <c r="FN109" s="24">
        <v>248.5</v>
      </c>
      <c r="FO109" s="24">
        <v>127.55000000000001</v>
      </c>
      <c r="FP109" s="24">
        <v>127.5</v>
      </c>
      <c r="FQ109" s="24">
        <v>41.05</v>
      </c>
      <c r="FR109" s="24">
        <v>40.72</v>
      </c>
      <c r="FS109" s="24">
        <v>77.25</v>
      </c>
      <c r="FT109" s="24">
        <v>77.199999999999989</v>
      </c>
      <c r="FU109" s="24">
        <v>122.2</v>
      </c>
      <c r="FV109" s="24">
        <v>121.80000000000001</v>
      </c>
      <c r="FW109" s="24">
        <v>237.04999999999998</v>
      </c>
      <c r="FX109" s="24">
        <v>235.42000000000002</v>
      </c>
      <c r="FY109" s="24">
        <v>181.75</v>
      </c>
      <c r="FZ109" s="24">
        <v>180.82</v>
      </c>
      <c r="GA109" s="24">
        <v>144.80000000000001</v>
      </c>
      <c r="GB109" s="24">
        <v>143.56</v>
      </c>
      <c r="GC109" s="24">
        <v>148.9</v>
      </c>
      <c r="GD109" s="24">
        <v>148.32</v>
      </c>
      <c r="GE109" s="24">
        <v>150.79999999999998</v>
      </c>
      <c r="GF109" s="24">
        <v>150.04000000000002</v>
      </c>
      <c r="GG109" s="24">
        <v>55</v>
      </c>
      <c r="GH109" s="24">
        <v>54.78</v>
      </c>
      <c r="GI109" s="24" cm="1">
        <f t="array" ref="GI109">SUMPRODUCT(DY109:GG109,--(DY$2:GG$2=GI$2))</f>
        <v>5933.8000000000011</v>
      </c>
      <c r="GJ109" s="24" cm="1">
        <f t="array" ref="GJ109">SUMPRODUCT(DZ109:GH109,--(DZ$2:GH$2=GJ$2))</f>
        <v>5896.64</v>
      </c>
      <c r="GK109" s="24">
        <v>43.85</v>
      </c>
      <c r="GL109" s="24">
        <v>43.519999999999996</v>
      </c>
      <c r="GM109" s="24">
        <v>86.15</v>
      </c>
      <c r="GN109" s="24">
        <v>86.02</v>
      </c>
      <c r="GO109" s="24">
        <v>9.5</v>
      </c>
      <c r="GP109" s="24">
        <v>8.82</v>
      </c>
      <c r="GQ109" s="24">
        <v>174.39999999999998</v>
      </c>
      <c r="GR109" s="24">
        <v>167.29999999999998</v>
      </c>
      <c r="GS109" s="24">
        <v>99.7</v>
      </c>
      <c r="GT109" s="24">
        <v>99.4</v>
      </c>
      <c r="GU109" s="24">
        <v>70.5</v>
      </c>
      <c r="GV109" s="24">
        <v>69.98</v>
      </c>
      <c r="GW109" s="24">
        <v>145.30000000000001</v>
      </c>
      <c r="GX109" s="24">
        <v>144.36000000000001</v>
      </c>
      <c r="GY109" s="24">
        <v>69.5</v>
      </c>
      <c r="GZ109" s="24">
        <v>68.84</v>
      </c>
      <c r="HA109" s="24">
        <v>25.45</v>
      </c>
      <c r="HB109" s="24">
        <v>25.28</v>
      </c>
      <c r="HC109" s="24"/>
      <c r="HD109" s="24"/>
      <c r="HE109" s="24">
        <v>85.3</v>
      </c>
      <c r="HF109" s="24">
        <v>85.259999999999991</v>
      </c>
      <c r="HG109" s="24">
        <v>105.25</v>
      </c>
      <c r="HH109" s="24">
        <v>104.82</v>
      </c>
      <c r="HI109" s="24">
        <v>139.1</v>
      </c>
      <c r="HJ109" s="24">
        <v>138.44</v>
      </c>
      <c r="HK109" s="24">
        <v>178.95000000000002</v>
      </c>
      <c r="HL109" s="24">
        <v>178.16</v>
      </c>
      <c r="HM109" s="24">
        <v>145.75</v>
      </c>
      <c r="HN109" s="24">
        <v>145.07999999999998</v>
      </c>
      <c r="HO109" s="24">
        <v>125.29999999999998</v>
      </c>
      <c r="HP109" s="24">
        <v>125.19999999999999</v>
      </c>
      <c r="HQ109" s="24">
        <v>207.7</v>
      </c>
      <c r="HR109" s="24">
        <v>207.42000000000002</v>
      </c>
      <c r="HS109" s="24">
        <v>109.1</v>
      </c>
      <c r="HT109" s="24">
        <v>101.12</v>
      </c>
      <c r="HU109" s="24">
        <v>130.35</v>
      </c>
      <c r="HV109" s="24">
        <v>129.28</v>
      </c>
      <c r="HW109" s="24">
        <v>121.1</v>
      </c>
      <c r="HX109" s="24">
        <v>121.82</v>
      </c>
      <c r="HY109" s="24"/>
      <c r="HZ109" s="24"/>
      <c r="IA109" s="24"/>
      <c r="IB109" s="24"/>
      <c r="IC109" s="24"/>
      <c r="ID109" s="24"/>
      <c r="IE109" s="24"/>
      <c r="IF109" s="24"/>
      <c r="IG109" s="24"/>
      <c r="IH109" s="24"/>
      <c r="II109" s="24"/>
      <c r="IJ109" s="24"/>
      <c r="IK109" s="24"/>
      <c r="IL109" s="24"/>
      <c r="IM109" s="24"/>
      <c r="IN109" s="24"/>
      <c r="IO109" s="24"/>
      <c r="IP109" s="24"/>
      <c r="IQ109" s="24"/>
      <c r="IR109" s="24"/>
      <c r="IS109" s="24">
        <f t="shared" si="243"/>
        <v>2072.25</v>
      </c>
      <c r="IT109" s="24">
        <f t="shared" si="243"/>
        <v>2050.12</v>
      </c>
      <c r="IU109" s="24"/>
      <c r="IV109" s="24"/>
      <c r="IW109" s="24"/>
      <c r="IX109" s="24"/>
      <c r="IY109" s="24"/>
      <c r="IZ109" s="24"/>
      <c r="JA109" s="24"/>
      <c r="JB109" s="24"/>
      <c r="JC109" s="24"/>
      <c r="JD109" s="24"/>
      <c r="JE109" s="24"/>
      <c r="JF109" s="24"/>
      <c r="JG109" s="24"/>
      <c r="JH109" s="24"/>
      <c r="JI109" s="24"/>
      <c r="JJ109" s="24"/>
      <c r="JK109" s="24"/>
      <c r="JL109" s="24"/>
      <c r="JM109" s="24"/>
      <c r="JN109" s="24"/>
      <c r="JO109" s="24"/>
      <c r="JP109" s="24"/>
      <c r="JQ109" s="24"/>
      <c r="JR109" s="24"/>
      <c r="JS109" s="24"/>
      <c r="JT109" s="24"/>
      <c r="JU109" s="24"/>
      <c r="JV109" s="24"/>
      <c r="JW109" s="24"/>
      <c r="JX109" s="24"/>
      <c r="JY109" s="24"/>
      <c r="JZ109" s="24"/>
      <c r="KA109" s="24"/>
      <c r="KB109" s="24"/>
      <c r="KC109" s="24"/>
      <c r="KD109" s="24"/>
      <c r="KE109" s="24"/>
      <c r="KF109" s="24"/>
      <c r="KG109" s="24"/>
      <c r="KH109" s="24"/>
      <c r="KI109" s="24"/>
      <c r="KJ109" s="24"/>
      <c r="KK109" s="24"/>
      <c r="KL109" s="24"/>
      <c r="KM109" s="24"/>
      <c r="KN109" s="24"/>
      <c r="KO109" s="24"/>
      <c r="KP109" s="24"/>
      <c r="KQ109" s="24"/>
      <c r="KR109" s="24"/>
      <c r="KS109" s="24"/>
      <c r="KT109" s="24"/>
      <c r="KU109" s="24"/>
      <c r="KV109" s="24"/>
      <c r="KW109" s="24"/>
      <c r="KX109" s="24"/>
      <c r="KY109" s="24"/>
      <c r="KZ109" s="24"/>
      <c r="LA109" s="24"/>
      <c r="LB109" s="24"/>
      <c r="LC109" s="24"/>
      <c r="LD109" s="24"/>
      <c r="LE109" s="24">
        <f t="shared" si="244"/>
        <v>0</v>
      </c>
      <c r="LF109" s="24">
        <f t="shared" si="244"/>
        <v>0</v>
      </c>
      <c r="LG109" s="24"/>
      <c r="LH109" s="24"/>
      <c r="LI109" s="24"/>
      <c r="LJ109" s="24"/>
      <c r="LK109" s="24"/>
      <c r="LL109" s="24"/>
      <c r="LM109" s="24"/>
      <c r="LN109" s="24"/>
      <c r="LO109" s="24"/>
      <c r="LP109" s="24"/>
      <c r="LQ109" s="24"/>
      <c r="LR109" s="24"/>
      <c r="LS109" s="24"/>
      <c r="LT109" s="24"/>
      <c r="LU109" s="24"/>
      <c r="LV109" s="24"/>
      <c r="LW109" s="24"/>
      <c r="LX109" s="24"/>
      <c r="LY109" s="24"/>
      <c r="LZ109" s="24"/>
      <c r="MA109" s="24"/>
      <c r="MB109" s="24"/>
      <c r="MC109" s="24"/>
      <c r="MD109" s="24"/>
      <c r="ME109" s="24"/>
      <c r="MF109" s="24"/>
      <c r="MG109" s="24"/>
      <c r="MH109" s="24"/>
      <c r="MI109" s="24"/>
      <c r="MJ109" s="24"/>
      <c r="MK109" s="24"/>
      <c r="ML109" s="24"/>
      <c r="MM109" s="24"/>
      <c r="MN109" s="24"/>
      <c r="MO109" s="24"/>
      <c r="MP109" s="24"/>
      <c r="MQ109" s="24"/>
      <c r="MR109" s="24"/>
      <c r="MS109" s="24"/>
      <c r="MT109" s="24"/>
      <c r="MU109" s="24"/>
      <c r="MV109" s="24"/>
      <c r="MW109" s="24"/>
      <c r="MX109" s="24"/>
      <c r="MY109" s="24"/>
      <c r="MZ109" s="24"/>
      <c r="NA109" s="24"/>
      <c r="NB109" s="24"/>
      <c r="NC109" s="24"/>
      <c r="ND109" s="24"/>
      <c r="NE109" s="24"/>
      <c r="NF109" s="24"/>
      <c r="NG109" s="24"/>
      <c r="NH109" s="24"/>
      <c r="NI109" s="24"/>
      <c r="NJ109" s="24"/>
      <c r="NK109" s="24"/>
      <c r="NL109" s="24"/>
      <c r="NM109" s="24"/>
      <c r="NN109" s="24"/>
      <c r="NO109" s="24">
        <f t="shared" si="245"/>
        <v>0</v>
      </c>
      <c r="NP109" s="24">
        <f t="shared" si="245"/>
        <v>0</v>
      </c>
      <c r="NQ109" s="24"/>
      <c r="NR109" s="24"/>
      <c r="NS109" s="24"/>
      <c r="NT109" s="24"/>
      <c r="NU109" s="24"/>
      <c r="NV109" s="24"/>
      <c r="NW109" s="24"/>
      <c r="NX109" s="24"/>
      <c r="NY109" s="24"/>
      <c r="NZ109" s="24"/>
      <c r="OA109" s="24"/>
      <c r="OB109" s="24"/>
      <c r="OC109" s="24"/>
      <c r="OD109" s="24"/>
      <c r="OE109" s="24"/>
      <c r="OF109" s="24"/>
      <c r="OG109" s="24"/>
      <c r="OH109" s="24"/>
      <c r="OI109" s="24"/>
      <c r="OJ109" s="24"/>
      <c r="OK109" s="24"/>
      <c r="OL109" s="24"/>
      <c r="OM109" s="24"/>
      <c r="ON109" s="24"/>
      <c r="OO109" s="24"/>
      <c r="OP109" s="24"/>
      <c r="OQ109" s="24"/>
      <c r="OR109" s="24"/>
      <c r="OS109" s="24"/>
      <c r="OT109" s="24"/>
      <c r="OU109" s="24"/>
      <c r="OV109" s="24"/>
      <c r="OW109" s="24"/>
      <c r="OX109" s="24"/>
      <c r="OY109" s="24"/>
      <c r="OZ109" s="24"/>
      <c r="PA109" s="24"/>
      <c r="PB109" s="24"/>
      <c r="PC109" s="24"/>
      <c r="PD109" s="24"/>
      <c r="PE109" s="24"/>
      <c r="PF109" s="24"/>
      <c r="PG109" s="24"/>
      <c r="PH109" s="24"/>
      <c r="PI109" s="24"/>
      <c r="PJ109" s="24"/>
      <c r="PK109" s="24"/>
      <c r="PL109" s="24"/>
      <c r="PM109" s="24"/>
      <c r="PN109" s="24"/>
      <c r="PO109" s="24"/>
      <c r="PP109" s="24"/>
      <c r="PQ109" s="24"/>
      <c r="PR109" s="24"/>
      <c r="PS109" s="24"/>
      <c r="PT109" s="24"/>
      <c r="PU109" s="24"/>
      <c r="PV109" s="24"/>
      <c r="PW109" s="24"/>
      <c r="PX109" s="24"/>
      <c r="PY109" s="24"/>
      <c r="PZ109" s="24"/>
      <c r="QA109" s="24">
        <f t="shared" si="246"/>
        <v>0</v>
      </c>
      <c r="QB109" s="24">
        <f t="shared" si="246"/>
        <v>0</v>
      </c>
      <c r="QC109" s="24"/>
      <c r="QD109" s="24"/>
      <c r="QE109" s="24"/>
      <c r="QF109" s="24"/>
      <c r="QG109" s="24"/>
      <c r="QH109" s="24"/>
      <c r="QI109" s="24"/>
      <c r="QJ109" s="24"/>
      <c r="QK109" s="24"/>
      <c r="QL109" s="24"/>
      <c r="QM109" s="24"/>
      <c r="QN109" s="24"/>
      <c r="QO109" s="24"/>
      <c r="QP109" s="24"/>
      <c r="QQ109" s="24"/>
      <c r="QR109" s="24"/>
      <c r="QS109" s="24"/>
      <c r="QT109" s="24"/>
      <c r="QU109" s="24"/>
      <c r="QV109" s="24"/>
      <c r="QW109" s="24"/>
      <c r="QX109" s="24"/>
      <c r="QY109" s="24"/>
      <c r="QZ109" s="24"/>
      <c r="RA109" s="24"/>
      <c r="RB109" s="24"/>
      <c r="RC109" s="24"/>
      <c r="RD109" s="24"/>
      <c r="RE109" s="24"/>
      <c r="RF109" s="24"/>
      <c r="RG109" s="24"/>
      <c r="RH109" s="24"/>
      <c r="RI109" s="24"/>
      <c r="RJ109" s="24"/>
      <c r="RK109" s="24"/>
      <c r="RL109" s="24"/>
      <c r="RM109" s="24"/>
      <c r="RN109" s="24"/>
      <c r="RO109" s="24"/>
      <c r="RP109" s="24"/>
      <c r="RQ109" s="24"/>
      <c r="RR109" s="24"/>
      <c r="RS109" s="24"/>
      <c r="RT109" s="24"/>
      <c r="RU109" s="24"/>
      <c r="RV109" s="24"/>
      <c r="RW109" s="24"/>
      <c r="RX109" s="24"/>
      <c r="RY109" s="24"/>
      <c r="RZ109" s="24"/>
      <c r="SA109" s="24"/>
      <c r="SB109" s="24"/>
      <c r="SC109" s="24"/>
      <c r="SD109" s="24"/>
      <c r="SE109" s="24"/>
      <c r="SF109" s="24"/>
      <c r="SG109" s="24"/>
      <c r="SH109" s="24"/>
      <c r="SI109" s="24"/>
      <c r="SJ109" s="24"/>
      <c r="SK109" s="24"/>
      <c r="SL109" s="24"/>
      <c r="SM109" s="24">
        <f t="shared" si="247"/>
        <v>0</v>
      </c>
      <c r="SN109" s="24">
        <f t="shared" si="247"/>
        <v>0</v>
      </c>
      <c r="SO109" s="24"/>
      <c r="SP109" s="24"/>
      <c r="SQ109" s="24"/>
      <c r="SR109" s="24"/>
      <c r="SS109" s="24"/>
      <c r="ST109" s="24"/>
      <c r="SU109" s="24"/>
      <c r="SV109" s="24"/>
      <c r="SW109" s="24"/>
      <c r="SX109" s="24"/>
      <c r="SY109" s="24"/>
      <c r="SZ109" s="24"/>
      <c r="TA109" s="24"/>
      <c r="TB109" s="24"/>
      <c r="TC109" s="24"/>
      <c r="TD109" s="24"/>
      <c r="TE109" s="24"/>
      <c r="TF109" s="24"/>
      <c r="TG109" s="24"/>
      <c r="TH109" s="24"/>
      <c r="TI109" s="24"/>
      <c r="TJ109" s="24"/>
      <c r="TK109" s="24"/>
      <c r="TL109" s="24"/>
      <c r="TM109" s="24"/>
      <c r="TN109" s="24"/>
      <c r="TO109" s="24"/>
      <c r="TP109" s="24"/>
      <c r="TQ109" s="24"/>
      <c r="TR109" s="24"/>
      <c r="TS109" s="24"/>
      <c r="TT109" s="24"/>
      <c r="TU109" s="24"/>
      <c r="TV109" s="24"/>
      <c r="TW109" s="24"/>
      <c r="TX109" s="24"/>
      <c r="TY109" s="24"/>
      <c r="TZ109" s="24"/>
      <c r="UA109" s="24"/>
      <c r="UB109" s="24"/>
      <c r="UC109" s="24"/>
      <c r="UD109" s="24"/>
      <c r="UE109" s="24"/>
      <c r="UF109" s="24"/>
      <c r="UG109" s="24"/>
      <c r="UH109" s="24"/>
      <c r="UI109" s="24"/>
      <c r="UJ109" s="24"/>
      <c r="UK109" s="24"/>
      <c r="UL109" s="24"/>
      <c r="UM109" s="24"/>
      <c r="UN109" s="24"/>
      <c r="UO109" s="24"/>
      <c r="UP109" s="24"/>
      <c r="UQ109" s="24"/>
      <c r="UR109" s="24"/>
      <c r="US109" s="24"/>
      <c r="UT109" s="24"/>
      <c r="UU109" s="24"/>
      <c r="UV109" s="24"/>
      <c r="UW109" s="24">
        <f t="shared" si="248"/>
        <v>0</v>
      </c>
      <c r="UX109" s="24">
        <f t="shared" si="248"/>
        <v>0</v>
      </c>
      <c r="UY109" s="24"/>
      <c r="UZ109" s="24"/>
      <c r="VA109" s="24"/>
      <c r="VB109" s="24"/>
      <c r="VC109" s="24"/>
      <c r="VD109" s="24"/>
      <c r="VE109" s="24"/>
      <c r="VF109" s="24"/>
      <c r="VG109" s="24"/>
      <c r="VH109" s="24"/>
      <c r="VI109" s="24"/>
      <c r="VJ109" s="24"/>
      <c r="VK109" s="24"/>
      <c r="VL109" s="24"/>
      <c r="VM109" s="24"/>
      <c r="VN109" s="24"/>
      <c r="VO109" s="24"/>
      <c r="VP109" s="24"/>
      <c r="VQ109" s="24"/>
      <c r="VR109" s="24"/>
      <c r="VS109" s="24"/>
      <c r="VT109" s="24"/>
      <c r="VU109" s="24"/>
      <c r="VV109" s="24"/>
      <c r="VW109" s="24"/>
      <c r="VX109" s="24"/>
      <c r="VY109" s="24"/>
      <c r="VZ109" s="24"/>
      <c r="WA109" s="24"/>
      <c r="WB109" s="24"/>
      <c r="WC109" s="24"/>
      <c r="WD109" s="24"/>
      <c r="WE109" s="24"/>
      <c r="WF109" s="24"/>
      <c r="WG109" s="24"/>
      <c r="WH109" s="24"/>
      <c r="WI109" s="24"/>
      <c r="WJ109" s="24"/>
      <c r="WK109" s="24"/>
      <c r="WL109" s="24"/>
      <c r="WM109" s="24"/>
      <c r="WN109" s="24"/>
      <c r="WO109" s="24"/>
      <c r="WP109" s="24"/>
      <c r="WQ109" s="24"/>
      <c r="WR109" s="24"/>
      <c r="WS109" s="24"/>
      <c r="WT109" s="24"/>
      <c r="WU109" s="24"/>
      <c r="WV109" s="24"/>
      <c r="WW109" s="24"/>
      <c r="WX109" s="24"/>
      <c r="WY109" s="24"/>
      <c r="WZ109" s="24"/>
      <c r="XA109" s="24"/>
      <c r="XB109" s="24"/>
      <c r="XC109" s="24"/>
      <c r="XD109" s="24"/>
      <c r="XE109" s="24"/>
      <c r="XF109" s="24"/>
      <c r="XG109" s="24"/>
      <c r="XH109" s="24"/>
      <c r="XI109" s="24">
        <f t="shared" si="249"/>
        <v>0</v>
      </c>
      <c r="XJ109" s="24">
        <f t="shared" si="249"/>
        <v>0</v>
      </c>
      <c r="XK109" s="24"/>
      <c r="XL109" s="24"/>
      <c r="XM109" s="24"/>
      <c r="XN109" s="24"/>
      <c r="XO109" s="24"/>
      <c r="XP109" s="24"/>
      <c r="XQ109" s="24"/>
      <c r="XR109" s="24"/>
      <c r="XS109" s="24"/>
      <c r="XT109" s="24"/>
      <c r="XU109" s="24"/>
      <c r="XV109" s="24"/>
      <c r="XW109" s="24"/>
      <c r="XX109" s="24"/>
      <c r="XY109" s="24"/>
      <c r="XZ109" s="24"/>
      <c r="YA109" s="24"/>
      <c r="YB109" s="24"/>
      <c r="YC109" s="24"/>
      <c r="YD109" s="24"/>
      <c r="YE109" s="24"/>
      <c r="YF109" s="24"/>
      <c r="YG109" s="24"/>
      <c r="YH109" s="24"/>
      <c r="YI109" s="24"/>
      <c r="YJ109" s="24"/>
      <c r="YK109" s="24"/>
      <c r="YL109" s="24"/>
      <c r="YM109" s="24"/>
      <c r="YN109" s="24"/>
      <c r="YO109" s="24"/>
      <c r="YP109" s="24"/>
      <c r="YQ109" s="24"/>
      <c r="YR109" s="24"/>
      <c r="YS109" s="24"/>
      <c r="YT109" s="24"/>
      <c r="YU109" s="24"/>
      <c r="YV109" s="24"/>
      <c r="YW109" s="24"/>
      <c r="YX109" s="24"/>
      <c r="YY109" s="24"/>
      <c r="YZ109" s="24"/>
      <c r="ZA109" s="24"/>
      <c r="ZB109" s="24"/>
      <c r="ZC109" s="24"/>
      <c r="ZD109" s="24"/>
      <c r="ZE109" s="24"/>
      <c r="ZF109" s="24"/>
      <c r="ZG109" s="24"/>
      <c r="ZH109" s="24"/>
      <c r="ZI109" s="24"/>
      <c r="ZJ109" s="24"/>
      <c r="ZK109" s="24"/>
      <c r="ZL109" s="24"/>
      <c r="ZM109" s="24"/>
      <c r="ZN109" s="24"/>
      <c r="ZO109" s="24"/>
      <c r="ZP109" s="24"/>
      <c r="ZQ109" s="24"/>
      <c r="ZR109" s="24"/>
      <c r="ZS109" s="24">
        <f t="shared" si="250"/>
        <v>0</v>
      </c>
      <c r="ZT109" s="24">
        <f t="shared" si="250"/>
        <v>0</v>
      </c>
      <c r="ZU109" s="24"/>
      <c r="ZV109" s="24"/>
      <c r="ZW109" s="24"/>
      <c r="ZX109" s="24"/>
      <c r="ZY109" s="24"/>
      <c r="ZZ109" s="24"/>
      <c r="AAA109" s="24"/>
      <c r="AAB109" s="24"/>
      <c r="AAC109" s="24"/>
      <c r="AAD109" s="24"/>
      <c r="AAE109" s="24"/>
      <c r="AAF109" s="24"/>
      <c r="AAG109" s="24"/>
      <c r="AAH109" s="24"/>
      <c r="AAI109" s="24"/>
      <c r="AAJ109" s="24"/>
      <c r="AAK109" s="24"/>
      <c r="AAL109" s="24"/>
      <c r="AAM109" s="24"/>
      <c r="AAN109" s="24"/>
      <c r="AAO109" s="24"/>
      <c r="AAP109" s="24"/>
      <c r="AAQ109" s="24"/>
      <c r="AAR109" s="24"/>
      <c r="AAS109" s="24"/>
      <c r="AAT109" s="24"/>
      <c r="AAU109" s="24"/>
      <c r="AAV109" s="24"/>
      <c r="AAW109" s="24"/>
      <c r="AAX109" s="24"/>
      <c r="AAY109" s="24"/>
      <c r="AAZ109" s="24"/>
      <c r="ABA109" s="24"/>
      <c r="ABB109" s="24"/>
      <c r="ABC109" s="24"/>
      <c r="ABD109" s="24"/>
      <c r="ABE109" s="24"/>
      <c r="ABF109" s="24"/>
      <c r="ABG109" s="24"/>
      <c r="ABH109" s="24"/>
      <c r="ABI109" s="24"/>
      <c r="ABJ109" s="24"/>
      <c r="ABK109" s="24"/>
      <c r="ABL109" s="24"/>
      <c r="ABM109" s="24"/>
      <c r="ABN109" s="24"/>
      <c r="ABO109" s="24"/>
      <c r="ABP109" s="24"/>
      <c r="ABQ109" s="24"/>
      <c r="ABR109" s="24"/>
      <c r="ABS109" s="24"/>
      <c r="ABT109" s="24"/>
      <c r="ABU109" s="24"/>
      <c r="ABV109" s="24"/>
      <c r="ABW109" s="24"/>
      <c r="ABX109" s="24"/>
      <c r="ABY109" s="24"/>
      <c r="ABZ109" s="24"/>
      <c r="ACA109" s="24"/>
      <c r="ACB109" s="24"/>
      <c r="ACC109" s="24"/>
      <c r="ACD109" s="24"/>
      <c r="ACE109" s="24">
        <f>ZU109+ZW109+ZY109+AAA109+AAC109+AAE109+AAG109+AAI109+AAK109+AAM109+AAO109+AAQ109+AAS109+AAU109+AAW109+AAY109+ABA109+ABC109+ABE109+ABG109+ABI109+ABK109+ABM109+ABO109+ABQ109+ABS109+ABU109+ABW109+ABY109+ACA109+ACC109</f>
        <v>0</v>
      </c>
      <c r="ACF109" s="24"/>
      <c r="ACG109" s="24">
        <f>BO109+DW109+GI109+IS109+LE109+NO109+QA109+SM109+UW109+XI109+ZS109+ACE109</f>
        <v>16753.32</v>
      </c>
      <c r="ACH109" s="25"/>
      <c r="ACI109" s="71" t="s">
        <v>198</v>
      </c>
      <c r="ACJ109" s="71" t="s">
        <v>102</v>
      </c>
    </row>
    <row r="110" spans="1:764" x14ac:dyDescent="0.25">
      <c r="A110" s="162"/>
      <c r="B110" s="152"/>
      <c r="C110" s="155"/>
      <c r="D110" s="50" t="s">
        <v>4</v>
      </c>
      <c r="E110" s="74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24" cm="1">
        <f t="array" ref="BO110">SUMPRODUCT(E110:BM110,--(E$2:BM$2=BO$2))</f>
        <v>0</v>
      </c>
      <c r="BP110" s="24" cm="1">
        <f t="array" ref="BP110">SUMPRODUCT(F110:BN110,--(F$2:BN$2=BP$2))</f>
        <v>0</v>
      </c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4"/>
      <c r="CW110" s="24"/>
      <c r="CX110" s="24"/>
      <c r="CY110" s="24"/>
      <c r="CZ110" s="24"/>
      <c r="DA110" s="24"/>
      <c r="DB110" s="24"/>
      <c r="DC110" s="24"/>
      <c r="DD110" s="24"/>
      <c r="DE110" s="24"/>
      <c r="DF110" s="24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 cm="1">
        <f t="array" ref="DW110">SUMPRODUCT(BQ110:DU110,--(BQ$2:DU$2=DW$2))</f>
        <v>0</v>
      </c>
      <c r="DX110" s="24" cm="1">
        <f t="array" ref="DX110">SUMPRODUCT(BR110:DV110,--(BR$2:DV$2=DX$2))</f>
        <v>0</v>
      </c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  <c r="ES110" s="24"/>
      <c r="ET110" s="24"/>
      <c r="EU110" s="24"/>
      <c r="EV110" s="24"/>
      <c r="EW110" s="24"/>
      <c r="EX110" s="24"/>
      <c r="EY110" s="24"/>
      <c r="EZ110" s="24"/>
      <c r="FA110" s="24"/>
      <c r="FB110" s="24"/>
      <c r="FC110" s="24"/>
      <c r="FD110" s="24"/>
      <c r="FE110" s="24"/>
      <c r="FF110" s="24"/>
      <c r="FG110" s="24"/>
      <c r="FH110" s="24"/>
      <c r="FI110" s="24"/>
      <c r="FJ110" s="24"/>
      <c r="FK110" s="24"/>
      <c r="FL110" s="24"/>
      <c r="FM110" s="24"/>
      <c r="FN110" s="24"/>
      <c r="FO110" s="24"/>
      <c r="FP110" s="24"/>
      <c r="FQ110" s="24"/>
      <c r="FR110" s="24"/>
      <c r="FS110" s="24"/>
      <c r="FT110" s="24"/>
      <c r="FU110" s="24"/>
      <c r="FV110" s="24"/>
      <c r="FW110" s="24"/>
      <c r="FX110" s="24"/>
      <c r="FY110" s="24"/>
      <c r="FZ110" s="24"/>
      <c r="GA110" s="24"/>
      <c r="GB110" s="24"/>
      <c r="GC110" s="24"/>
      <c r="GD110" s="24"/>
      <c r="GE110" s="24"/>
      <c r="GF110" s="24"/>
      <c r="GG110" s="24"/>
      <c r="GH110" s="24"/>
      <c r="GI110" s="24" cm="1">
        <f t="array" ref="GI110">SUMPRODUCT(DY110:GG110,--(DY$2:GG$2=GI$2))</f>
        <v>0</v>
      </c>
      <c r="GJ110" s="24" cm="1">
        <f t="array" ref="GJ110">SUMPRODUCT(DZ110:GH110,--(DZ$2:GH$2=GJ$2))</f>
        <v>0</v>
      </c>
      <c r="GK110" s="24"/>
      <c r="GL110" s="24"/>
      <c r="GM110" s="24"/>
      <c r="GN110" s="24"/>
      <c r="GO110" s="24"/>
      <c r="GP110" s="24"/>
      <c r="GQ110" s="24"/>
      <c r="GR110" s="24"/>
      <c r="GS110" s="24"/>
      <c r="GT110" s="24"/>
      <c r="GU110" s="24"/>
      <c r="GV110" s="24"/>
      <c r="GW110" s="24"/>
      <c r="GX110" s="24"/>
      <c r="GY110" s="24"/>
      <c r="GZ110" s="24"/>
      <c r="HA110" s="24"/>
      <c r="HB110" s="24"/>
      <c r="HC110" s="24"/>
      <c r="HD110" s="24"/>
      <c r="HE110" s="24"/>
      <c r="HF110" s="24"/>
      <c r="HG110" s="24"/>
      <c r="HH110" s="24"/>
      <c r="HI110" s="24"/>
      <c r="HJ110" s="24"/>
      <c r="HK110" s="24"/>
      <c r="HL110" s="24"/>
      <c r="HM110" s="24"/>
      <c r="HN110" s="24"/>
      <c r="HO110" s="24"/>
      <c r="HP110" s="24"/>
      <c r="HQ110" s="24"/>
      <c r="HR110" s="24"/>
      <c r="HS110" s="24"/>
      <c r="HT110" s="24"/>
      <c r="HU110" s="24"/>
      <c r="HV110" s="24"/>
      <c r="HW110" s="24"/>
      <c r="HX110" s="24"/>
      <c r="HY110" s="24"/>
      <c r="HZ110" s="24"/>
      <c r="IA110" s="24"/>
      <c r="IB110" s="24"/>
      <c r="IC110" s="24"/>
      <c r="ID110" s="24"/>
      <c r="IE110" s="24"/>
      <c r="IF110" s="24"/>
      <c r="IG110" s="24"/>
      <c r="IH110" s="24"/>
      <c r="II110" s="24"/>
      <c r="IJ110" s="24"/>
      <c r="IK110" s="24"/>
      <c r="IL110" s="24"/>
      <c r="IM110" s="24"/>
      <c r="IN110" s="24"/>
      <c r="IO110" s="24"/>
      <c r="IP110" s="24"/>
      <c r="IQ110" s="24"/>
      <c r="IR110" s="24"/>
      <c r="IS110" s="24">
        <f t="shared" si="243"/>
        <v>0</v>
      </c>
      <c r="IT110" s="24">
        <f t="shared" si="243"/>
        <v>0</v>
      </c>
      <c r="IU110" s="24"/>
      <c r="IV110" s="24"/>
      <c r="IW110" s="24"/>
      <c r="IX110" s="24"/>
      <c r="IY110" s="24"/>
      <c r="IZ110" s="24"/>
      <c r="JA110" s="24"/>
      <c r="JB110" s="24"/>
      <c r="JC110" s="24"/>
      <c r="JD110" s="24"/>
      <c r="JE110" s="24"/>
      <c r="JF110" s="24"/>
      <c r="JG110" s="24"/>
      <c r="JH110" s="24"/>
      <c r="JI110" s="24"/>
      <c r="JJ110" s="24"/>
      <c r="JK110" s="24"/>
      <c r="JL110" s="24"/>
      <c r="JM110" s="24"/>
      <c r="JN110" s="24"/>
      <c r="JO110" s="24"/>
      <c r="JP110" s="24"/>
      <c r="JQ110" s="24"/>
      <c r="JR110" s="24"/>
      <c r="JS110" s="24"/>
      <c r="JT110" s="24"/>
      <c r="JU110" s="24"/>
      <c r="JV110" s="24"/>
      <c r="JW110" s="24"/>
      <c r="JX110" s="24"/>
      <c r="JY110" s="24"/>
      <c r="JZ110" s="24"/>
      <c r="KA110" s="24"/>
      <c r="KB110" s="24"/>
      <c r="KC110" s="24"/>
      <c r="KD110" s="24"/>
      <c r="KE110" s="24"/>
      <c r="KF110" s="24"/>
      <c r="KG110" s="24"/>
      <c r="KH110" s="24"/>
      <c r="KI110" s="24"/>
      <c r="KJ110" s="24"/>
      <c r="KK110" s="24"/>
      <c r="KL110" s="24"/>
      <c r="KM110" s="24"/>
      <c r="KN110" s="24"/>
      <c r="KO110" s="24"/>
      <c r="KP110" s="24"/>
      <c r="KQ110" s="24"/>
      <c r="KR110" s="24"/>
      <c r="KS110" s="24"/>
      <c r="KT110" s="24"/>
      <c r="KU110" s="24"/>
      <c r="KV110" s="24"/>
      <c r="KW110" s="24"/>
      <c r="KX110" s="24"/>
      <c r="KY110" s="24"/>
      <c r="KZ110" s="24"/>
      <c r="LA110" s="24"/>
      <c r="LB110" s="24"/>
      <c r="LC110" s="24"/>
      <c r="LD110" s="24"/>
      <c r="LE110" s="24">
        <f t="shared" si="244"/>
        <v>0</v>
      </c>
      <c r="LF110" s="24">
        <f t="shared" si="244"/>
        <v>0</v>
      </c>
      <c r="LG110" s="24"/>
      <c r="LH110" s="24"/>
      <c r="LI110" s="24"/>
      <c r="LJ110" s="24"/>
      <c r="LK110" s="24"/>
      <c r="LL110" s="24"/>
      <c r="LM110" s="24"/>
      <c r="LN110" s="24"/>
      <c r="LO110" s="24"/>
      <c r="LP110" s="24"/>
      <c r="LQ110" s="24"/>
      <c r="LR110" s="24"/>
      <c r="LS110" s="24"/>
      <c r="LT110" s="24"/>
      <c r="LU110" s="24"/>
      <c r="LV110" s="24"/>
      <c r="LW110" s="24"/>
      <c r="LX110" s="24"/>
      <c r="LY110" s="24"/>
      <c r="LZ110" s="24"/>
      <c r="MA110" s="24"/>
      <c r="MB110" s="24"/>
      <c r="MC110" s="24"/>
      <c r="MD110" s="24"/>
      <c r="ME110" s="24"/>
      <c r="MF110" s="24"/>
      <c r="MG110" s="24"/>
      <c r="MH110" s="24"/>
      <c r="MI110" s="24"/>
      <c r="MJ110" s="24"/>
      <c r="MK110" s="24"/>
      <c r="ML110" s="24"/>
      <c r="MM110" s="24"/>
      <c r="MN110" s="24"/>
      <c r="MO110" s="24"/>
      <c r="MP110" s="24"/>
      <c r="MQ110" s="24"/>
      <c r="MR110" s="24"/>
      <c r="MS110" s="24"/>
      <c r="MT110" s="24"/>
      <c r="MU110" s="24"/>
      <c r="MV110" s="24"/>
      <c r="MW110" s="24"/>
      <c r="MX110" s="24"/>
      <c r="MY110" s="24"/>
      <c r="MZ110" s="24"/>
      <c r="NA110" s="24"/>
      <c r="NB110" s="24"/>
      <c r="NC110" s="24"/>
      <c r="ND110" s="24"/>
      <c r="NE110" s="24"/>
      <c r="NF110" s="24"/>
      <c r="NG110" s="24"/>
      <c r="NH110" s="24"/>
      <c r="NI110" s="24"/>
      <c r="NJ110" s="24"/>
      <c r="NK110" s="24"/>
      <c r="NL110" s="24"/>
      <c r="NM110" s="24"/>
      <c r="NN110" s="24"/>
      <c r="NO110" s="24">
        <f t="shared" si="245"/>
        <v>0</v>
      </c>
      <c r="NP110" s="24">
        <f t="shared" si="245"/>
        <v>0</v>
      </c>
      <c r="NQ110" s="24"/>
      <c r="NR110" s="24"/>
      <c r="NS110" s="24"/>
      <c r="NT110" s="24"/>
      <c r="NU110" s="24"/>
      <c r="NV110" s="24"/>
      <c r="NW110" s="24"/>
      <c r="NX110" s="24"/>
      <c r="NY110" s="24"/>
      <c r="NZ110" s="24"/>
      <c r="OA110" s="24"/>
      <c r="OB110" s="24"/>
      <c r="OC110" s="24"/>
      <c r="OD110" s="24"/>
      <c r="OE110" s="24"/>
      <c r="OF110" s="24"/>
      <c r="OG110" s="24"/>
      <c r="OH110" s="24"/>
      <c r="OI110" s="24"/>
      <c r="OJ110" s="24"/>
      <c r="OK110" s="24"/>
      <c r="OL110" s="24"/>
      <c r="OM110" s="24"/>
      <c r="ON110" s="24"/>
      <c r="OO110" s="24"/>
      <c r="OP110" s="24"/>
      <c r="OQ110" s="24"/>
      <c r="OR110" s="24"/>
      <c r="OS110" s="24"/>
      <c r="OT110" s="24"/>
      <c r="OU110" s="24"/>
      <c r="OV110" s="24"/>
      <c r="OW110" s="24"/>
      <c r="OX110" s="24"/>
      <c r="OY110" s="24"/>
      <c r="OZ110" s="24"/>
      <c r="PA110" s="24"/>
      <c r="PB110" s="24"/>
      <c r="PC110" s="24"/>
      <c r="PD110" s="24"/>
      <c r="PE110" s="24"/>
      <c r="PF110" s="24"/>
      <c r="PG110" s="24"/>
      <c r="PH110" s="24"/>
      <c r="PI110" s="24"/>
      <c r="PJ110" s="24"/>
      <c r="PK110" s="24"/>
      <c r="PL110" s="24"/>
      <c r="PM110" s="24"/>
      <c r="PN110" s="24"/>
      <c r="PO110" s="24"/>
      <c r="PP110" s="24"/>
      <c r="PQ110" s="24"/>
      <c r="PR110" s="24"/>
      <c r="PS110" s="24"/>
      <c r="PT110" s="24"/>
      <c r="PU110" s="24"/>
      <c r="PV110" s="24"/>
      <c r="PW110" s="24"/>
      <c r="PX110" s="24"/>
      <c r="PY110" s="24"/>
      <c r="PZ110" s="24"/>
      <c r="QA110" s="24">
        <f t="shared" si="246"/>
        <v>0</v>
      </c>
      <c r="QB110" s="24">
        <f t="shared" si="246"/>
        <v>0</v>
      </c>
      <c r="QC110" s="24"/>
      <c r="QD110" s="24"/>
      <c r="QE110" s="24"/>
      <c r="QF110" s="24"/>
      <c r="QG110" s="24"/>
      <c r="QH110" s="24"/>
      <c r="QI110" s="24"/>
      <c r="QJ110" s="24"/>
      <c r="QK110" s="24"/>
      <c r="QL110" s="24"/>
      <c r="QM110" s="24"/>
      <c r="QN110" s="24"/>
      <c r="QO110" s="24"/>
      <c r="QP110" s="24"/>
      <c r="QQ110" s="24"/>
      <c r="QR110" s="24"/>
      <c r="QS110" s="24"/>
      <c r="QT110" s="24"/>
      <c r="QU110" s="24"/>
      <c r="QV110" s="24"/>
      <c r="QW110" s="24"/>
      <c r="QX110" s="24"/>
      <c r="QY110" s="24"/>
      <c r="QZ110" s="24"/>
      <c r="RA110" s="24"/>
      <c r="RB110" s="24"/>
      <c r="RC110" s="24"/>
      <c r="RD110" s="24"/>
      <c r="RE110" s="24"/>
      <c r="RF110" s="24"/>
      <c r="RG110" s="24"/>
      <c r="RH110" s="24"/>
      <c r="RI110" s="24"/>
      <c r="RJ110" s="24"/>
      <c r="RK110" s="24"/>
      <c r="RL110" s="24"/>
      <c r="RM110" s="24"/>
      <c r="RN110" s="24"/>
      <c r="RO110" s="24"/>
      <c r="RP110" s="24"/>
      <c r="RQ110" s="24"/>
      <c r="RR110" s="24"/>
      <c r="RS110" s="24"/>
      <c r="RT110" s="24"/>
      <c r="RU110" s="24"/>
      <c r="RV110" s="24"/>
      <c r="RW110" s="24"/>
      <c r="RX110" s="24"/>
      <c r="RY110" s="24"/>
      <c r="RZ110" s="24"/>
      <c r="SA110" s="24"/>
      <c r="SB110" s="24"/>
      <c r="SC110" s="24"/>
      <c r="SD110" s="24"/>
      <c r="SE110" s="24"/>
      <c r="SF110" s="24"/>
      <c r="SG110" s="24"/>
      <c r="SH110" s="24"/>
      <c r="SI110" s="24"/>
      <c r="SJ110" s="24"/>
      <c r="SK110" s="24"/>
      <c r="SL110" s="24"/>
      <c r="SM110" s="24">
        <f t="shared" si="247"/>
        <v>0</v>
      </c>
      <c r="SN110" s="24">
        <f t="shared" si="247"/>
        <v>0</v>
      </c>
      <c r="SO110" s="24"/>
      <c r="SP110" s="24"/>
      <c r="SQ110" s="24"/>
      <c r="SR110" s="24"/>
      <c r="SS110" s="24"/>
      <c r="ST110" s="24"/>
      <c r="SU110" s="24"/>
      <c r="SV110" s="24"/>
      <c r="SW110" s="24"/>
      <c r="SX110" s="24"/>
      <c r="SY110" s="24"/>
      <c r="SZ110" s="24"/>
      <c r="TA110" s="24"/>
      <c r="TB110" s="24"/>
      <c r="TC110" s="24"/>
      <c r="TD110" s="24"/>
      <c r="TE110" s="24"/>
      <c r="TF110" s="24"/>
      <c r="TG110" s="24"/>
      <c r="TH110" s="24"/>
      <c r="TI110" s="24"/>
      <c r="TJ110" s="24"/>
      <c r="TK110" s="24"/>
      <c r="TL110" s="24"/>
      <c r="TM110" s="24"/>
      <c r="TN110" s="24"/>
      <c r="TO110" s="24"/>
      <c r="TP110" s="24"/>
      <c r="TQ110" s="24"/>
      <c r="TR110" s="24"/>
      <c r="TS110" s="24"/>
      <c r="TT110" s="24"/>
      <c r="TU110" s="24"/>
      <c r="TV110" s="24"/>
      <c r="TW110" s="24"/>
      <c r="TX110" s="24"/>
      <c r="TY110" s="24"/>
      <c r="TZ110" s="24"/>
      <c r="UA110" s="24"/>
      <c r="UB110" s="24"/>
      <c r="UC110" s="24"/>
      <c r="UD110" s="24"/>
      <c r="UE110" s="24"/>
      <c r="UF110" s="24"/>
      <c r="UG110" s="24"/>
      <c r="UH110" s="24"/>
      <c r="UI110" s="24"/>
      <c r="UJ110" s="24"/>
      <c r="UK110" s="24"/>
      <c r="UL110" s="24"/>
      <c r="UM110" s="24"/>
      <c r="UN110" s="24"/>
      <c r="UO110" s="24"/>
      <c r="UP110" s="24"/>
      <c r="UQ110" s="24"/>
      <c r="UR110" s="24"/>
      <c r="US110" s="24"/>
      <c r="UT110" s="24"/>
      <c r="UU110" s="24"/>
      <c r="UV110" s="24"/>
      <c r="UW110" s="24">
        <f t="shared" si="248"/>
        <v>0</v>
      </c>
      <c r="UX110" s="24">
        <f t="shared" si="248"/>
        <v>0</v>
      </c>
      <c r="UY110" s="24"/>
      <c r="UZ110" s="24"/>
      <c r="VA110" s="24"/>
      <c r="VB110" s="24"/>
      <c r="VC110" s="24"/>
      <c r="VD110" s="24"/>
      <c r="VE110" s="24"/>
      <c r="VF110" s="24"/>
      <c r="VG110" s="24"/>
      <c r="VH110" s="24"/>
      <c r="VI110" s="24"/>
      <c r="VJ110" s="24"/>
      <c r="VK110" s="24"/>
      <c r="VL110" s="24"/>
      <c r="VM110" s="24"/>
      <c r="VN110" s="24"/>
      <c r="VO110" s="24"/>
      <c r="VP110" s="24"/>
      <c r="VQ110" s="24"/>
      <c r="VR110" s="24"/>
      <c r="VS110" s="24"/>
      <c r="VT110" s="24"/>
      <c r="VU110" s="24"/>
      <c r="VV110" s="24"/>
      <c r="VW110" s="24"/>
      <c r="VX110" s="24"/>
      <c r="VY110" s="24"/>
      <c r="VZ110" s="24"/>
      <c r="WA110" s="24"/>
      <c r="WB110" s="24"/>
      <c r="WC110" s="24"/>
      <c r="WD110" s="24"/>
      <c r="WE110" s="24"/>
      <c r="WF110" s="24"/>
      <c r="WG110" s="24"/>
      <c r="WH110" s="24"/>
      <c r="WI110" s="24"/>
      <c r="WJ110" s="24"/>
      <c r="WK110" s="24"/>
      <c r="WL110" s="24"/>
      <c r="WM110" s="24"/>
      <c r="WN110" s="24"/>
      <c r="WO110" s="24"/>
      <c r="WP110" s="24"/>
      <c r="WQ110" s="24"/>
      <c r="WR110" s="24"/>
      <c r="WS110" s="24"/>
      <c r="WT110" s="24"/>
      <c r="WU110" s="24"/>
      <c r="WV110" s="24"/>
      <c r="WW110" s="24"/>
      <c r="WX110" s="24"/>
      <c r="WY110" s="24"/>
      <c r="WZ110" s="24"/>
      <c r="XA110" s="24"/>
      <c r="XB110" s="24"/>
      <c r="XC110" s="24"/>
      <c r="XD110" s="24"/>
      <c r="XE110" s="24"/>
      <c r="XF110" s="24"/>
      <c r="XG110" s="24"/>
      <c r="XH110" s="24"/>
      <c r="XI110" s="24">
        <f t="shared" si="249"/>
        <v>0</v>
      </c>
      <c r="XJ110" s="24">
        <f t="shared" si="249"/>
        <v>0</v>
      </c>
      <c r="XK110" s="24"/>
      <c r="XL110" s="24"/>
      <c r="XM110" s="24"/>
      <c r="XN110" s="24"/>
      <c r="XO110" s="24"/>
      <c r="XP110" s="24"/>
      <c r="XQ110" s="24"/>
      <c r="XR110" s="24"/>
      <c r="XS110" s="24"/>
      <c r="XT110" s="24"/>
      <c r="XU110" s="24"/>
      <c r="XV110" s="24"/>
      <c r="XW110" s="24"/>
      <c r="XX110" s="24"/>
      <c r="XY110" s="24"/>
      <c r="XZ110" s="24"/>
      <c r="YA110" s="24"/>
      <c r="YB110" s="24"/>
      <c r="YC110" s="24"/>
      <c r="YD110" s="24"/>
      <c r="YE110" s="24"/>
      <c r="YF110" s="24"/>
      <c r="YG110" s="24"/>
      <c r="YH110" s="24"/>
      <c r="YI110" s="24"/>
      <c r="YJ110" s="24"/>
      <c r="YK110" s="24"/>
      <c r="YL110" s="24"/>
      <c r="YM110" s="24"/>
      <c r="YN110" s="24"/>
      <c r="YO110" s="24"/>
      <c r="YP110" s="24"/>
      <c r="YQ110" s="24"/>
      <c r="YR110" s="24"/>
      <c r="YS110" s="24"/>
      <c r="YT110" s="24"/>
      <c r="YU110" s="24"/>
      <c r="YV110" s="24"/>
      <c r="YW110" s="24"/>
      <c r="YX110" s="24"/>
      <c r="YY110" s="24"/>
      <c r="YZ110" s="24"/>
      <c r="ZA110" s="24"/>
      <c r="ZB110" s="24"/>
      <c r="ZC110" s="24"/>
      <c r="ZD110" s="24"/>
      <c r="ZE110" s="24"/>
      <c r="ZF110" s="24"/>
      <c r="ZG110" s="24"/>
      <c r="ZH110" s="24"/>
      <c r="ZI110" s="24"/>
      <c r="ZJ110" s="24"/>
      <c r="ZK110" s="24"/>
      <c r="ZL110" s="24"/>
      <c r="ZM110" s="24"/>
      <c r="ZN110" s="24"/>
      <c r="ZO110" s="24"/>
      <c r="ZP110" s="24"/>
      <c r="ZQ110" s="24"/>
      <c r="ZR110" s="24"/>
      <c r="ZS110" s="24">
        <f t="shared" si="250"/>
        <v>0</v>
      </c>
      <c r="ZT110" s="24">
        <f t="shared" si="250"/>
        <v>0</v>
      </c>
      <c r="ZU110" s="24"/>
      <c r="ZV110" s="24"/>
      <c r="ZW110" s="24"/>
      <c r="ZX110" s="24"/>
      <c r="ZY110" s="24"/>
      <c r="ZZ110" s="24"/>
      <c r="AAA110" s="24"/>
      <c r="AAB110" s="24"/>
      <c r="AAC110" s="24"/>
      <c r="AAD110" s="24"/>
      <c r="AAE110" s="24"/>
      <c r="AAF110" s="24"/>
      <c r="AAG110" s="24"/>
      <c r="AAH110" s="24"/>
      <c r="AAI110" s="24"/>
      <c r="AAJ110" s="24"/>
      <c r="AAK110" s="24"/>
      <c r="AAL110" s="24"/>
      <c r="AAM110" s="24"/>
      <c r="AAN110" s="24"/>
      <c r="AAO110" s="24"/>
      <c r="AAP110" s="24"/>
      <c r="AAQ110" s="24"/>
      <c r="AAR110" s="24"/>
      <c r="AAS110" s="24"/>
      <c r="AAT110" s="24"/>
      <c r="AAU110" s="24"/>
      <c r="AAV110" s="24"/>
      <c r="AAW110" s="24"/>
      <c r="AAX110" s="24"/>
      <c r="AAY110" s="24"/>
      <c r="AAZ110" s="24"/>
      <c r="ABA110" s="24"/>
      <c r="ABB110" s="24"/>
      <c r="ABC110" s="24"/>
      <c r="ABD110" s="24"/>
      <c r="ABE110" s="24"/>
      <c r="ABF110" s="24"/>
      <c r="ABG110" s="24"/>
      <c r="ABH110" s="24"/>
      <c r="ABI110" s="24"/>
      <c r="ABJ110" s="24"/>
      <c r="ABK110" s="24"/>
      <c r="ABL110" s="24"/>
      <c r="ABM110" s="24"/>
      <c r="ABN110" s="24"/>
      <c r="ABO110" s="24"/>
      <c r="ABP110" s="24"/>
      <c r="ABQ110" s="24"/>
      <c r="ABR110" s="24"/>
      <c r="ABS110" s="24"/>
      <c r="ABT110" s="24"/>
      <c r="ABU110" s="24"/>
      <c r="ABV110" s="24"/>
      <c r="ABW110" s="24"/>
      <c r="ABX110" s="24"/>
      <c r="ABY110" s="24"/>
      <c r="ABZ110" s="24"/>
      <c r="ACA110" s="24"/>
      <c r="ACB110" s="24"/>
      <c r="ACC110" s="24"/>
      <c r="ACD110" s="24"/>
      <c r="ACE110" s="24">
        <f>ZU110+ZW110+ZY110+AAA110+AAC110+AAE110+AAG110+AAI110+AAK110+AAM110+AAO110+AAQ110+AAS110+AAU110+AAW110+AAY110+ABA110+ABC110+ABE110+ABG110+ABI110+ABK110+ABM110+ABO110+ABQ110+ABS110+ABU110+ABW110+ABY110+ACA110+ACC110</f>
        <v>0</v>
      </c>
      <c r="ACF110" s="24"/>
      <c r="ACG110" s="24">
        <f>BO110+DW110+GI110+IS110+LE110+NO110+QA110+SM110+UW110+XI110+ZS110+ACE110</f>
        <v>0</v>
      </c>
      <c r="ACH110" s="25"/>
      <c r="ACI110" s="71" t="s">
        <v>199</v>
      </c>
      <c r="ACJ110" s="71" t="s">
        <v>102</v>
      </c>
    </row>
    <row r="111" spans="1:764" x14ac:dyDescent="0.25">
      <c r="A111" s="162"/>
      <c r="B111" s="152"/>
      <c r="C111" s="155"/>
      <c r="D111" s="50" t="s">
        <v>8</v>
      </c>
      <c r="E111" s="74">
        <v>48.8</v>
      </c>
      <c r="F111" s="75">
        <v>48.34</v>
      </c>
      <c r="G111" s="75">
        <v>41.95</v>
      </c>
      <c r="H111" s="75">
        <v>38.840000000000003</v>
      </c>
      <c r="I111" s="75">
        <v>47.7</v>
      </c>
      <c r="J111" s="75">
        <v>47.82</v>
      </c>
      <c r="K111" s="75">
        <v>45.7</v>
      </c>
      <c r="L111" s="75">
        <v>45.2</v>
      </c>
      <c r="M111" s="75">
        <v>164.24999999999997</v>
      </c>
      <c r="N111" s="75">
        <v>163.24</v>
      </c>
      <c r="O111" s="75">
        <v>197.85</v>
      </c>
      <c r="P111" s="75">
        <v>197.56</v>
      </c>
      <c r="Q111" s="75">
        <v>138.89999999999998</v>
      </c>
      <c r="R111" s="75">
        <v>137.47999999999999</v>
      </c>
      <c r="S111" s="75">
        <v>183.85</v>
      </c>
      <c r="T111" s="75">
        <v>188.04</v>
      </c>
      <c r="U111" s="75">
        <v>208.39999999999998</v>
      </c>
      <c r="V111" s="75">
        <v>208.16000000000003</v>
      </c>
      <c r="W111" s="75">
        <v>356.7999999999999</v>
      </c>
      <c r="X111" s="75">
        <v>356.58000000000004</v>
      </c>
      <c r="Y111" s="75">
        <v>279.7</v>
      </c>
      <c r="Z111" s="75">
        <v>278.44000000000005</v>
      </c>
      <c r="AA111" s="75">
        <v>374</v>
      </c>
      <c r="AB111" s="75">
        <v>361.84000000000003</v>
      </c>
      <c r="AC111" s="75">
        <v>358.59999999999997</v>
      </c>
      <c r="AD111" s="75">
        <v>357.41999999999996</v>
      </c>
      <c r="AE111" s="75">
        <v>351.24999999999994</v>
      </c>
      <c r="AF111" s="75">
        <v>343.73999999999995</v>
      </c>
      <c r="AG111" s="75">
        <v>78.8</v>
      </c>
      <c r="AH111" s="75">
        <v>75.820000000000007</v>
      </c>
      <c r="AI111" s="75">
        <v>530.4</v>
      </c>
      <c r="AJ111" s="75">
        <v>520.16000000000008</v>
      </c>
      <c r="AK111" s="75">
        <v>465.50000000000006</v>
      </c>
      <c r="AL111" s="75">
        <v>455.78</v>
      </c>
      <c r="AM111" s="75">
        <v>426.8</v>
      </c>
      <c r="AN111" s="75">
        <v>419.48</v>
      </c>
      <c r="AO111" s="75">
        <v>454.85</v>
      </c>
      <c r="AP111" s="75">
        <v>453.06000000000006</v>
      </c>
      <c r="AQ111" s="75">
        <v>301.95</v>
      </c>
      <c r="AR111" s="75">
        <v>298.87</v>
      </c>
      <c r="AS111" s="75">
        <v>207.9</v>
      </c>
      <c r="AT111" s="75">
        <v>205.58</v>
      </c>
      <c r="AU111" s="75">
        <v>307.95</v>
      </c>
      <c r="AV111" s="75">
        <v>308.12</v>
      </c>
      <c r="AW111" s="75">
        <v>361</v>
      </c>
      <c r="AX111" s="75">
        <v>362.75</v>
      </c>
      <c r="AY111" s="75">
        <v>586.79999999999984</v>
      </c>
      <c r="AZ111" s="75">
        <v>582.64</v>
      </c>
      <c r="BA111" s="75">
        <v>473.6</v>
      </c>
      <c r="BB111" s="75">
        <v>473.46</v>
      </c>
      <c r="BC111" s="75">
        <v>581.9</v>
      </c>
      <c r="BD111" s="75">
        <v>580.6</v>
      </c>
      <c r="BE111" s="75">
        <v>473.8</v>
      </c>
      <c r="BF111" s="75">
        <v>464.04000000000008</v>
      </c>
      <c r="BG111" s="75">
        <v>506.74999999999994</v>
      </c>
      <c r="BH111" s="75">
        <v>509.78000000000003</v>
      </c>
      <c r="BI111" s="75">
        <v>412.75</v>
      </c>
      <c r="BJ111" s="75">
        <v>411.74000000000007</v>
      </c>
      <c r="BK111" s="75">
        <v>389.5</v>
      </c>
      <c r="BL111" s="75">
        <v>387.3</v>
      </c>
      <c r="BM111" s="75">
        <v>569.79999999999995</v>
      </c>
      <c r="BN111" s="75">
        <v>565.08000000000004</v>
      </c>
      <c r="BO111" s="24" cm="1">
        <f t="array" ref="BO111">SUMPRODUCT(E111:BM111,--(E$2:BM$2=BO$2))</f>
        <v>9927.7999999999993</v>
      </c>
      <c r="BP111" s="24" cm="1">
        <f t="array" ref="BP111">SUMPRODUCT(F111:BN111,--(F$2:BN$2=BP$2))</f>
        <v>9846.9600000000009</v>
      </c>
      <c r="BQ111" s="24">
        <v>485.29999999999995</v>
      </c>
      <c r="BR111" s="24">
        <v>485.4</v>
      </c>
      <c r="BS111" s="24">
        <v>685.7</v>
      </c>
      <c r="BT111" s="24">
        <v>683.82</v>
      </c>
      <c r="BU111" s="24">
        <v>308.39999999999998</v>
      </c>
      <c r="BV111" s="24">
        <v>307.12</v>
      </c>
      <c r="BW111" s="24">
        <v>275.35000000000002</v>
      </c>
      <c r="BX111" s="24">
        <v>268.02000000000004</v>
      </c>
      <c r="BY111" s="24">
        <v>359.25000000000006</v>
      </c>
      <c r="BZ111" s="24">
        <v>358.8300000000001</v>
      </c>
      <c r="CA111" s="24">
        <v>253.35000000000002</v>
      </c>
      <c r="CB111" s="24">
        <v>254.8</v>
      </c>
      <c r="CC111" s="24">
        <v>133.54</v>
      </c>
      <c r="CD111" s="24">
        <v>138.32</v>
      </c>
      <c r="CE111" s="24">
        <v>60.55</v>
      </c>
      <c r="CF111" s="24">
        <v>60.519999999999996</v>
      </c>
      <c r="CG111" s="24">
        <v>37.65</v>
      </c>
      <c r="CH111" s="24">
        <v>38.900000000000006</v>
      </c>
      <c r="CI111" s="24">
        <v>152.04999999999998</v>
      </c>
      <c r="CJ111" s="24">
        <v>145.16000000000003</v>
      </c>
      <c r="CK111" s="24">
        <v>83.899999999999991</v>
      </c>
      <c r="CL111" s="24">
        <v>84.34</v>
      </c>
      <c r="CM111" s="24">
        <v>170.35</v>
      </c>
      <c r="CN111" s="24">
        <v>168.83999999999997</v>
      </c>
      <c r="CO111" s="24">
        <v>145.55000000000001</v>
      </c>
      <c r="CP111" s="24">
        <v>144</v>
      </c>
      <c r="CQ111" s="24">
        <v>38.75</v>
      </c>
      <c r="CR111" s="24">
        <v>38.36</v>
      </c>
      <c r="CS111" s="24">
        <v>46.05</v>
      </c>
      <c r="CT111" s="24">
        <v>45.6</v>
      </c>
      <c r="CU111" s="24">
        <v>152.49999999999997</v>
      </c>
      <c r="CV111" s="24">
        <v>149.13999999999999</v>
      </c>
      <c r="CW111" s="24">
        <v>334.4</v>
      </c>
      <c r="CX111" s="24">
        <v>332.68</v>
      </c>
      <c r="CY111" s="24">
        <v>300.35000000000002</v>
      </c>
      <c r="CZ111" s="24">
        <v>299.79999999999995</v>
      </c>
      <c r="DA111" s="24">
        <v>313.35000000000002</v>
      </c>
      <c r="DB111" s="24">
        <v>311.38</v>
      </c>
      <c r="DC111" s="24">
        <v>311.40000000000003</v>
      </c>
      <c r="DD111" s="24">
        <v>310.44</v>
      </c>
      <c r="DE111" s="24">
        <v>276.25</v>
      </c>
      <c r="DF111" s="24">
        <v>274.08</v>
      </c>
      <c r="DG111" s="24">
        <v>341.7</v>
      </c>
      <c r="DH111" s="24">
        <v>340.54</v>
      </c>
      <c r="DI111" s="24">
        <v>183.3</v>
      </c>
      <c r="DJ111" s="24">
        <v>184.99999999999997</v>
      </c>
      <c r="DK111" s="24">
        <v>232.15</v>
      </c>
      <c r="DL111" s="24">
        <v>230.38</v>
      </c>
      <c r="DM111" s="24">
        <v>310.3</v>
      </c>
      <c r="DN111" s="24">
        <v>308.47999999999996</v>
      </c>
      <c r="DO111" s="24">
        <v>177.90000000000003</v>
      </c>
      <c r="DP111" s="24">
        <v>178.55999999999997</v>
      </c>
      <c r="DQ111" s="24">
        <v>276.79999999999995</v>
      </c>
      <c r="DR111" s="24">
        <v>275.34000000000003</v>
      </c>
      <c r="DS111" s="24">
        <v>216.75</v>
      </c>
      <c r="DT111" s="24">
        <v>215.65999999999997</v>
      </c>
      <c r="DU111" s="24">
        <v>284.20000000000005</v>
      </c>
      <c r="DV111" s="24">
        <v>282.53999999999996</v>
      </c>
      <c r="DW111" s="24" cm="1">
        <f t="array" ref="DW111">SUMPRODUCT(BQ111:DU111,--(BQ$2:DU$2=DW$2))</f>
        <v>6947.09</v>
      </c>
      <c r="DX111" s="24" cm="1">
        <f t="array" ref="DX111">SUMPRODUCT(BR111:DV111,--(BR$2:DV$2=DX$2))</f>
        <v>6916.05</v>
      </c>
      <c r="DY111" s="24">
        <v>177.7</v>
      </c>
      <c r="DZ111" s="24">
        <v>176.66</v>
      </c>
      <c r="EA111" s="24">
        <v>234.5</v>
      </c>
      <c r="EB111" s="24">
        <v>232.72000000000003</v>
      </c>
      <c r="EC111" s="24">
        <v>315.85000000000002</v>
      </c>
      <c r="ED111" s="24">
        <v>314.26</v>
      </c>
      <c r="EE111" s="24">
        <v>107.75</v>
      </c>
      <c r="EF111" s="24">
        <v>107.08</v>
      </c>
      <c r="EG111" s="24">
        <v>253.70000000000005</v>
      </c>
      <c r="EH111" s="24">
        <v>252.12000000000003</v>
      </c>
      <c r="EI111" s="24">
        <v>337.50000000000006</v>
      </c>
      <c r="EJ111" s="24">
        <v>326.95999999999998</v>
      </c>
      <c r="EK111" s="24">
        <v>332.65</v>
      </c>
      <c r="EL111" s="24">
        <v>312.8</v>
      </c>
      <c r="EM111" s="24">
        <v>25.25</v>
      </c>
      <c r="EN111" s="24">
        <v>23.42</v>
      </c>
      <c r="EO111" s="24">
        <v>399.84999999999991</v>
      </c>
      <c r="EP111" s="24">
        <v>368.13999999999993</v>
      </c>
      <c r="EQ111" s="24">
        <v>299.5</v>
      </c>
      <c r="ER111" s="24">
        <v>282.41999999999996</v>
      </c>
      <c r="ES111" s="24">
        <v>291.8</v>
      </c>
      <c r="ET111" s="24">
        <v>274.19</v>
      </c>
      <c r="EU111" s="24">
        <v>435.7000000000001</v>
      </c>
      <c r="EV111" s="24">
        <v>429.82000000000005</v>
      </c>
      <c r="EW111" s="24">
        <v>282.20000000000005</v>
      </c>
      <c r="EX111" s="24">
        <v>283.16000000000003</v>
      </c>
      <c r="EY111" s="24">
        <v>253.65</v>
      </c>
      <c r="EZ111" s="24">
        <v>252.48000000000002</v>
      </c>
      <c r="FA111" s="24">
        <v>365.09999999999997</v>
      </c>
      <c r="FB111" s="24">
        <v>363.23999999999995</v>
      </c>
      <c r="FC111" s="24">
        <v>193.65</v>
      </c>
      <c r="FD111" s="24">
        <v>191.94</v>
      </c>
      <c r="FE111" s="24">
        <v>497.19999999999993</v>
      </c>
      <c r="FF111" s="24">
        <v>493.92</v>
      </c>
      <c r="FG111" s="24">
        <v>273.39999999999998</v>
      </c>
      <c r="FH111" s="24">
        <v>271.72000000000003</v>
      </c>
      <c r="FI111" s="24">
        <v>347.2</v>
      </c>
      <c r="FJ111" s="24">
        <v>344.88</v>
      </c>
      <c r="FK111" s="24">
        <v>243.1</v>
      </c>
      <c r="FL111" s="24">
        <v>241.42</v>
      </c>
      <c r="FM111" s="24">
        <v>473.50000000000006</v>
      </c>
      <c r="FN111" s="24">
        <v>468.32000000000005</v>
      </c>
      <c r="FO111" s="24">
        <v>252.1</v>
      </c>
      <c r="FP111" s="24">
        <v>250.61999999999998</v>
      </c>
      <c r="FQ111" s="24">
        <v>316.60000000000002</v>
      </c>
      <c r="FR111" s="24">
        <v>312.88000000000005</v>
      </c>
      <c r="FS111" s="24">
        <v>471.04999999999995</v>
      </c>
      <c r="FT111" s="24">
        <v>467.61999999999989</v>
      </c>
      <c r="FU111" s="24">
        <v>184.25</v>
      </c>
      <c r="FV111" s="24">
        <v>183.35999999999996</v>
      </c>
      <c r="FW111" s="24">
        <v>574.34999999999991</v>
      </c>
      <c r="FX111" s="24">
        <v>571.48</v>
      </c>
      <c r="FY111" s="24">
        <v>536.29999999999995</v>
      </c>
      <c r="FZ111" s="24">
        <v>532.18000000000006</v>
      </c>
      <c r="GA111" s="24">
        <v>240.64999999999998</v>
      </c>
      <c r="GB111" s="24">
        <v>239.05999999999997</v>
      </c>
      <c r="GC111" s="24">
        <v>435.79999999999995</v>
      </c>
      <c r="GD111" s="24">
        <v>433.45999999999992</v>
      </c>
      <c r="GE111" s="24">
        <v>391.05</v>
      </c>
      <c r="GF111" s="24">
        <v>388.84000000000009</v>
      </c>
      <c r="GG111" s="24">
        <v>292.45</v>
      </c>
      <c r="GH111" s="24">
        <v>292.66000000000003</v>
      </c>
      <c r="GI111" s="24" cm="1">
        <f t="array" ref="GI111">SUMPRODUCT(DY111:GG111,--(DY$2:GG$2=GI$2))</f>
        <v>9835.3499999999985</v>
      </c>
      <c r="GJ111" s="24" cm="1">
        <f t="array" ref="GJ111">SUMPRODUCT(DZ111:GH111,--(DZ$2:GH$2=GJ$2))</f>
        <v>9683.8299999999981</v>
      </c>
      <c r="GK111" s="24">
        <v>521.15</v>
      </c>
      <c r="GL111" s="24">
        <v>517.26</v>
      </c>
      <c r="GM111" s="24">
        <v>613.1</v>
      </c>
      <c r="GN111" s="24">
        <v>608.54000000000008</v>
      </c>
      <c r="GO111" s="24">
        <v>567.44999999999993</v>
      </c>
      <c r="GP111" s="24">
        <v>564.88</v>
      </c>
      <c r="GQ111" s="24">
        <v>522.55000000000007</v>
      </c>
      <c r="GR111" s="24">
        <v>513.94000000000005</v>
      </c>
      <c r="GS111" s="24">
        <v>467.5</v>
      </c>
      <c r="GT111" s="24">
        <v>433.7</v>
      </c>
      <c r="GU111" s="24">
        <v>157.15</v>
      </c>
      <c r="GV111" s="24">
        <v>152.32</v>
      </c>
      <c r="GW111" s="24">
        <v>309.55</v>
      </c>
      <c r="GX111" s="24">
        <v>307.59999999999997</v>
      </c>
      <c r="GY111" s="24">
        <v>444.29999999999995</v>
      </c>
      <c r="GZ111" s="24">
        <v>440.0200000000001</v>
      </c>
      <c r="HA111" s="24">
        <v>655.30000000000018</v>
      </c>
      <c r="HB111" s="24">
        <v>650.84</v>
      </c>
      <c r="HC111" s="24">
        <v>531.80000000000007</v>
      </c>
      <c r="HD111" s="24">
        <v>529.46</v>
      </c>
      <c r="HE111" s="24">
        <v>594.45000000000005</v>
      </c>
      <c r="HF111" s="24">
        <v>589.6400000000001</v>
      </c>
      <c r="HG111" s="24">
        <v>590.15</v>
      </c>
      <c r="HH111" s="24">
        <v>586.05999999999995</v>
      </c>
      <c r="HI111" s="24">
        <v>528.95000000000005</v>
      </c>
      <c r="HJ111" s="24">
        <v>525.1400000000001</v>
      </c>
      <c r="HK111" s="24">
        <v>363.49999999999994</v>
      </c>
      <c r="HL111" s="24">
        <v>361.41999999999996</v>
      </c>
      <c r="HM111" s="24">
        <v>363.09999999999997</v>
      </c>
      <c r="HN111" s="24">
        <v>361.02</v>
      </c>
      <c r="HO111" s="24">
        <v>328.20000000000005</v>
      </c>
      <c r="HP111" s="24">
        <v>325.39999999999998</v>
      </c>
      <c r="HQ111" s="24">
        <v>586.95000000000005</v>
      </c>
      <c r="HR111" s="24">
        <v>582.87999999999988</v>
      </c>
      <c r="HS111" s="24">
        <v>578.49999999999989</v>
      </c>
      <c r="HT111" s="24">
        <v>574.6400000000001</v>
      </c>
      <c r="HU111" s="24">
        <v>343.90000000000003</v>
      </c>
      <c r="HV111" s="24">
        <v>342.2</v>
      </c>
      <c r="HW111" s="24">
        <v>622.65</v>
      </c>
      <c r="HX111" s="24">
        <v>618.82000000000005</v>
      </c>
      <c r="HY111" s="24">
        <v>371.55</v>
      </c>
      <c r="HZ111" s="24">
        <v>370.2</v>
      </c>
      <c r="IA111" s="24">
        <v>639.69999999999993</v>
      </c>
      <c r="IB111" s="24">
        <v>636.48000000000013</v>
      </c>
      <c r="IC111" s="24">
        <v>774.49999999999989</v>
      </c>
      <c r="ID111" s="24">
        <v>770.19999999999982</v>
      </c>
      <c r="IE111" s="24">
        <v>642.79999999999984</v>
      </c>
      <c r="IF111" s="24">
        <v>638.4</v>
      </c>
      <c r="IG111" s="24">
        <v>351.00000000000006</v>
      </c>
      <c r="IH111" s="24">
        <v>271.77999999999997</v>
      </c>
      <c r="II111" s="24">
        <v>449.15000000000003</v>
      </c>
      <c r="IJ111" s="24">
        <v>0</v>
      </c>
      <c r="IK111" s="24"/>
      <c r="IL111" s="24"/>
      <c r="IM111" s="24"/>
      <c r="IN111" s="24"/>
      <c r="IO111" s="24"/>
      <c r="IP111" s="24"/>
      <c r="IQ111" s="24"/>
      <c r="IR111" s="24"/>
      <c r="IS111" s="24">
        <f t="shared" si="243"/>
        <v>12918.899999999998</v>
      </c>
      <c r="IT111" s="24">
        <f t="shared" si="243"/>
        <v>12272.84</v>
      </c>
      <c r="IU111" s="24">
        <v>796.55000000000018</v>
      </c>
      <c r="IV111" s="24">
        <v>791.13999999999987</v>
      </c>
      <c r="IW111" s="24">
        <v>681.6</v>
      </c>
      <c r="IX111" s="24">
        <v>677.16</v>
      </c>
      <c r="IY111" s="24">
        <v>623.94999999999993</v>
      </c>
      <c r="IZ111" s="24">
        <v>619.81999999999994</v>
      </c>
      <c r="JA111" s="24">
        <v>584.1</v>
      </c>
      <c r="JB111" s="24">
        <v>580.52</v>
      </c>
      <c r="JC111" s="24">
        <v>598.94999999999993</v>
      </c>
      <c r="JD111" s="24">
        <v>594.68000000000018</v>
      </c>
      <c r="JE111" s="24">
        <v>617.20000000000005</v>
      </c>
      <c r="JF111" s="24">
        <v>612.72</v>
      </c>
      <c r="JG111" s="24">
        <v>630.54999999999995</v>
      </c>
      <c r="JH111" s="24">
        <v>625.6400000000001</v>
      </c>
      <c r="JI111" s="24">
        <v>467.44999999999993</v>
      </c>
      <c r="JJ111" s="24">
        <v>465.26</v>
      </c>
      <c r="JK111" s="24">
        <v>367.75000000000006</v>
      </c>
      <c r="JL111" s="24">
        <v>366.50000000000006</v>
      </c>
      <c r="JM111" s="24">
        <v>843.00000000000023</v>
      </c>
      <c r="JN111" s="24">
        <v>829.50000000000011</v>
      </c>
      <c r="JO111" s="24">
        <v>552.45000000000005</v>
      </c>
      <c r="JP111" s="24">
        <v>492.7</v>
      </c>
      <c r="JQ111" s="24">
        <v>855.50000000000011</v>
      </c>
      <c r="JR111" s="24">
        <v>0</v>
      </c>
      <c r="JS111" s="24">
        <v>422.74999999999994</v>
      </c>
      <c r="JT111" s="24">
        <v>0</v>
      </c>
      <c r="JU111" s="24"/>
      <c r="JV111" s="24"/>
      <c r="JW111" s="24"/>
      <c r="JX111" s="24"/>
      <c r="JY111" s="24"/>
      <c r="JZ111" s="24"/>
      <c r="KA111" s="24"/>
      <c r="KB111" s="24"/>
      <c r="KC111" s="24"/>
      <c r="KD111" s="24"/>
      <c r="KE111" s="24"/>
      <c r="KF111" s="24"/>
      <c r="KG111" s="24"/>
      <c r="KH111" s="24"/>
      <c r="KI111" s="24"/>
      <c r="KJ111" s="24"/>
      <c r="KK111" s="24"/>
      <c r="KL111" s="24"/>
      <c r="KM111" s="24"/>
      <c r="KN111" s="24"/>
      <c r="KO111" s="24"/>
      <c r="KP111" s="24"/>
      <c r="KQ111" s="24"/>
      <c r="KR111" s="24"/>
      <c r="KS111" s="24"/>
      <c r="KT111" s="24"/>
      <c r="KU111" s="24"/>
      <c r="KV111" s="24"/>
      <c r="KW111" s="24"/>
      <c r="KX111" s="24"/>
      <c r="KY111" s="24"/>
      <c r="KZ111" s="24"/>
      <c r="LA111" s="24"/>
      <c r="LB111" s="24"/>
      <c r="LC111" s="24"/>
      <c r="LD111" s="24"/>
      <c r="LE111" s="24">
        <f t="shared" si="244"/>
        <v>8041.7999999999993</v>
      </c>
      <c r="LF111" s="24">
        <f t="shared" si="244"/>
        <v>6655.64</v>
      </c>
      <c r="LG111" s="24"/>
      <c r="LH111" s="24"/>
      <c r="LI111" s="24"/>
      <c r="LJ111" s="24"/>
      <c r="LK111" s="24"/>
      <c r="LL111" s="24"/>
      <c r="LM111" s="24"/>
      <c r="LN111" s="24"/>
      <c r="LO111" s="24"/>
      <c r="LP111" s="24"/>
      <c r="LQ111" s="24"/>
      <c r="LR111" s="24"/>
      <c r="LS111" s="24"/>
      <c r="LT111" s="24"/>
      <c r="LU111" s="24"/>
      <c r="LV111" s="24"/>
      <c r="LW111" s="24"/>
      <c r="LX111" s="24"/>
      <c r="LY111" s="24"/>
      <c r="LZ111" s="24"/>
      <c r="MA111" s="24"/>
      <c r="MB111" s="24"/>
      <c r="MC111" s="24"/>
      <c r="MD111" s="24"/>
      <c r="ME111" s="24"/>
      <c r="MF111" s="24"/>
      <c r="MG111" s="24"/>
      <c r="MH111" s="24"/>
      <c r="MI111" s="24"/>
      <c r="MJ111" s="24"/>
      <c r="MK111" s="24"/>
      <c r="ML111" s="24"/>
      <c r="MM111" s="24"/>
      <c r="MN111" s="24"/>
      <c r="MO111" s="24"/>
      <c r="MP111" s="24"/>
      <c r="MQ111" s="24"/>
      <c r="MR111" s="24"/>
      <c r="MS111" s="24"/>
      <c r="MT111" s="24"/>
      <c r="MU111" s="24"/>
      <c r="MV111" s="24"/>
      <c r="MW111" s="24"/>
      <c r="MX111" s="24"/>
      <c r="MY111" s="24"/>
      <c r="MZ111" s="24"/>
      <c r="NA111" s="24"/>
      <c r="NB111" s="24"/>
      <c r="NC111" s="24"/>
      <c r="ND111" s="24"/>
      <c r="NE111" s="24"/>
      <c r="NF111" s="24"/>
      <c r="NG111" s="24"/>
      <c r="NH111" s="24"/>
      <c r="NI111" s="24"/>
      <c r="NJ111" s="24"/>
      <c r="NK111" s="24"/>
      <c r="NL111" s="24"/>
      <c r="NM111" s="24"/>
      <c r="NN111" s="24"/>
      <c r="NO111" s="24">
        <f t="shared" si="245"/>
        <v>0</v>
      </c>
      <c r="NP111" s="24">
        <f t="shared" si="245"/>
        <v>0</v>
      </c>
      <c r="NQ111" s="24"/>
      <c r="NR111" s="24"/>
      <c r="NS111" s="24"/>
      <c r="NT111" s="24"/>
      <c r="NU111" s="24"/>
      <c r="NV111" s="24"/>
      <c r="NW111" s="24"/>
      <c r="NX111" s="24"/>
      <c r="NY111" s="24"/>
      <c r="NZ111" s="24"/>
      <c r="OA111" s="24"/>
      <c r="OB111" s="24"/>
      <c r="OC111" s="24"/>
      <c r="OD111" s="24"/>
      <c r="OE111" s="24"/>
      <c r="OF111" s="24"/>
      <c r="OG111" s="24"/>
      <c r="OH111" s="24"/>
      <c r="OI111" s="24"/>
      <c r="OJ111" s="24"/>
      <c r="OK111" s="24"/>
      <c r="OL111" s="24"/>
      <c r="OM111" s="24"/>
      <c r="ON111" s="24"/>
      <c r="OO111" s="24"/>
      <c r="OP111" s="24"/>
      <c r="OQ111" s="24"/>
      <c r="OR111" s="24"/>
      <c r="OS111" s="24"/>
      <c r="OT111" s="24"/>
      <c r="OU111" s="24"/>
      <c r="OV111" s="24"/>
      <c r="OW111" s="24"/>
      <c r="OX111" s="24"/>
      <c r="OY111" s="24"/>
      <c r="OZ111" s="24"/>
      <c r="PA111" s="24"/>
      <c r="PB111" s="24"/>
      <c r="PC111" s="24"/>
      <c r="PD111" s="24"/>
      <c r="PE111" s="24"/>
      <c r="PF111" s="24"/>
      <c r="PG111" s="24"/>
      <c r="PH111" s="24"/>
      <c r="PI111" s="24"/>
      <c r="PJ111" s="24"/>
      <c r="PK111" s="24"/>
      <c r="PL111" s="24"/>
      <c r="PM111" s="24"/>
      <c r="PN111" s="24"/>
      <c r="PO111" s="24"/>
      <c r="PP111" s="24"/>
      <c r="PQ111" s="24"/>
      <c r="PR111" s="24"/>
      <c r="PS111" s="24"/>
      <c r="PT111" s="24"/>
      <c r="PU111" s="24"/>
      <c r="PV111" s="24"/>
      <c r="PW111" s="24"/>
      <c r="PX111" s="24"/>
      <c r="PY111" s="24"/>
      <c r="PZ111" s="24"/>
      <c r="QA111" s="24">
        <f t="shared" si="246"/>
        <v>0</v>
      </c>
      <c r="QB111" s="24">
        <f t="shared" si="246"/>
        <v>0</v>
      </c>
      <c r="QC111" s="24"/>
      <c r="QD111" s="24"/>
      <c r="QE111" s="24"/>
      <c r="QF111" s="24"/>
      <c r="QG111" s="24"/>
      <c r="QH111" s="24"/>
      <c r="QI111" s="24"/>
      <c r="QJ111" s="24"/>
      <c r="QK111" s="24"/>
      <c r="QL111" s="24"/>
      <c r="QM111" s="24"/>
      <c r="QN111" s="24"/>
      <c r="QO111" s="24"/>
      <c r="QP111" s="24"/>
      <c r="QQ111" s="24"/>
      <c r="QR111" s="24"/>
      <c r="QS111" s="24"/>
      <c r="QT111" s="24"/>
      <c r="QU111" s="24"/>
      <c r="QV111" s="24"/>
      <c r="QW111" s="24"/>
      <c r="QX111" s="24"/>
      <c r="QY111" s="24"/>
      <c r="QZ111" s="24"/>
      <c r="RA111" s="24"/>
      <c r="RB111" s="24"/>
      <c r="RC111" s="24"/>
      <c r="RD111" s="24"/>
      <c r="RE111" s="24"/>
      <c r="RF111" s="24"/>
      <c r="RG111" s="24"/>
      <c r="RH111" s="24"/>
      <c r="RI111" s="24"/>
      <c r="RJ111" s="24"/>
      <c r="RK111" s="24"/>
      <c r="RL111" s="24"/>
      <c r="RM111" s="24"/>
      <c r="RN111" s="24"/>
      <c r="RO111" s="24"/>
      <c r="RP111" s="24"/>
      <c r="RQ111" s="24"/>
      <c r="RR111" s="24"/>
      <c r="RS111" s="24"/>
      <c r="RT111" s="24"/>
      <c r="RU111" s="24"/>
      <c r="RV111" s="24"/>
      <c r="RW111" s="24"/>
      <c r="RX111" s="24"/>
      <c r="RY111" s="24"/>
      <c r="RZ111" s="24"/>
      <c r="SA111" s="24"/>
      <c r="SB111" s="24"/>
      <c r="SC111" s="24"/>
      <c r="SD111" s="24"/>
      <c r="SE111" s="24"/>
      <c r="SF111" s="24"/>
      <c r="SG111" s="24"/>
      <c r="SH111" s="24"/>
      <c r="SI111" s="24"/>
      <c r="SJ111" s="24"/>
      <c r="SK111" s="24"/>
      <c r="SL111" s="24"/>
      <c r="SM111" s="24">
        <f t="shared" si="247"/>
        <v>0</v>
      </c>
      <c r="SN111" s="24">
        <f t="shared" si="247"/>
        <v>0</v>
      </c>
      <c r="SO111" s="24"/>
      <c r="SP111" s="24"/>
      <c r="SQ111" s="24"/>
      <c r="SR111" s="24"/>
      <c r="SS111" s="24"/>
      <c r="ST111" s="24"/>
      <c r="SU111" s="24"/>
      <c r="SV111" s="24"/>
      <c r="SW111" s="24"/>
      <c r="SX111" s="24"/>
      <c r="SY111" s="24"/>
      <c r="SZ111" s="24"/>
      <c r="TA111" s="24"/>
      <c r="TB111" s="24"/>
      <c r="TC111" s="24"/>
      <c r="TD111" s="24"/>
      <c r="TE111" s="24"/>
      <c r="TF111" s="24"/>
      <c r="TG111" s="24"/>
      <c r="TH111" s="24"/>
      <c r="TI111" s="24"/>
      <c r="TJ111" s="24"/>
      <c r="TK111" s="24"/>
      <c r="TL111" s="24"/>
      <c r="TM111" s="24"/>
      <c r="TN111" s="24"/>
      <c r="TO111" s="24"/>
      <c r="TP111" s="24"/>
      <c r="TQ111" s="24"/>
      <c r="TR111" s="24"/>
      <c r="TS111" s="24"/>
      <c r="TT111" s="24"/>
      <c r="TU111" s="24"/>
      <c r="TV111" s="24"/>
      <c r="TW111" s="24"/>
      <c r="TX111" s="24"/>
      <c r="TY111" s="24"/>
      <c r="TZ111" s="24"/>
      <c r="UA111" s="24"/>
      <c r="UB111" s="24"/>
      <c r="UC111" s="24"/>
      <c r="UD111" s="24"/>
      <c r="UE111" s="24"/>
      <c r="UF111" s="24"/>
      <c r="UG111" s="24"/>
      <c r="UH111" s="24"/>
      <c r="UI111" s="24"/>
      <c r="UJ111" s="24"/>
      <c r="UK111" s="24"/>
      <c r="UL111" s="24"/>
      <c r="UM111" s="24"/>
      <c r="UN111" s="24"/>
      <c r="UO111" s="24"/>
      <c r="UP111" s="24"/>
      <c r="UQ111" s="24"/>
      <c r="UR111" s="24"/>
      <c r="US111" s="24"/>
      <c r="UT111" s="24"/>
      <c r="UU111" s="24"/>
      <c r="UV111" s="24"/>
      <c r="UW111" s="24">
        <f t="shared" si="248"/>
        <v>0</v>
      </c>
      <c r="UX111" s="24">
        <f t="shared" si="248"/>
        <v>0</v>
      </c>
      <c r="UY111" s="24"/>
      <c r="UZ111" s="24"/>
      <c r="VA111" s="24"/>
      <c r="VB111" s="24"/>
      <c r="VC111" s="24"/>
      <c r="VD111" s="24"/>
      <c r="VE111" s="24"/>
      <c r="VF111" s="24"/>
      <c r="VG111" s="24"/>
      <c r="VH111" s="24"/>
      <c r="VI111" s="24"/>
      <c r="VJ111" s="24"/>
      <c r="VK111" s="24"/>
      <c r="VL111" s="24"/>
      <c r="VM111" s="24"/>
      <c r="VN111" s="24"/>
      <c r="VO111" s="24"/>
      <c r="VP111" s="24"/>
      <c r="VQ111" s="24"/>
      <c r="VR111" s="24"/>
      <c r="VS111" s="24"/>
      <c r="VT111" s="24"/>
      <c r="VU111" s="24"/>
      <c r="VV111" s="24"/>
      <c r="VW111" s="24"/>
      <c r="VX111" s="24"/>
      <c r="VY111" s="24"/>
      <c r="VZ111" s="24"/>
      <c r="WA111" s="24"/>
      <c r="WB111" s="24"/>
      <c r="WC111" s="24"/>
      <c r="WD111" s="24"/>
      <c r="WE111" s="24"/>
      <c r="WF111" s="24"/>
      <c r="WG111" s="24"/>
      <c r="WH111" s="24"/>
      <c r="WI111" s="24"/>
      <c r="WJ111" s="24"/>
      <c r="WK111" s="24"/>
      <c r="WL111" s="24"/>
      <c r="WM111" s="24"/>
      <c r="WN111" s="24"/>
      <c r="WO111" s="24"/>
      <c r="WP111" s="24"/>
      <c r="WQ111" s="24"/>
      <c r="WR111" s="24"/>
      <c r="WS111" s="24"/>
      <c r="WT111" s="24"/>
      <c r="WU111" s="24"/>
      <c r="WV111" s="24"/>
      <c r="WW111" s="24"/>
      <c r="WX111" s="24"/>
      <c r="WY111" s="24"/>
      <c r="WZ111" s="24"/>
      <c r="XA111" s="24"/>
      <c r="XB111" s="24"/>
      <c r="XC111" s="24"/>
      <c r="XD111" s="24"/>
      <c r="XE111" s="24"/>
      <c r="XF111" s="24"/>
      <c r="XG111" s="24"/>
      <c r="XH111" s="24"/>
      <c r="XI111" s="24">
        <f t="shared" si="249"/>
        <v>0</v>
      </c>
      <c r="XJ111" s="24">
        <f t="shared" si="249"/>
        <v>0</v>
      </c>
      <c r="XK111" s="24"/>
      <c r="XL111" s="24"/>
      <c r="XM111" s="24"/>
      <c r="XN111" s="24"/>
      <c r="XO111" s="24"/>
      <c r="XP111" s="24"/>
      <c r="XQ111" s="24"/>
      <c r="XR111" s="24"/>
      <c r="XS111" s="24"/>
      <c r="XT111" s="24"/>
      <c r="XU111" s="24"/>
      <c r="XV111" s="24"/>
      <c r="XW111" s="24"/>
      <c r="XX111" s="24"/>
      <c r="XY111" s="24"/>
      <c r="XZ111" s="24"/>
      <c r="YA111" s="24"/>
      <c r="YB111" s="24"/>
      <c r="YC111" s="24"/>
      <c r="YD111" s="24"/>
      <c r="YE111" s="24"/>
      <c r="YF111" s="24"/>
      <c r="YG111" s="24"/>
      <c r="YH111" s="24"/>
      <c r="YI111" s="24"/>
      <c r="YJ111" s="24"/>
      <c r="YK111" s="24"/>
      <c r="YL111" s="24"/>
      <c r="YM111" s="24"/>
      <c r="YN111" s="24"/>
      <c r="YO111" s="24"/>
      <c r="YP111" s="24"/>
      <c r="YQ111" s="24"/>
      <c r="YR111" s="24"/>
      <c r="YS111" s="24"/>
      <c r="YT111" s="24"/>
      <c r="YU111" s="24"/>
      <c r="YV111" s="24"/>
      <c r="YW111" s="24"/>
      <c r="YX111" s="24"/>
      <c r="YY111" s="24"/>
      <c r="YZ111" s="24"/>
      <c r="ZA111" s="24"/>
      <c r="ZB111" s="24"/>
      <c r="ZC111" s="24"/>
      <c r="ZD111" s="24"/>
      <c r="ZE111" s="24"/>
      <c r="ZF111" s="24"/>
      <c r="ZG111" s="24"/>
      <c r="ZH111" s="24"/>
      <c r="ZI111" s="24"/>
      <c r="ZJ111" s="24"/>
      <c r="ZK111" s="24"/>
      <c r="ZL111" s="24"/>
      <c r="ZM111" s="24"/>
      <c r="ZN111" s="24"/>
      <c r="ZO111" s="24"/>
      <c r="ZP111" s="24"/>
      <c r="ZQ111" s="24"/>
      <c r="ZR111" s="24"/>
      <c r="ZS111" s="24">
        <f t="shared" si="250"/>
        <v>0</v>
      </c>
      <c r="ZT111" s="24">
        <f t="shared" si="250"/>
        <v>0</v>
      </c>
      <c r="ZU111" s="24"/>
      <c r="ZV111" s="24"/>
      <c r="ZW111" s="24"/>
      <c r="ZX111" s="24"/>
      <c r="ZY111" s="24"/>
      <c r="ZZ111" s="24"/>
      <c r="AAA111" s="24"/>
      <c r="AAB111" s="24"/>
      <c r="AAC111" s="24"/>
      <c r="AAD111" s="24"/>
      <c r="AAE111" s="24"/>
      <c r="AAF111" s="24"/>
      <c r="AAG111" s="24"/>
      <c r="AAH111" s="24"/>
      <c r="AAI111" s="24"/>
      <c r="AAJ111" s="24"/>
      <c r="AAK111" s="24"/>
      <c r="AAL111" s="24"/>
      <c r="AAM111" s="24"/>
      <c r="AAN111" s="24"/>
      <c r="AAO111" s="24"/>
      <c r="AAP111" s="24"/>
      <c r="AAQ111" s="24"/>
      <c r="AAR111" s="24"/>
      <c r="AAS111" s="24"/>
      <c r="AAT111" s="24"/>
      <c r="AAU111" s="24"/>
      <c r="AAV111" s="24"/>
      <c r="AAW111" s="24"/>
      <c r="AAX111" s="24"/>
      <c r="AAY111" s="24"/>
      <c r="AAZ111" s="24"/>
      <c r="ABA111" s="24"/>
      <c r="ABB111" s="24"/>
      <c r="ABC111" s="24"/>
      <c r="ABD111" s="24"/>
      <c r="ABE111" s="24"/>
      <c r="ABF111" s="24"/>
      <c r="ABG111" s="24"/>
      <c r="ABH111" s="24"/>
      <c r="ABI111" s="24"/>
      <c r="ABJ111" s="24"/>
      <c r="ABK111" s="24"/>
      <c r="ABL111" s="24"/>
      <c r="ABM111" s="24"/>
      <c r="ABN111" s="24"/>
      <c r="ABO111" s="24"/>
      <c r="ABP111" s="24"/>
      <c r="ABQ111" s="24"/>
      <c r="ABR111" s="24"/>
      <c r="ABS111" s="24"/>
      <c r="ABT111" s="24"/>
      <c r="ABU111" s="24"/>
      <c r="ABV111" s="24"/>
      <c r="ABW111" s="24"/>
      <c r="ABX111" s="24"/>
      <c r="ABY111" s="24"/>
      <c r="ABZ111" s="24"/>
      <c r="ACA111" s="24"/>
      <c r="ACB111" s="24"/>
      <c r="ACC111" s="24"/>
      <c r="ACD111" s="24"/>
      <c r="ACE111" s="24">
        <f>ZU111+ZW111+ZY111+AAA111+AAC111+AAE111+AAG111+AAI111+AAK111+AAM111+AAO111+AAQ111+AAS111+AAU111+AAW111+AAY111+ABA111+ABC111+ABE111+ABG111+ABI111+ABK111+ABM111+ABO111+ABQ111+ABS111+ABU111+ABW111+ABY111+ACA111+ACC111</f>
        <v>0</v>
      </c>
      <c r="ACF111" s="24"/>
      <c r="ACG111" s="24">
        <f>BO111+DW111+GI111+IS111+LE111+NO111+QA111+SM111+UW111+XI111+ZS111+ACE111</f>
        <v>47670.94</v>
      </c>
      <c r="ACH111" s="25"/>
      <c r="ACI111" s="71" t="s">
        <v>200</v>
      </c>
      <c r="ACJ111" s="71" t="s">
        <v>102</v>
      </c>
    </row>
    <row r="112" spans="1:764" ht="15.75" thickBot="1" x14ac:dyDescent="0.3">
      <c r="A112" s="162"/>
      <c r="B112" s="153"/>
      <c r="C112" s="158"/>
      <c r="D112" s="68" t="s">
        <v>9</v>
      </c>
      <c r="E112" s="76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  <c r="BF112" s="77"/>
      <c r="BG112" s="77"/>
      <c r="BH112" s="77"/>
      <c r="BI112" s="77"/>
      <c r="BJ112" s="77"/>
      <c r="BK112" s="77"/>
      <c r="BL112" s="77"/>
      <c r="BM112" s="77"/>
      <c r="BN112" s="77"/>
      <c r="BO112" s="45" cm="1">
        <f t="array" ref="BO112">SUMPRODUCT(E112:BM112,--(E$2:BM$2=BO$2))</f>
        <v>0</v>
      </c>
      <c r="BP112" s="45" cm="1">
        <f t="array" ref="BP112">SUMPRODUCT(F112:BN112,--(F$2:BN$2=BP$2))</f>
        <v>0</v>
      </c>
      <c r="BQ112" s="45"/>
      <c r="BR112" s="45"/>
      <c r="BS112" s="45"/>
      <c r="BT112" s="45"/>
      <c r="BU112" s="45"/>
      <c r="BV112" s="45"/>
      <c r="BW112" s="45"/>
      <c r="BX112" s="45"/>
      <c r="BY112" s="45"/>
      <c r="BZ112" s="45"/>
      <c r="CA112" s="45"/>
      <c r="CB112" s="45"/>
      <c r="CC112" s="45"/>
      <c r="CD112" s="45"/>
      <c r="CE112" s="45"/>
      <c r="CF112" s="45"/>
      <c r="CG112" s="45"/>
      <c r="CH112" s="45"/>
      <c r="CI112" s="45"/>
      <c r="CJ112" s="45"/>
      <c r="CK112" s="45"/>
      <c r="CL112" s="45"/>
      <c r="CM112" s="45"/>
      <c r="CN112" s="45"/>
      <c r="CO112" s="45"/>
      <c r="CP112" s="45"/>
      <c r="CQ112" s="45"/>
      <c r="CR112" s="45"/>
      <c r="CS112" s="45"/>
      <c r="CT112" s="45"/>
      <c r="CU112" s="45"/>
      <c r="CV112" s="45"/>
      <c r="CW112" s="45"/>
      <c r="CX112" s="45"/>
      <c r="CY112" s="45"/>
      <c r="CZ112" s="45"/>
      <c r="DA112" s="45"/>
      <c r="DB112" s="45"/>
      <c r="DC112" s="45"/>
      <c r="DD112" s="45"/>
      <c r="DE112" s="45"/>
      <c r="DF112" s="45"/>
      <c r="DG112" s="45"/>
      <c r="DH112" s="45"/>
      <c r="DI112" s="45"/>
      <c r="DJ112" s="45"/>
      <c r="DK112" s="45"/>
      <c r="DL112" s="45"/>
      <c r="DM112" s="45"/>
      <c r="DN112" s="45"/>
      <c r="DO112" s="45"/>
      <c r="DP112" s="45"/>
      <c r="DQ112" s="45"/>
      <c r="DR112" s="45"/>
      <c r="DS112" s="45"/>
      <c r="DT112" s="45"/>
      <c r="DU112" s="45"/>
      <c r="DV112" s="45"/>
      <c r="DW112" s="45" cm="1">
        <f t="array" ref="DW112">SUMPRODUCT(BQ112:DU112,--(BQ$2:DU$2=DW$2))</f>
        <v>0</v>
      </c>
      <c r="DX112" s="45" cm="1">
        <f t="array" ref="DX112">SUMPRODUCT(BR112:DV112,--(BR$2:DV$2=DX$2))</f>
        <v>0</v>
      </c>
      <c r="DY112" s="45"/>
      <c r="DZ112" s="45"/>
      <c r="EA112" s="45"/>
      <c r="EB112" s="45"/>
      <c r="EC112" s="45"/>
      <c r="ED112" s="45"/>
      <c r="EE112" s="45"/>
      <c r="EF112" s="45"/>
      <c r="EG112" s="45"/>
      <c r="EH112" s="45"/>
      <c r="EI112" s="45"/>
      <c r="EJ112" s="45"/>
      <c r="EK112" s="45"/>
      <c r="EL112" s="45"/>
      <c r="EM112" s="45"/>
      <c r="EN112" s="45"/>
      <c r="EO112" s="45"/>
      <c r="EP112" s="45"/>
      <c r="EQ112" s="45"/>
      <c r="ER112" s="45"/>
      <c r="ES112" s="45"/>
      <c r="ET112" s="45"/>
      <c r="EU112" s="45"/>
      <c r="EV112" s="45"/>
      <c r="EW112" s="45"/>
      <c r="EX112" s="45"/>
      <c r="EY112" s="45"/>
      <c r="EZ112" s="45"/>
      <c r="FA112" s="45"/>
      <c r="FB112" s="45"/>
      <c r="FC112" s="45"/>
      <c r="FD112" s="45"/>
      <c r="FE112" s="45"/>
      <c r="FF112" s="45"/>
      <c r="FG112" s="45"/>
      <c r="FH112" s="45"/>
      <c r="FI112" s="45"/>
      <c r="FJ112" s="45"/>
      <c r="FK112" s="45"/>
      <c r="FL112" s="45"/>
      <c r="FM112" s="45"/>
      <c r="FN112" s="45"/>
      <c r="FO112" s="45"/>
      <c r="FP112" s="45"/>
      <c r="FQ112" s="45"/>
      <c r="FR112" s="45"/>
      <c r="FS112" s="45"/>
      <c r="FT112" s="45"/>
      <c r="FU112" s="45"/>
      <c r="FV112" s="45"/>
      <c r="FW112" s="45"/>
      <c r="FX112" s="45"/>
      <c r="FY112" s="45"/>
      <c r="FZ112" s="45"/>
      <c r="GA112" s="45"/>
      <c r="GB112" s="45"/>
      <c r="GC112" s="45"/>
      <c r="GD112" s="45"/>
      <c r="GE112" s="45"/>
      <c r="GF112" s="45"/>
      <c r="GG112" s="45"/>
      <c r="GH112" s="45"/>
      <c r="GI112" s="45" cm="1">
        <f t="array" ref="GI112">SUMPRODUCT(DY112:GG112,--(DY$2:GG$2=GI$2))</f>
        <v>0</v>
      </c>
      <c r="GJ112" s="45" cm="1">
        <f t="array" ref="GJ112">SUMPRODUCT(DZ112:GH112,--(DZ$2:GH$2=GJ$2))</f>
        <v>0</v>
      </c>
      <c r="GK112" s="24"/>
      <c r="GL112" s="24"/>
      <c r="GM112" s="24"/>
      <c r="GN112" s="24"/>
      <c r="GO112" s="24"/>
      <c r="GP112" s="24"/>
      <c r="GQ112" s="24"/>
      <c r="GR112" s="24"/>
      <c r="GS112" s="24"/>
      <c r="GT112" s="24"/>
      <c r="GU112" s="24"/>
      <c r="GV112" s="24"/>
      <c r="GW112" s="24"/>
      <c r="GX112" s="24"/>
      <c r="GY112" s="24"/>
      <c r="GZ112" s="24"/>
      <c r="HA112" s="24"/>
      <c r="HB112" s="24"/>
      <c r="HC112" s="24"/>
      <c r="HD112" s="24"/>
      <c r="HE112" s="24"/>
      <c r="HF112" s="24"/>
      <c r="HG112" s="24"/>
      <c r="HH112" s="24"/>
      <c r="HI112" s="24"/>
      <c r="HJ112" s="24"/>
      <c r="HK112" s="24"/>
      <c r="HL112" s="24"/>
      <c r="HM112" s="24"/>
      <c r="HN112" s="24"/>
      <c r="HO112" s="24"/>
      <c r="HP112" s="24"/>
      <c r="HQ112" s="24"/>
      <c r="HR112" s="24"/>
      <c r="HS112" s="24"/>
      <c r="HT112" s="24"/>
      <c r="HU112" s="24"/>
      <c r="HV112" s="24"/>
      <c r="HW112" s="24"/>
      <c r="HX112" s="24"/>
      <c r="HY112" s="24"/>
      <c r="HZ112" s="24"/>
      <c r="IA112" s="24"/>
      <c r="IB112" s="24"/>
      <c r="IC112" s="24"/>
      <c r="ID112" s="24"/>
      <c r="IE112" s="24"/>
      <c r="IF112" s="24"/>
      <c r="IG112" s="24"/>
      <c r="IH112" s="24"/>
      <c r="II112" s="24"/>
      <c r="IJ112" s="24"/>
      <c r="IK112" s="24"/>
      <c r="IL112" s="24"/>
      <c r="IM112" s="24"/>
      <c r="IN112" s="24"/>
      <c r="IO112" s="24"/>
      <c r="IP112" s="24"/>
      <c r="IQ112" s="24"/>
      <c r="IR112" s="24"/>
      <c r="IS112" s="45">
        <f t="shared" si="243"/>
        <v>0</v>
      </c>
      <c r="IT112" s="45">
        <f t="shared" si="243"/>
        <v>0</v>
      </c>
      <c r="IU112" s="45"/>
      <c r="IV112" s="45"/>
      <c r="IW112" s="45"/>
      <c r="IX112" s="45"/>
      <c r="IY112" s="45"/>
      <c r="IZ112" s="45"/>
      <c r="JA112" s="45"/>
      <c r="JB112" s="45"/>
      <c r="JC112" s="45"/>
      <c r="JD112" s="45"/>
      <c r="JE112" s="45"/>
      <c r="JF112" s="45"/>
      <c r="JG112" s="45"/>
      <c r="JH112" s="45"/>
      <c r="JI112" s="45"/>
      <c r="JJ112" s="45"/>
      <c r="JK112" s="45"/>
      <c r="JL112" s="45"/>
      <c r="JM112" s="45"/>
      <c r="JN112" s="45"/>
      <c r="JO112" s="45"/>
      <c r="JP112" s="45"/>
      <c r="JQ112" s="45"/>
      <c r="JR112" s="45"/>
      <c r="JS112" s="45"/>
      <c r="JT112" s="45"/>
      <c r="JU112" s="45"/>
      <c r="JV112" s="45"/>
      <c r="JW112" s="45"/>
      <c r="JX112" s="45"/>
      <c r="JY112" s="45"/>
      <c r="JZ112" s="45"/>
      <c r="KA112" s="45"/>
      <c r="KB112" s="45"/>
      <c r="KC112" s="45"/>
      <c r="KD112" s="45"/>
      <c r="KE112" s="45"/>
      <c r="KF112" s="45"/>
      <c r="KG112" s="45"/>
      <c r="KH112" s="45"/>
      <c r="KI112" s="45"/>
      <c r="KJ112" s="45"/>
      <c r="KK112" s="45"/>
      <c r="KL112" s="45"/>
      <c r="KM112" s="45"/>
      <c r="KN112" s="45"/>
      <c r="KO112" s="45"/>
      <c r="KP112" s="45"/>
      <c r="KQ112" s="45"/>
      <c r="KR112" s="45"/>
      <c r="KS112" s="45"/>
      <c r="KT112" s="45"/>
      <c r="KU112" s="45"/>
      <c r="KV112" s="45"/>
      <c r="KW112" s="45"/>
      <c r="KX112" s="45"/>
      <c r="KY112" s="45"/>
      <c r="KZ112" s="45"/>
      <c r="LA112" s="45"/>
      <c r="LB112" s="45"/>
      <c r="LC112" s="45"/>
      <c r="LD112" s="45"/>
      <c r="LE112" s="45">
        <f t="shared" si="244"/>
        <v>0</v>
      </c>
      <c r="LF112" s="45">
        <f t="shared" si="244"/>
        <v>0</v>
      </c>
      <c r="LG112" s="45"/>
      <c r="LH112" s="45"/>
      <c r="LI112" s="45"/>
      <c r="LJ112" s="45"/>
      <c r="LK112" s="45"/>
      <c r="LL112" s="45"/>
      <c r="LM112" s="45"/>
      <c r="LN112" s="45"/>
      <c r="LO112" s="45"/>
      <c r="LP112" s="45"/>
      <c r="LQ112" s="45"/>
      <c r="LR112" s="45"/>
      <c r="LS112" s="45"/>
      <c r="LT112" s="45"/>
      <c r="LU112" s="45"/>
      <c r="LV112" s="45"/>
      <c r="LW112" s="45"/>
      <c r="LX112" s="45"/>
      <c r="LY112" s="45"/>
      <c r="LZ112" s="45"/>
      <c r="MA112" s="45"/>
      <c r="MB112" s="45"/>
      <c r="MC112" s="45"/>
      <c r="MD112" s="45"/>
      <c r="ME112" s="45"/>
      <c r="MF112" s="45"/>
      <c r="MG112" s="45"/>
      <c r="MH112" s="45"/>
      <c r="MI112" s="45"/>
      <c r="MJ112" s="45"/>
      <c r="MK112" s="45"/>
      <c r="ML112" s="45"/>
      <c r="MM112" s="45"/>
      <c r="MN112" s="45"/>
      <c r="MO112" s="45"/>
      <c r="MP112" s="45"/>
      <c r="MQ112" s="45"/>
      <c r="MR112" s="45"/>
      <c r="MS112" s="45"/>
      <c r="MT112" s="45"/>
      <c r="MU112" s="45"/>
      <c r="MV112" s="45"/>
      <c r="MW112" s="45"/>
      <c r="MX112" s="45"/>
      <c r="MY112" s="45"/>
      <c r="MZ112" s="45"/>
      <c r="NA112" s="45"/>
      <c r="NB112" s="45"/>
      <c r="NC112" s="45"/>
      <c r="ND112" s="45"/>
      <c r="NE112" s="45"/>
      <c r="NF112" s="45"/>
      <c r="NG112" s="45"/>
      <c r="NH112" s="45"/>
      <c r="NI112" s="45"/>
      <c r="NJ112" s="45"/>
      <c r="NK112" s="45"/>
      <c r="NL112" s="45"/>
      <c r="NM112" s="45"/>
      <c r="NN112" s="45"/>
      <c r="NO112" s="45">
        <f t="shared" si="245"/>
        <v>0</v>
      </c>
      <c r="NP112" s="45">
        <f t="shared" si="245"/>
        <v>0</v>
      </c>
      <c r="NQ112" s="45"/>
      <c r="NR112" s="45"/>
      <c r="NS112" s="45"/>
      <c r="NT112" s="45"/>
      <c r="NU112" s="45"/>
      <c r="NV112" s="45"/>
      <c r="NW112" s="45"/>
      <c r="NX112" s="45"/>
      <c r="NY112" s="45"/>
      <c r="NZ112" s="45"/>
      <c r="OA112" s="45"/>
      <c r="OB112" s="45"/>
      <c r="OC112" s="45"/>
      <c r="OD112" s="45"/>
      <c r="OE112" s="45"/>
      <c r="OF112" s="45"/>
      <c r="OG112" s="45"/>
      <c r="OH112" s="45"/>
      <c r="OI112" s="45"/>
      <c r="OJ112" s="45"/>
      <c r="OK112" s="45"/>
      <c r="OL112" s="45"/>
      <c r="OM112" s="45"/>
      <c r="ON112" s="45"/>
      <c r="OO112" s="45"/>
      <c r="OP112" s="45"/>
      <c r="OQ112" s="45"/>
      <c r="OR112" s="45"/>
      <c r="OS112" s="45"/>
      <c r="OT112" s="45"/>
      <c r="OU112" s="45"/>
      <c r="OV112" s="45"/>
      <c r="OW112" s="45"/>
      <c r="OX112" s="45"/>
      <c r="OY112" s="45"/>
      <c r="OZ112" s="45"/>
      <c r="PA112" s="45"/>
      <c r="PB112" s="45"/>
      <c r="PC112" s="45"/>
      <c r="PD112" s="45"/>
      <c r="PE112" s="45"/>
      <c r="PF112" s="45"/>
      <c r="PG112" s="45"/>
      <c r="PH112" s="45"/>
      <c r="PI112" s="45"/>
      <c r="PJ112" s="45"/>
      <c r="PK112" s="45"/>
      <c r="PL112" s="45"/>
      <c r="PM112" s="45"/>
      <c r="PN112" s="45"/>
      <c r="PO112" s="45"/>
      <c r="PP112" s="45"/>
      <c r="PQ112" s="45"/>
      <c r="PR112" s="45"/>
      <c r="PS112" s="45"/>
      <c r="PT112" s="45"/>
      <c r="PU112" s="45"/>
      <c r="PV112" s="45"/>
      <c r="PW112" s="45"/>
      <c r="PX112" s="45"/>
      <c r="PY112" s="45"/>
      <c r="PZ112" s="45"/>
      <c r="QA112" s="45">
        <f t="shared" si="246"/>
        <v>0</v>
      </c>
      <c r="QB112" s="45">
        <f t="shared" si="246"/>
        <v>0</v>
      </c>
      <c r="QC112" s="45"/>
      <c r="QD112" s="45"/>
      <c r="QE112" s="45"/>
      <c r="QF112" s="45"/>
      <c r="QG112" s="45"/>
      <c r="QH112" s="45"/>
      <c r="QI112" s="45"/>
      <c r="QJ112" s="45"/>
      <c r="QK112" s="45"/>
      <c r="QL112" s="45"/>
      <c r="QM112" s="45"/>
      <c r="QN112" s="45"/>
      <c r="QO112" s="45"/>
      <c r="QP112" s="45"/>
      <c r="QQ112" s="45"/>
      <c r="QR112" s="45"/>
      <c r="QS112" s="45"/>
      <c r="QT112" s="45"/>
      <c r="QU112" s="45"/>
      <c r="QV112" s="45"/>
      <c r="QW112" s="45"/>
      <c r="QX112" s="45"/>
      <c r="QY112" s="45"/>
      <c r="QZ112" s="45"/>
      <c r="RA112" s="45"/>
      <c r="RB112" s="45"/>
      <c r="RC112" s="45"/>
      <c r="RD112" s="45"/>
      <c r="RE112" s="45"/>
      <c r="RF112" s="45"/>
      <c r="RG112" s="45"/>
      <c r="RH112" s="45"/>
      <c r="RI112" s="45"/>
      <c r="RJ112" s="45"/>
      <c r="RK112" s="45"/>
      <c r="RL112" s="45"/>
      <c r="RM112" s="45"/>
      <c r="RN112" s="45"/>
      <c r="RO112" s="45"/>
      <c r="RP112" s="45"/>
      <c r="RQ112" s="45"/>
      <c r="RR112" s="45"/>
      <c r="RS112" s="45"/>
      <c r="RT112" s="45"/>
      <c r="RU112" s="45"/>
      <c r="RV112" s="45"/>
      <c r="RW112" s="45"/>
      <c r="RX112" s="45"/>
      <c r="RY112" s="45"/>
      <c r="RZ112" s="45"/>
      <c r="SA112" s="45"/>
      <c r="SB112" s="45"/>
      <c r="SC112" s="45"/>
      <c r="SD112" s="45"/>
      <c r="SE112" s="45"/>
      <c r="SF112" s="45"/>
      <c r="SG112" s="45"/>
      <c r="SH112" s="45"/>
      <c r="SI112" s="45"/>
      <c r="SJ112" s="45"/>
      <c r="SK112" s="45"/>
      <c r="SL112" s="45"/>
      <c r="SM112" s="45">
        <f t="shared" si="247"/>
        <v>0</v>
      </c>
      <c r="SN112" s="45">
        <f t="shared" si="247"/>
        <v>0</v>
      </c>
      <c r="SO112" s="24"/>
      <c r="SP112" s="24"/>
      <c r="SQ112" s="24"/>
      <c r="SR112" s="24"/>
      <c r="SS112" s="24"/>
      <c r="ST112" s="24"/>
      <c r="SU112" s="24"/>
      <c r="SV112" s="24"/>
      <c r="SW112" s="24"/>
      <c r="SX112" s="24"/>
      <c r="SY112" s="24"/>
      <c r="SZ112" s="24"/>
      <c r="TA112" s="24"/>
      <c r="TB112" s="24"/>
      <c r="TC112" s="24"/>
      <c r="TD112" s="24"/>
      <c r="TE112" s="24"/>
      <c r="TF112" s="24"/>
      <c r="TG112" s="24"/>
      <c r="TH112" s="24"/>
      <c r="TI112" s="24"/>
      <c r="TJ112" s="24"/>
      <c r="TK112" s="24"/>
      <c r="TL112" s="24"/>
      <c r="TM112" s="24"/>
      <c r="TN112" s="24"/>
      <c r="TO112" s="24"/>
      <c r="TP112" s="24"/>
      <c r="TQ112" s="24"/>
      <c r="TR112" s="24"/>
      <c r="TS112" s="24"/>
      <c r="TT112" s="24"/>
      <c r="TU112" s="24"/>
      <c r="TV112" s="24"/>
      <c r="TW112" s="24"/>
      <c r="TX112" s="24"/>
      <c r="TY112" s="24"/>
      <c r="TZ112" s="24"/>
      <c r="UA112" s="24"/>
      <c r="UB112" s="24"/>
      <c r="UC112" s="24"/>
      <c r="UD112" s="24"/>
      <c r="UE112" s="24"/>
      <c r="UF112" s="24"/>
      <c r="UG112" s="24"/>
      <c r="UH112" s="24"/>
      <c r="UI112" s="24"/>
      <c r="UJ112" s="24"/>
      <c r="UK112" s="24"/>
      <c r="UL112" s="24"/>
      <c r="UM112" s="24"/>
      <c r="UN112" s="24"/>
      <c r="UO112" s="24"/>
      <c r="UP112" s="24"/>
      <c r="UQ112" s="24"/>
      <c r="UR112" s="24"/>
      <c r="US112" s="24"/>
      <c r="UT112" s="24"/>
      <c r="UU112" s="24"/>
      <c r="UV112" s="24"/>
      <c r="UW112" s="45">
        <f t="shared" si="248"/>
        <v>0</v>
      </c>
      <c r="UX112" s="45">
        <f t="shared" si="248"/>
        <v>0</v>
      </c>
      <c r="UY112" s="45"/>
      <c r="UZ112" s="45"/>
      <c r="VA112" s="45"/>
      <c r="VB112" s="45"/>
      <c r="VC112" s="45"/>
      <c r="VD112" s="45"/>
      <c r="VE112" s="45"/>
      <c r="VF112" s="45"/>
      <c r="VG112" s="45"/>
      <c r="VH112" s="45"/>
      <c r="VI112" s="45"/>
      <c r="VJ112" s="45"/>
      <c r="VK112" s="45"/>
      <c r="VL112" s="45"/>
      <c r="VM112" s="45"/>
      <c r="VN112" s="45"/>
      <c r="VO112" s="45"/>
      <c r="VP112" s="45"/>
      <c r="VQ112" s="45"/>
      <c r="VR112" s="45"/>
      <c r="VS112" s="45"/>
      <c r="VT112" s="45"/>
      <c r="VU112" s="45"/>
      <c r="VV112" s="45"/>
      <c r="VW112" s="45"/>
      <c r="VX112" s="45"/>
      <c r="VY112" s="45"/>
      <c r="VZ112" s="45"/>
      <c r="WA112" s="45"/>
      <c r="WB112" s="45"/>
      <c r="WC112" s="45"/>
      <c r="WD112" s="45"/>
      <c r="WE112" s="45"/>
      <c r="WF112" s="45"/>
      <c r="WG112" s="45"/>
      <c r="WH112" s="45"/>
      <c r="WI112" s="45"/>
      <c r="WJ112" s="45"/>
      <c r="WK112" s="45"/>
      <c r="WL112" s="45"/>
      <c r="WM112" s="45"/>
      <c r="WN112" s="45"/>
      <c r="WO112" s="45"/>
      <c r="WP112" s="45"/>
      <c r="WQ112" s="45"/>
      <c r="WR112" s="45"/>
      <c r="WS112" s="45"/>
      <c r="WT112" s="45"/>
      <c r="WU112" s="45"/>
      <c r="WV112" s="45"/>
      <c r="WW112" s="45"/>
      <c r="WX112" s="45"/>
      <c r="WY112" s="45"/>
      <c r="WZ112" s="45"/>
      <c r="XA112" s="45"/>
      <c r="XB112" s="45"/>
      <c r="XC112" s="45"/>
      <c r="XD112" s="45"/>
      <c r="XE112" s="45"/>
      <c r="XF112" s="45"/>
      <c r="XG112" s="45"/>
      <c r="XH112" s="45"/>
      <c r="XI112" s="45">
        <f t="shared" si="249"/>
        <v>0</v>
      </c>
      <c r="XJ112" s="45">
        <f t="shared" si="249"/>
        <v>0</v>
      </c>
      <c r="XK112" s="45"/>
      <c r="XL112" s="45"/>
      <c r="XM112" s="45"/>
      <c r="XN112" s="45"/>
      <c r="XO112" s="45"/>
      <c r="XP112" s="45"/>
      <c r="XQ112" s="45"/>
      <c r="XR112" s="45"/>
      <c r="XS112" s="45"/>
      <c r="XT112" s="45"/>
      <c r="XU112" s="45"/>
      <c r="XV112" s="45"/>
      <c r="XW112" s="45"/>
      <c r="XX112" s="45"/>
      <c r="XY112" s="45"/>
      <c r="XZ112" s="45"/>
      <c r="YA112" s="45"/>
      <c r="YB112" s="45"/>
      <c r="YC112" s="45"/>
      <c r="YD112" s="45"/>
      <c r="YE112" s="45"/>
      <c r="YF112" s="45"/>
      <c r="YG112" s="45"/>
      <c r="YH112" s="45"/>
      <c r="YI112" s="45"/>
      <c r="YJ112" s="45"/>
      <c r="YK112" s="45"/>
      <c r="YL112" s="45"/>
      <c r="YM112" s="45"/>
      <c r="YN112" s="45"/>
      <c r="YO112" s="45"/>
      <c r="YP112" s="45"/>
      <c r="YQ112" s="45"/>
      <c r="YR112" s="45"/>
      <c r="YS112" s="45"/>
      <c r="YT112" s="45"/>
      <c r="YU112" s="45"/>
      <c r="YV112" s="45"/>
      <c r="YW112" s="45"/>
      <c r="YX112" s="45"/>
      <c r="YY112" s="45"/>
      <c r="YZ112" s="45"/>
      <c r="ZA112" s="45"/>
      <c r="ZB112" s="45"/>
      <c r="ZC112" s="45"/>
      <c r="ZD112" s="45"/>
      <c r="ZE112" s="45"/>
      <c r="ZF112" s="45"/>
      <c r="ZG112" s="45"/>
      <c r="ZH112" s="45"/>
      <c r="ZI112" s="45"/>
      <c r="ZJ112" s="45"/>
      <c r="ZK112" s="45"/>
      <c r="ZL112" s="45"/>
      <c r="ZM112" s="45"/>
      <c r="ZN112" s="45"/>
      <c r="ZO112" s="45"/>
      <c r="ZP112" s="45"/>
      <c r="ZQ112" s="45"/>
      <c r="ZR112" s="45"/>
      <c r="ZS112" s="45">
        <f t="shared" si="250"/>
        <v>0</v>
      </c>
      <c r="ZT112" s="45">
        <f t="shared" si="250"/>
        <v>0</v>
      </c>
      <c r="ZU112" s="45"/>
      <c r="ZV112" s="45"/>
      <c r="ZW112" s="45"/>
      <c r="ZX112" s="45"/>
      <c r="ZY112" s="45"/>
      <c r="ZZ112" s="45"/>
      <c r="AAA112" s="45"/>
      <c r="AAB112" s="45"/>
      <c r="AAC112" s="45"/>
      <c r="AAD112" s="45"/>
      <c r="AAE112" s="45"/>
      <c r="AAF112" s="45"/>
      <c r="AAG112" s="45"/>
      <c r="AAH112" s="45"/>
      <c r="AAI112" s="45"/>
      <c r="AAJ112" s="45"/>
      <c r="AAK112" s="45"/>
      <c r="AAL112" s="45"/>
      <c r="AAM112" s="45"/>
      <c r="AAN112" s="45"/>
      <c r="AAO112" s="45"/>
      <c r="AAP112" s="45"/>
      <c r="AAQ112" s="45"/>
      <c r="AAR112" s="45"/>
      <c r="AAS112" s="45"/>
      <c r="AAT112" s="45"/>
      <c r="AAU112" s="45"/>
      <c r="AAV112" s="45"/>
      <c r="AAW112" s="45"/>
      <c r="AAX112" s="45"/>
      <c r="AAY112" s="45"/>
      <c r="AAZ112" s="45"/>
      <c r="ABA112" s="45"/>
      <c r="ABB112" s="45"/>
      <c r="ABC112" s="45"/>
      <c r="ABD112" s="45"/>
      <c r="ABE112" s="45"/>
      <c r="ABF112" s="45"/>
      <c r="ABG112" s="45"/>
      <c r="ABH112" s="45"/>
      <c r="ABI112" s="45"/>
      <c r="ABJ112" s="45"/>
      <c r="ABK112" s="45"/>
      <c r="ABL112" s="45"/>
      <c r="ABM112" s="45"/>
      <c r="ABN112" s="45"/>
      <c r="ABO112" s="45"/>
      <c r="ABP112" s="45"/>
      <c r="ABQ112" s="45"/>
      <c r="ABR112" s="45"/>
      <c r="ABS112" s="45"/>
      <c r="ABT112" s="45"/>
      <c r="ABU112" s="45"/>
      <c r="ABV112" s="45"/>
      <c r="ABW112" s="45"/>
      <c r="ABX112" s="45"/>
      <c r="ABY112" s="45"/>
      <c r="ABZ112" s="45"/>
      <c r="ACA112" s="45"/>
      <c r="ACB112" s="45"/>
      <c r="ACC112" s="45"/>
      <c r="ACD112" s="45"/>
      <c r="ACE112" s="45">
        <f>ZU112+ZW112+ZY112+AAA112+AAC112+AAE112+AAG112+AAI112+AAK112+AAM112+AAO112+AAQ112+AAS112+AAU112+AAW112+AAY112+ABA112+ABC112+ABE112+ABG112+ABI112+ABK112+ABM112+ABO112+ABQ112+ABS112+ABU112+ABW112+ABY112+ACA112+ACC112</f>
        <v>0</v>
      </c>
      <c r="ACF112" s="45"/>
      <c r="ACG112" s="45">
        <f>BO112+DW112+GI112+IS112+LE112+NO112+QA112+SM112+UW112+XI112+ZS112+ACE112</f>
        <v>0</v>
      </c>
      <c r="ACH112" s="55"/>
      <c r="ACI112" s="71" t="s">
        <v>201</v>
      </c>
      <c r="ACJ112" s="71" t="s">
        <v>102</v>
      </c>
    </row>
    <row r="113" spans="1:764" ht="16.5" thickBot="1" x14ac:dyDescent="0.3">
      <c r="A113" s="163"/>
      <c r="B113" s="167" t="s">
        <v>37</v>
      </c>
      <c r="C113" s="168"/>
      <c r="D113" s="169"/>
      <c r="E113" s="48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>
        <f>SUM(BO108:BO112)</f>
        <v>14796.849999999999</v>
      </c>
      <c r="BP113" s="39">
        <f>SUM(BP108:BP112)</f>
        <v>14638.330000000002</v>
      </c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>
        <f>SUM(DW108:DW112)</f>
        <v>13393.01</v>
      </c>
      <c r="DX113" s="39">
        <f>SUM(DX108:DX112)</f>
        <v>13273.59</v>
      </c>
      <c r="DY113" s="39"/>
      <c r="DZ113" s="39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>
        <f>SUM(GI108:GI112)</f>
        <v>15769.15</v>
      </c>
      <c r="GJ113" s="39">
        <f>SUM(GJ108:GJ112)</f>
        <v>15580.469999999998</v>
      </c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>
        <f>SUM(IS108:IS112)</f>
        <v>14991.149999999998</v>
      </c>
      <c r="IT113" s="39">
        <f>SUM(IT108:IT112)</f>
        <v>14322.96</v>
      </c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  <c r="JP113" s="39"/>
      <c r="JQ113" s="39"/>
      <c r="JR113" s="39"/>
      <c r="JS113" s="39"/>
      <c r="JT113" s="39"/>
      <c r="JU113" s="39"/>
      <c r="JV113" s="39"/>
      <c r="JW113" s="39"/>
      <c r="JX113" s="39"/>
      <c r="JY113" s="39"/>
      <c r="JZ113" s="39"/>
      <c r="KA113" s="39"/>
      <c r="KB113" s="39"/>
      <c r="KC113" s="39"/>
      <c r="KD113" s="39"/>
      <c r="KE113" s="39"/>
      <c r="KF113" s="39"/>
      <c r="KG113" s="39"/>
      <c r="KH113" s="39"/>
      <c r="KI113" s="39"/>
      <c r="KJ113" s="39"/>
      <c r="KK113" s="39"/>
      <c r="KL113" s="39"/>
      <c r="KM113" s="39"/>
      <c r="KN113" s="39"/>
      <c r="KO113" s="39"/>
      <c r="KP113" s="39"/>
      <c r="KQ113" s="39"/>
      <c r="KR113" s="39"/>
      <c r="KS113" s="39"/>
      <c r="KT113" s="39"/>
      <c r="KU113" s="39"/>
      <c r="KV113" s="39"/>
      <c r="KW113" s="39"/>
      <c r="KX113" s="39"/>
      <c r="KY113" s="39"/>
      <c r="KZ113" s="39"/>
      <c r="LA113" s="39"/>
      <c r="LB113" s="39"/>
      <c r="LC113" s="39"/>
      <c r="LD113" s="39"/>
      <c r="LE113" s="39">
        <f>SUM(LE108:LE112)</f>
        <v>8041.7999999999993</v>
      </c>
      <c r="LF113" s="39">
        <f>SUM(LF108:LF112)</f>
        <v>6655.64</v>
      </c>
      <c r="LG113" s="39"/>
      <c r="LH113" s="39"/>
      <c r="LI113" s="39"/>
      <c r="LJ113" s="39"/>
      <c r="LK113" s="39"/>
      <c r="LL113" s="39"/>
      <c r="LM113" s="39"/>
      <c r="LN113" s="39"/>
      <c r="LO113" s="39"/>
      <c r="LP113" s="39"/>
      <c r="LQ113" s="39"/>
      <c r="LR113" s="39"/>
      <c r="LS113" s="39"/>
      <c r="LT113" s="39"/>
      <c r="LU113" s="39"/>
      <c r="LV113" s="39"/>
      <c r="LW113" s="39"/>
      <c r="LX113" s="39"/>
      <c r="LY113" s="39"/>
      <c r="LZ113" s="39"/>
      <c r="MA113" s="39"/>
      <c r="MB113" s="39"/>
      <c r="MC113" s="39"/>
      <c r="MD113" s="39"/>
      <c r="ME113" s="39"/>
      <c r="MF113" s="39"/>
      <c r="MG113" s="39"/>
      <c r="MH113" s="39"/>
      <c r="MI113" s="39"/>
      <c r="MJ113" s="39"/>
      <c r="MK113" s="39"/>
      <c r="ML113" s="39"/>
      <c r="MM113" s="39"/>
      <c r="MN113" s="39"/>
      <c r="MO113" s="39"/>
      <c r="MP113" s="39"/>
      <c r="MQ113" s="39"/>
      <c r="MR113" s="39"/>
      <c r="MS113" s="39"/>
      <c r="MT113" s="39"/>
      <c r="MU113" s="39"/>
      <c r="MV113" s="39"/>
      <c r="MW113" s="39"/>
      <c r="MX113" s="39"/>
      <c r="MY113" s="39"/>
      <c r="MZ113" s="39"/>
      <c r="NA113" s="39"/>
      <c r="NB113" s="39"/>
      <c r="NC113" s="39"/>
      <c r="ND113" s="39"/>
      <c r="NE113" s="39"/>
      <c r="NF113" s="39"/>
      <c r="NG113" s="39"/>
      <c r="NH113" s="39"/>
      <c r="NI113" s="39"/>
      <c r="NJ113" s="39"/>
      <c r="NK113" s="39"/>
      <c r="NL113" s="39"/>
      <c r="NM113" s="39"/>
      <c r="NN113" s="39"/>
      <c r="NO113" s="39">
        <f>SUM(NO108:NO112)</f>
        <v>0</v>
      </c>
      <c r="NP113" s="39">
        <f>SUM(NP108:NP112)</f>
        <v>0</v>
      </c>
      <c r="NQ113" s="39"/>
      <c r="NR113" s="39"/>
      <c r="NS113" s="39"/>
      <c r="NT113" s="39"/>
      <c r="NU113" s="39"/>
      <c r="NV113" s="39"/>
      <c r="NW113" s="39"/>
      <c r="NX113" s="39"/>
      <c r="NY113" s="39"/>
      <c r="NZ113" s="39"/>
      <c r="OA113" s="39"/>
      <c r="OB113" s="39"/>
      <c r="OC113" s="39"/>
      <c r="OD113" s="39"/>
      <c r="OE113" s="39"/>
      <c r="OF113" s="39"/>
      <c r="OG113" s="39"/>
      <c r="OH113" s="39"/>
      <c r="OI113" s="39"/>
      <c r="OJ113" s="39"/>
      <c r="OK113" s="39"/>
      <c r="OL113" s="39"/>
      <c r="OM113" s="39"/>
      <c r="ON113" s="39"/>
      <c r="OO113" s="39"/>
      <c r="OP113" s="39"/>
      <c r="OQ113" s="39"/>
      <c r="OR113" s="39"/>
      <c r="OS113" s="39"/>
      <c r="OT113" s="39"/>
      <c r="OU113" s="39"/>
      <c r="OV113" s="39"/>
      <c r="OW113" s="39"/>
      <c r="OX113" s="39"/>
      <c r="OY113" s="39"/>
      <c r="OZ113" s="39"/>
      <c r="PA113" s="39"/>
      <c r="PB113" s="39"/>
      <c r="PC113" s="39"/>
      <c r="PD113" s="39"/>
      <c r="PE113" s="39"/>
      <c r="PF113" s="39"/>
      <c r="PG113" s="39"/>
      <c r="PH113" s="39"/>
      <c r="PI113" s="39"/>
      <c r="PJ113" s="39"/>
      <c r="PK113" s="39"/>
      <c r="PL113" s="39"/>
      <c r="PM113" s="39"/>
      <c r="PN113" s="39"/>
      <c r="PO113" s="39"/>
      <c r="PP113" s="39"/>
      <c r="PQ113" s="39"/>
      <c r="PR113" s="39"/>
      <c r="PS113" s="39"/>
      <c r="PT113" s="39"/>
      <c r="PU113" s="39"/>
      <c r="PV113" s="39"/>
      <c r="PW113" s="39"/>
      <c r="PX113" s="39"/>
      <c r="PY113" s="39"/>
      <c r="PZ113" s="39"/>
      <c r="QA113" s="39">
        <f>SUM(QA108:QA112)</f>
        <v>0</v>
      </c>
      <c r="QB113" s="39">
        <f>SUM(QB108:QB112)</f>
        <v>0</v>
      </c>
      <c r="QC113" s="39"/>
      <c r="QD113" s="39"/>
      <c r="QE113" s="39"/>
      <c r="QF113" s="39"/>
      <c r="QG113" s="39"/>
      <c r="QH113" s="39"/>
      <c r="QI113" s="39"/>
      <c r="QJ113" s="39"/>
      <c r="QK113" s="39"/>
      <c r="QL113" s="39"/>
      <c r="QM113" s="39"/>
      <c r="QN113" s="39"/>
      <c r="QO113" s="39"/>
      <c r="QP113" s="39"/>
      <c r="QQ113" s="39"/>
      <c r="QR113" s="39"/>
      <c r="QS113" s="39"/>
      <c r="QT113" s="39"/>
      <c r="QU113" s="39"/>
      <c r="QV113" s="39"/>
      <c r="QW113" s="39"/>
      <c r="QX113" s="39"/>
      <c r="QY113" s="39"/>
      <c r="QZ113" s="39"/>
      <c r="RA113" s="39"/>
      <c r="RB113" s="39"/>
      <c r="RC113" s="39"/>
      <c r="RD113" s="39"/>
      <c r="RE113" s="39"/>
      <c r="RF113" s="39"/>
      <c r="RG113" s="39"/>
      <c r="RH113" s="39"/>
      <c r="RI113" s="39"/>
      <c r="RJ113" s="39"/>
      <c r="RK113" s="39"/>
      <c r="RL113" s="39"/>
      <c r="RM113" s="39"/>
      <c r="RN113" s="39"/>
      <c r="RO113" s="39"/>
      <c r="RP113" s="39"/>
      <c r="RQ113" s="39"/>
      <c r="RR113" s="39"/>
      <c r="RS113" s="39"/>
      <c r="RT113" s="39"/>
      <c r="RU113" s="39"/>
      <c r="RV113" s="39"/>
      <c r="RW113" s="39"/>
      <c r="RX113" s="39"/>
      <c r="RY113" s="39"/>
      <c r="RZ113" s="39"/>
      <c r="SA113" s="39"/>
      <c r="SB113" s="39"/>
      <c r="SC113" s="39"/>
      <c r="SD113" s="39"/>
      <c r="SE113" s="39"/>
      <c r="SF113" s="39"/>
      <c r="SG113" s="39"/>
      <c r="SH113" s="39"/>
      <c r="SI113" s="39"/>
      <c r="SJ113" s="39"/>
      <c r="SK113" s="39"/>
      <c r="SL113" s="39"/>
      <c r="SM113" s="39">
        <f>SUM(SM108:SM112)</f>
        <v>0</v>
      </c>
      <c r="SN113" s="39">
        <f>SUM(SN108:SN112)</f>
        <v>0</v>
      </c>
      <c r="SO113" s="39"/>
      <c r="SP113" s="39"/>
      <c r="SQ113" s="39"/>
      <c r="SR113" s="39"/>
      <c r="SS113" s="39"/>
      <c r="ST113" s="39"/>
      <c r="SU113" s="39"/>
      <c r="SV113" s="39"/>
      <c r="SW113" s="39"/>
      <c r="SX113" s="39"/>
      <c r="SY113" s="39"/>
      <c r="SZ113" s="39"/>
      <c r="TA113" s="39"/>
      <c r="TB113" s="39"/>
      <c r="TC113" s="39"/>
      <c r="TD113" s="39"/>
      <c r="TE113" s="39"/>
      <c r="TF113" s="39"/>
      <c r="TG113" s="39"/>
      <c r="TH113" s="39"/>
      <c r="TI113" s="39"/>
      <c r="TJ113" s="39"/>
      <c r="TK113" s="39"/>
      <c r="TL113" s="39"/>
      <c r="TM113" s="39"/>
      <c r="TN113" s="39"/>
      <c r="TO113" s="39"/>
      <c r="TP113" s="39"/>
      <c r="TQ113" s="39"/>
      <c r="TR113" s="39"/>
      <c r="TS113" s="39"/>
      <c r="TT113" s="39"/>
      <c r="TU113" s="39"/>
      <c r="TV113" s="39"/>
      <c r="TW113" s="39"/>
      <c r="TX113" s="39"/>
      <c r="TY113" s="39"/>
      <c r="TZ113" s="39"/>
      <c r="UA113" s="39"/>
      <c r="UB113" s="39"/>
      <c r="UC113" s="39"/>
      <c r="UD113" s="39"/>
      <c r="UE113" s="39"/>
      <c r="UF113" s="39"/>
      <c r="UG113" s="39"/>
      <c r="UH113" s="39"/>
      <c r="UI113" s="39"/>
      <c r="UJ113" s="39"/>
      <c r="UK113" s="39"/>
      <c r="UL113" s="39"/>
      <c r="UM113" s="39"/>
      <c r="UN113" s="39"/>
      <c r="UO113" s="39"/>
      <c r="UP113" s="39"/>
      <c r="UQ113" s="39"/>
      <c r="UR113" s="39"/>
      <c r="US113" s="39"/>
      <c r="UT113" s="39"/>
      <c r="UU113" s="39"/>
      <c r="UV113" s="39"/>
      <c r="UW113" s="39">
        <f>SUM(UW108:UW112)</f>
        <v>0</v>
      </c>
      <c r="UX113" s="39">
        <f>SUM(UX108:UX112)</f>
        <v>0</v>
      </c>
      <c r="UY113" s="39"/>
      <c r="UZ113" s="39"/>
      <c r="VA113" s="39"/>
      <c r="VB113" s="39"/>
      <c r="VC113" s="39"/>
      <c r="VD113" s="39"/>
      <c r="VE113" s="39"/>
      <c r="VF113" s="39"/>
      <c r="VG113" s="39"/>
      <c r="VH113" s="39"/>
      <c r="VI113" s="39"/>
      <c r="VJ113" s="39"/>
      <c r="VK113" s="39"/>
      <c r="VL113" s="39"/>
      <c r="VM113" s="39"/>
      <c r="VN113" s="39"/>
      <c r="VO113" s="39"/>
      <c r="VP113" s="39"/>
      <c r="VQ113" s="39"/>
      <c r="VR113" s="39"/>
      <c r="VS113" s="39"/>
      <c r="VT113" s="39"/>
      <c r="VU113" s="39"/>
      <c r="VV113" s="39"/>
      <c r="VW113" s="39"/>
      <c r="VX113" s="39"/>
      <c r="VY113" s="39"/>
      <c r="VZ113" s="39"/>
      <c r="WA113" s="39"/>
      <c r="WB113" s="39"/>
      <c r="WC113" s="39"/>
      <c r="WD113" s="39"/>
      <c r="WE113" s="39"/>
      <c r="WF113" s="39"/>
      <c r="WG113" s="39"/>
      <c r="WH113" s="39"/>
      <c r="WI113" s="39"/>
      <c r="WJ113" s="39"/>
      <c r="WK113" s="39"/>
      <c r="WL113" s="39"/>
      <c r="WM113" s="39"/>
      <c r="WN113" s="39"/>
      <c r="WO113" s="39"/>
      <c r="WP113" s="39"/>
      <c r="WQ113" s="39"/>
      <c r="WR113" s="39"/>
      <c r="WS113" s="39"/>
      <c r="WT113" s="39"/>
      <c r="WU113" s="39"/>
      <c r="WV113" s="39"/>
      <c r="WW113" s="39"/>
      <c r="WX113" s="39"/>
      <c r="WY113" s="39"/>
      <c r="WZ113" s="39"/>
      <c r="XA113" s="39"/>
      <c r="XB113" s="39"/>
      <c r="XC113" s="39"/>
      <c r="XD113" s="39"/>
      <c r="XE113" s="39"/>
      <c r="XF113" s="39"/>
      <c r="XG113" s="39"/>
      <c r="XH113" s="39"/>
      <c r="XI113" s="39">
        <f>SUM(XI108:XI112)</f>
        <v>0</v>
      </c>
      <c r="XJ113" s="39">
        <f>SUM(XJ108:XJ112)</f>
        <v>0</v>
      </c>
      <c r="XK113" s="39"/>
      <c r="XL113" s="39"/>
      <c r="XM113" s="39"/>
      <c r="XN113" s="39"/>
      <c r="XO113" s="39"/>
      <c r="XP113" s="39"/>
      <c r="XQ113" s="39"/>
      <c r="XR113" s="39"/>
      <c r="XS113" s="39"/>
      <c r="XT113" s="39"/>
      <c r="XU113" s="39"/>
      <c r="XV113" s="39"/>
      <c r="XW113" s="39"/>
      <c r="XX113" s="39"/>
      <c r="XY113" s="39"/>
      <c r="XZ113" s="39"/>
      <c r="YA113" s="39"/>
      <c r="YB113" s="39"/>
      <c r="YC113" s="39"/>
      <c r="YD113" s="39"/>
      <c r="YE113" s="39"/>
      <c r="YF113" s="39"/>
      <c r="YG113" s="39"/>
      <c r="YH113" s="39"/>
      <c r="YI113" s="39"/>
      <c r="YJ113" s="39"/>
      <c r="YK113" s="39"/>
      <c r="YL113" s="39"/>
      <c r="YM113" s="39"/>
      <c r="YN113" s="39"/>
      <c r="YO113" s="39"/>
      <c r="YP113" s="39"/>
      <c r="YQ113" s="39"/>
      <c r="YR113" s="39"/>
      <c r="YS113" s="39"/>
      <c r="YT113" s="39"/>
      <c r="YU113" s="39"/>
      <c r="YV113" s="39"/>
      <c r="YW113" s="39"/>
      <c r="YX113" s="39"/>
      <c r="YY113" s="39"/>
      <c r="YZ113" s="39"/>
      <c r="ZA113" s="39"/>
      <c r="ZB113" s="39"/>
      <c r="ZC113" s="39"/>
      <c r="ZD113" s="39"/>
      <c r="ZE113" s="39"/>
      <c r="ZF113" s="39"/>
      <c r="ZG113" s="39"/>
      <c r="ZH113" s="39"/>
      <c r="ZI113" s="39"/>
      <c r="ZJ113" s="39"/>
      <c r="ZK113" s="39"/>
      <c r="ZL113" s="39"/>
      <c r="ZM113" s="39"/>
      <c r="ZN113" s="39"/>
      <c r="ZO113" s="39"/>
      <c r="ZP113" s="39"/>
      <c r="ZQ113" s="39"/>
      <c r="ZR113" s="39"/>
      <c r="ZS113" s="39">
        <f>SUM(ZS108:ZS112)</f>
        <v>0</v>
      </c>
      <c r="ZT113" s="39">
        <f>SUM(ZT108:ZT112)</f>
        <v>0</v>
      </c>
      <c r="ZU113" s="39"/>
      <c r="ZV113" s="39"/>
      <c r="ZW113" s="39"/>
      <c r="ZX113" s="39"/>
      <c r="ZY113" s="39"/>
      <c r="ZZ113" s="39"/>
      <c r="AAA113" s="39"/>
      <c r="AAB113" s="39"/>
      <c r="AAC113" s="39"/>
      <c r="AAD113" s="39"/>
      <c r="AAE113" s="39"/>
      <c r="AAF113" s="39"/>
      <c r="AAG113" s="39"/>
      <c r="AAH113" s="39"/>
      <c r="AAI113" s="39"/>
      <c r="AAJ113" s="39"/>
      <c r="AAK113" s="39"/>
      <c r="AAL113" s="39"/>
      <c r="AAM113" s="39"/>
      <c r="AAN113" s="39"/>
      <c r="AAO113" s="39"/>
      <c r="AAP113" s="39"/>
      <c r="AAQ113" s="39"/>
      <c r="AAR113" s="39"/>
      <c r="AAS113" s="39"/>
      <c r="AAT113" s="39"/>
      <c r="AAU113" s="39"/>
      <c r="AAV113" s="39"/>
      <c r="AAW113" s="39"/>
      <c r="AAX113" s="39"/>
      <c r="AAY113" s="39"/>
      <c r="AAZ113" s="39"/>
      <c r="ABA113" s="39"/>
      <c r="ABB113" s="39"/>
      <c r="ABC113" s="39"/>
      <c r="ABD113" s="39"/>
      <c r="ABE113" s="39"/>
      <c r="ABF113" s="39"/>
      <c r="ABG113" s="39"/>
      <c r="ABH113" s="39"/>
      <c r="ABI113" s="39"/>
      <c r="ABJ113" s="39"/>
      <c r="ABK113" s="39"/>
      <c r="ABL113" s="39"/>
      <c r="ABM113" s="39"/>
      <c r="ABN113" s="39"/>
      <c r="ABO113" s="39"/>
      <c r="ABP113" s="39"/>
      <c r="ABQ113" s="39"/>
      <c r="ABR113" s="39"/>
      <c r="ABS113" s="39"/>
      <c r="ABT113" s="39"/>
      <c r="ABU113" s="39"/>
      <c r="ABV113" s="39"/>
      <c r="ABW113" s="39"/>
      <c r="ABX113" s="39"/>
      <c r="ABY113" s="39"/>
      <c r="ABZ113" s="39"/>
      <c r="ACA113" s="39"/>
      <c r="ACB113" s="39"/>
      <c r="ACC113" s="39"/>
      <c r="ACD113" s="39"/>
      <c r="ACE113" s="39">
        <f>SUM(ACE108:ACE112)</f>
        <v>0</v>
      </c>
      <c r="ACF113" s="39"/>
      <c r="ACG113" s="39">
        <f>SUM(ACG108:ACG112)</f>
        <v>66991.960000000006</v>
      </c>
      <c r="ACH113" s="40"/>
      <c r="ACI113" s="71" t="s">
        <v>212</v>
      </c>
      <c r="ACJ113" s="71" t="s">
        <v>37</v>
      </c>
    </row>
    <row r="114" spans="1:764" ht="15.75" thickBot="1" x14ac:dyDescent="0.3">
      <c r="A114" s="19">
        <v>12</v>
      </c>
      <c r="B114" s="21" t="s">
        <v>98</v>
      </c>
      <c r="C114" s="20" t="s">
        <v>70</v>
      </c>
      <c r="D114" s="78" t="s">
        <v>6</v>
      </c>
      <c r="E114" s="89">
        <v>440.54580821917801</v>
      </c>
      <c r="F114" s="90">
        <v>440.54580821917801</v>
      </c>
      <c r="G114" s="90">
        <v>440.54580821917801</v>
      </c>
      <c r="H114" s="90">
        <v>440.54580821917801</v>
      </c>
      <c r="I114" s="90">
        <v>440.54580821917801</v>
      </c>
      <c r="J114" s="90">
        <v>440.54580821917801</v>
      </c>
      <c r="K114" s="90">
        <v>440.54580821917801</v>
      </c>
      <c r="L114" s="90">
        <v>440.54580821917801</v>
      </c>
      <c r="M114" s="90">
        <v>440.54580821917801</v>
      </c>
      <c r="N114" s="90">
        <v>440.54580821917801</v>
      </c>
      <c r="O114" s="90">
        <v>440.54580821917801</v>
      </c>
      <c r="P114" s="90">
        <v>440.54580821917801</v>
      </c>
      <c r="Q114" s="90">
        <v>440.54580821917801</v>
      </c>
      <c r="R114" s="90">
        <v>440.54580821917801</v>
      </c>
      <c r="S114" s="90">
        <v>440.54580821917801</v>
      </c>
      <c r="T114" s="90">
        <v>440.54580821917801</v>
      </c>
      <c r="U114" s="90">
        <v>440.54580821917801</v>
      </c>
      <c r="V114" s="90">
        <v>440.54580821917801</v>
      </c>
      <c r="W114" s="90">
        <v>440.54580821917801</v>
      </c>
      <c r="X114" s="90">
        <v>440.54580821917801</v>
      </c>
      <c r="Y114" s="90">
        <v>440.54580821917801</v>
      </c>
      <c r="Z114" s="90">
        <v>440.54580821917801</v>
      </c>
      <c r="AA114" s="90">
        <v>440.54580821917801</v>
      </c>
      <c r="AB114" s="90">
        <v>440.54580821917801</v>
      </c>
      <c r="AC114" s="90">
        <v>440.54580821917801</v>
      </c>
      <c r="AD114" s="90">
        <v>440.54580821917801</v>
      </c>
      <c r="AE114" s="90">
        <v>440.54580821917801</v>
      </c>
      <c r="AF114" s="90">
        <v>440.54580821917801</v>
      </c>
      <c r="AG114" s="90">
        <v>440.54580821917801</v>
      </c>
      <c r="AH114" s="90">
        <v>440.54580821917801</v>
      </c>
      <c r="AI114" s="90">
        <v>440.54580821917801</v>
      </c>
      <c r="AJ114" s="90">
        <v>440.54580821917801</v>
      </c>
      <c r="AK114" s="90">
        <v>440.54580821917801</v>
      </c>
      <c r="AL114" s="90">
        <v>440.54580821917801</v>
      </c>
      <c r="AM114" s="90">
        <v>440.54580821917801</v>
      </c>
      <c r="AN114" s="90">
        <v>440.54580821917801</v>
      </c>
      <c r="AO114" s="90">
        <v>440.54580821917801</v>
      </c>
      <c r="AP114" s="90">
        <v>440.54580821917801</v>
      </c>
      <c r="AQ114" s="90">
        <v>440.54580821917801</v>
      </c>
      <c r="AR114" s="90">
        <v>440.54580821917801</v>
      </c>
      <c r="AS114" s="90">
        <v>440.54580821917801</v>
      </c>
      <c r="AT114" s="90">
        <v>440.54580821917801</v>
      </c>
      <c r="AU114" s="90">
        <v>440.54580821917801</v>
      </c>
      <c r="AV114" s="90">
        <v>440.54580821917801</v>
      </c>
      <c r="AW114" s="90">
        <v>440.54580821917801</v>
      </c>
      <c r="AX114" s="90">
        <v>440.54580821917801</v>
      </c>
      <c r="AY114" s="90">
        <v>440.54580821917801</v>
      </c>
      <c r="AZ114" s="90">
        <v>440.54580821917801</v>
      </c>
      <c r="BA114" s="90">
        <v>440.54580821917801</v>
      </c>
      <c r="BB114" s="90">
        <v>440.54580821917801</v>
      </c>
      <c r="BC114" s="90">
        <v>440.54580821917801</v>
      </c>
      <c r="BD114" s="90">
        <v>440.54580821917801</v>
      </c>
      <c r="BE114" s="90">
        <v>440.54580821917801</v>
      </c>
      <c r="BF114" s="90">
        <v>440.54580821917801</v>
      </c>
      <c r="BG114" s="90">
        <v>440.54580821917801</v>
      </c>
      <c r="BH114" s="90">
        <v>440.54580821917801</v>
      </c>
      <c r="BI114" s="90">
        <v>440.54580821917801</v>
      </c>
      <c r="BJ114" s="90">
        <v>440.54580821917801</v>
      </c>
      <c r="BK114" s="90">
        <v>440.54580821917801</v>
      </c>
      <c r="BL114" s="90">
        <v>440.54580821917801</v>
      </c>
      <c r="BM114" s="90">
        <v>440.54580821917801</v>
      </c>
      <c r="BN114" s="90">
        <v>440.54580821917801</v>
      </c>
      <c r="BO114" s="39" cm="1">
        <f t="array" ref="BO114">SUMPRODUCT(E114:BM114,--(E$2:BM$2=BO$2))</f>
        <v>13656.920054794518</v>
      </c>
      <c r="BP114" s="39" cm="1">
        <f t="array" ref="BP114">SUMPRODUCT(F114:BN114,--(F$2:BN$2=BP$2))</f>
        <v>13656.920054794518</v>
      </c>
      <c r="BQ114" s="39">
        <f t="shared" ref="BQ114:DV114" ca="1" si="251">IF(BQ$1&gt;=TODAY(),0,440.545808219178)</f>
        <v>440.54580821917801</v>
      </c>
      <c r="BR114" s="39">
        <f t="shared" ca="1" si="251"/>
        <v>440.54580821917801</v>
      </c>
      <c r="BS114" s="39">
        <f t="shared" ca="1" si="251"/>
        <v>440.54580821917801</v>
      </c>
      <c r="BT114" s="39">
        <f t="shared" ca="1" si="251"/>
        <v>440.54580821917801</v>
      </c>
      <c r="BU114" s="39">
        <f t="shared" ca="1" si="251"/>
        <v>440.54580821917801</v>
      </c>
      <c r="BV114" s="39">
        <f t="shared" ca="1" si="251"/>
        <v>440.54580821917801</v>
      </c>
      <c r="BW114" s="39">
        <f t="shared" ca="1" si="251"/>
        <v>440.54580821917801</v>
      </c>
      <c r="BX114" s="39">
        <f t="shared" ca="1" si="251"/>
        <v>440.54580821917801</v>
      </c>
      <c r="BY114" s="39">
        <f t="shared" ca="1" si="251"/>
        <v>440.54580821917801</v>
      </c>
      <c r="BZ114" s="39">
        <f t="shared" ca="1" si="251"/>
        <v>440.54580821917801</v>
      </c>
      <c r="CA114" s="39">
        <f t="shared" ca="1" si="251"/>
        <v>440.54580821917801</v>
      </c>
      <c r="CB114" s="39">
        <f t="shared" ca="1" si="251"/>
        <v>440.54580821917801</v>
      </c>
      <c r="CC114" s="39">
        <f t="shared" ca="1" si="251"/>
        <v>440.54580821917801</v>
      </c>
      <c r="CD114" s="39">
        <f t="shared" ca="1" si="251"/>
        <v>440.54580821917801</v>
      </c>
      <c r="CE114" s="39">
        <f t="shared" ca="1" si="251"/>
        <v>440.54580821917801</v>
      </c>
      <c r="CF114" s="39">
        <f t="shared" ca="1" si="251"/>
        <v>440.54580821917801</v>
      </c>
      <c r="CG114" s="39">
        <f t="shared" ca="1" si="251"/>
        <v>440.54580821917801</v>
      </c>
      <c r="CH114" s="39">
        <f t="shared" ca="1" si="251"/>
        <v>440.54580821917801</v>
      </c>
      <c r="CI114" s="39">
        <f t="shared" ca="1" si="251"/>
        <v>440.54580821917801</v>
      </c>
      <c r="CJ114" s="39">
        <f t="shared" ca="1" si="251"/>
        <v>440.54580821917801</v>
      </c>
      <c r="CK114" s="39">
        <f t="shared" ca="1" si="251"/>
        <v>440.54580821917801</v>
      </c>
      <c r="CL114" s="39">
        <f t="shared" ca="1" si="251"/>
        <v>440.54580821917801</v>
      </c>
      <c r="CM114" s="39">
        <f t="shared" ca="1" si="251"/>
        <v>440.54580821917801</v>
      </c>
      <c r="CN114" s="39">
        <f t="shared" ca="1" si="251"/>
        <v>440.54580821917801</v>
      </c>
      <c r="CO114" s="39">
        <f t="shared" ca="1" si="251"/>
        <v>440.54580821917801</v>
      </c>
      <c r="CP114" s="39">
        <f t="shared" ca="1" si="251"/>
        <v>440.54580821917801</v>
      </c>
      <c r="CQ114" s="39">
        <f t="shared" ca="1" si="251"/>
        <v>440.54580821917801</v>
      </c>
      <c r="CR114" s="39">
        <f t="shared" ca="1" si="251"/>
        <v>440.54580821917801</v>
      </c>
      <c r="CS114" s="39">
        <f t="shared" ca="1" si="251"/>
        <v>440.54580821917801</v>
      </c>
      <c r="CT114" s="39">
        <f t="shared" ca="1" si="251"/>
        <v>440.54580821917801</v>
      </c>
      <c r="CU114" s="39">
        <f t="shared" ca="1" si="251"/>
        <v>440.54580821917801</v>
      </c>
      <c r="CV114" s="39">
        <f t="shared" ca="1" si="251"/>
        <v>440.54580821917801</v>
      </c>
      <c r="CW114" s="39">
        <f t="shared" ca="1" si="251"/>
        <v>440.54580821917801</v>
      </c>
      <c r="CX114" s="39">
        <f t="shared" ca="1" si="251"/>
        <v>440.54580821917801</v>
      </c>
      <c r="CY114" s="39">
        <f t="shared" ca="1" si="251"/>
        <v>440.54580821917801</v>
      </c>
      <c r="CZ114" s="39">
        <f t="shared" ca="1" si="251"/>
        <v>440.54580821917801</v>
      </c>
      <c r="DA114" s="39">
        <f t="shared" ca="1" si="251"/>
        <v>440.54580821917801</v>
      </c>
      <c r="DB114" s="39">
        <f t="shared" ca="1" si="251"/>
        <v>440.54580821917801</v>
      </c>
      <c r="DC114" s="39">
        <f t="shared" ca="1" si="251"/>
        <v>440.54580821917801</v>
      </c>
      <c r="DD114" s="39">
        <f t="shared" ca="1" si="251"/>
        <v>440.54580821917801</v>
      </c>
      <c r="DE114" s="39">
        <f t="shared" ca="1" si="251"/>
        <v>440.54580821917801</v>
      </c>
      <c r="DF114" s="39">
        <f t="shared" ca="1" si="251"/>
        <v>440.54580821917801</v>
      </c>
      <c r="DG114" s="39">
        <f t="shared" ca="1" si="251"/>
        <v>440.54580821917801</v>
      </c>
      <c r="DH114" s="39">
        <f t="shared" ca="1" si="251"/>
        <v>440.54580821917801</v>
      </c>
      <c r="DI114" s="39">
        <f t="shared" ca="1" si="251"/>
        <v>440.54580821917801</v>
      </c>
      <c r="DJ114" s="39">
        <f t="shared" ca="1" si="251"/>
        <v>440.54580821917801</v>
      </c>
      <c r="DK114" s="39">
        <f t="shared" ca="1" si="251"/>
        <v>440.54580821917801</v>
      </c>
      <c r="DL114" s="39">
        <f t="shared" ca="1" si="251"/>
        <v>440.54580821917801</v>
      </c>
      <c r="DM114" s="39">
        <f t="shared" ca="1" si="251"/>
        <v>440.54580821917801</v>
      </c>
      <c r="DN114" s="39">
        <f t="shared" ca="1" si="251"/>
        <v>440.54580821917801</v>
      </c>
      <c r="DO114" s="39">
        <f t="shared" ca="1" si="251"/>
        <v>440.54580821917801</v>
      </c>
      <c r="DP114" s="39">
        <f t="shared" ca="1" si="251"/>
        <v>440.54580821917801</v>
      </c>
      <c r="DQ114" s="39">
        <f t="shared" ca="1" si="251"/>
        <v>440.54580821917801</v>
      </c>
      <c r="DR114" s="39">
        <f t="shared" ca="1" si="251"/>
        <v>440.54580821917801</v>
      </c>
      <c r="DS114" s="39">
        <f t="shared" ca="1" si="251"/>
        <v>440.54580821917801</v>
      </c>
      <c r="DT114" s="39">
        <f t="shared" ca="1" si="251"/>
        <v>440.54580821917801</v>
      </c>
      <c r="DU114" s="39">
        <f t="shared" ca="1" si="251"/>
        <v>440.54580821917801</v>
      </c>
      <c r="DV114" s="39">
        <f t="shared" ca="1" si="251"/>
        <v>440.54580821917801</v>
      </c>
      <c r="DW114" s="39" cm="1">
        <f t="array" aca="1" ref="DW114" ca="1">SUMPRODUCT(BQ114:DU114,--(BQ$2:DU$2=DW$2))</f>
        <v>12775.828438356162</v>
      </c>
      <c r="DX114" s="39" cm="1">
        <f t="array" aca="1" ref="DX114" ca="1">SUMPRODUCT(BR114:DV114,--(BR$2:DV$2=DX$2))</f>
        <v>12775.828438356162</v>
      </c>
      <c r="DY114" s="39">
        <f t="shared" ref="DY114:GH114" ca="1" si="252">IF(DY$1&gt;=TODAY(),0,440.545808219178)</f>
        <v>440.54580821917801</v>
      </c>
      <c r="DZ114" s="39">
        <f t="shared" ca="1" si="252"/>
        <v>440.54580821917801</v>
      </c>
      <c r="EA114" s="39">
        <f t="shared" ca="1" si="252"/>
        <v>440.54580821917801</v>
      </c>
      <c r="EB114" s="39">
        <f t="shared" ca="1" si="252"/>
        <v>440.54580821917801</v>
      </c>
      <c r="EC114" s="39">
        <f t="shared" ca="1" si="252"/>
        <v>440.54580821917801</v>
      </c>
      <c r="ED114" s="39">
        <f t="shared" ca="1" si="252"/>
        <v>440.54580821917801</v>
      </c>
      <c r="EE114" s="39">
        <f t="shared" ca="1" si="252"/>
        <v>440.54580821917801</v>
      </c>
      <c r="EF114" s="39">
        <f t="shared" ca="1" si="252"/>
        <v>440.54580821917801</v>
      </c>
      <c r="EG114" s="39">
        <f t="shared" ca="1" si="252"/>
        <v>440.54580821917801</v>
      </c>
      <c r="EH114" s="39">
        <f t="shared" ca="1" si="252"/>
        <v>440.54580821917801</v>
      </c>
      <c r="EI114" s="39">
        <f t="shared" ca="1" si="252"/>
        <v>440.54580821917801</v>
      </c>
      <c r="EJ114" s="39">
        <f t="shared" ca="1" si="252"/>
        <v>440.54580821917801</v>
      </c>
      <c r="EK114" s="39">
        <f t="shared" ca="1" si="252"/>
        <v>440.54580821917801</v>
      </c>
      <c r="EL114" s="39">
        <f t="shared" ca="1" si="252"/>
        <v>440.54580821917801</v>
      </c>
      <c r="EM114" s="39">
        <f t="shared" ca="1" si="252"/>
        <v>440.54580821917801</v>
      </c>
      <c r="EN114" s="39">
        <f t="shared" ca="1" si="252"/>
        <v>440.54580821917801</v>
      </c>
      <c r="EO114" s="39">
        <f t="shared" ca="1" si="252"/>
        <v>440.54580821917801</v>
      </c>
      <c r="EP114" s="39">
        <f t="shared" ca="1" si="252"/>
        <v>440.54580821917801</v>
      </c>
      <c r="EQ114" s="39">
        <f t="shared" ca="1" si="252"/>
        <v>440.54580821917801</v>
      </c>
      <c r="ER114" s="39">
        <f t="shared" ca="1" si="252"/>
        <v>440.54580821917801</v>
      </c>
      <c r="ES114" s="39">
        <f t="shared" ca="1" si="252"/>
        <v>440.54580821917801</v>
      </c>
      <c r="ET114" s="39">
        <f t="shared" ca="1" si="252"/>
        <v>440.54580821917801</v>
      </c>
      <c r="EU114" s="39">
        <f t="shared" ca="1" si="252"/>
        <v>440.54580821917801</v>
      </c>
      <c r="EV114" s="39">
        <f t="shared" ca="1" si="252"/>
        <v>440.54580821917801</v>
      </c>
      <c r="EW114" s="39">
        <f t="shared" ca="1" si="252"/>
        <v>440.54580821917801</v>
      </c>
      <c r="EX114" s="39">
        <f t="shared" ca="1" si="252"/>
        <v>440.54580821917801</v>
      </c>
      <c r="EY114" s="39">
        <f t="shared" ca="1" si="252"/>
        <v>440.54580821917801</v>
      </c>
      <c r="EZ114" s="39">
        <f t="shared" ca="1" si="252"/>
        <v>440.54580821917801</v>
      </c>
      <c r="FA114" s="39">
        <f t="shared" ca="1" si="252"/>
        <v>440.54580821917801</v>
      </c>
      <c r="FB114" s="39">
        <f t="shared" ca="1" si="252"/>
        <v>440.54580821917801</v>
      </c>
      <c r="FC114" s="39">
        <f t="shared" ca="1" si="252"/>
        <v>440.54580821917801</v>
      </c>
      <c r="FD114" s="39">
        <f t="shared" ca="1" si="252"/>
        <v>440.54580821917801</v>
      </c>
      <c r="FE114" s="39">
        <f t="shared" ca="1" si="252"/>
        <v>440.54580821917801</v>
      </c>
      <c r="FF114" s="39">
        <f t="shared" ca="1" si="252"/>
        <v>440.54580821917801</v>
      </c>
      <c r="FG114" s="39">
        <f t="shared" ca="1" si="252"/>
        <v>440.54580821917801</v>
      </c>
      <c r="FH114" s="39">
        <f t="shared" ca="1" si="252"/>
        <v>440.54580821917801</v>
      </c>
      <c r="FI114" s="39">
        <f t="shared" ca="1" si="252"/>
        <v>440.54580821917801</v>
      </c>
      <c r="FJ114" s="39">
        <f t="shared" ca="1" si="252"/>
        <v>440.54580821917801</v>
      </c>
      <c r="FK114" s="39">
        <f t="shared" ca="1" si="252"/>
        <v>440.54580821917801</v>
      </c>
      <c r="FL114" s="39">
        <f t="shared" ca="1" si="252"/>
        <v>440.54580821917801</v>
      </c>
      <c r="FM114" s="39">
        <f t="shared" ca="1" si="252"/>
        <v>440.54580821917801</v>
      </c>
      <c r="FN114" s="39">
        <f t="shared" ca="1" si="252"/>
        <v>440.54580821917801</v>
      </c>
      <c r="FO114" s="39">
        <f t="shared" ca="1" si="252"/>
        <v>440.54580821917801</v>
      </c>
      <c r="FP114" s="39">
        <f t="shared" ca="1" si="252"/>
        <v>440.54580821917801</v>
      </c>
      <c r="FQ114" s="39">
        <f t="shared" ca="1" si="252"/>
        <v>440.54580821917801</v>
      </c>
      <c r="FR114" s="39">
        <f t="shared" ca="1" si="252"/>
        <v>440.54580821917801</v>
      </c>
      <c r="FS114" s="39">
        <f t="shared" ca="1" si="252"/>
        <v>440.54580821917801</v>
      </c>
      <c r="FT114" s="39">
        <f t="shared" ca="1" si="252"/>
        <v>440.54580821917801</v>
      </c>
      <c r="FU114" s="39">
        <f t="shared" ca="1" si="252"/>
        <v>440.54580821917801</v>
      </c>
      <c r="FV114" s="39">
        <f t="shared" ca="1" si="252"/>
        <v>440.54580821917801</v>
      </c>
      <c r="FW114" s="39">
        <f t="shared" ca="1" si="252"/>
        <v>440.54580821917801</v>
      </c>
      <c r="FX114" s="39">
        <f t="shared" ca="1" si="252"/>
        <v>440.54580821917801</v>
      </c>
      <c r="FY114" s="39">
        <f t="shared" ca="1" si="252"/>
        <v>440.54580821917801</v>
      </c>
      <c r="FZ114" s="39">
        <f t="shared" ca="1" si="252"/>
        <v>440.54580821917801</v>
      </c>
      <c r="GA114" s="39">
        <f t="shared" ca="1" si="252"/>
        <v>440.54580821917801</v>
      </c>
      <c r="GB114" s="39">
        <f t="shared" ca="1" si="252"/>
        <v>440.54580821917801</v>
      </c>
      <c r="GC114" s="39">
        <f t="shared" ca="1" si="252"/>
        <v>440.54580821917801</v>
      </c>
      <c r="GD114" s="39">
        <f t="shared" ca="1" si="252"/>
        <v>440.54580821917801</v>
      </c>
      <c r="GE114" s="39">
        <f t="shared" ca="1" si="252"/>
        <v>440.54580821917801</v>
      </c>
      <c r="GF114" s="39">
        <f t="shared" ca="1" si="252"/>
        <v>440.54580821917801</v>
      </c>
      <c r="GG114" s="39">
        <f t="shared" ca="1" si="252"/>
        <v>440.54580821917801</v>
      </c>
      <c r="GH114" s="39">
        <f t="shared" ca="1" si="252"/>
        <v>440.54580821917801</v>
      </c>
      <c r="GI114" s="39" cm="1">
        <f t="array" aca="1" ref="GI114" ca="1">SUMPRODUCT(DY114:GG114,--(DY$2:GG$2=GI$2))</f>
        <v>13656.920054794518</v>
      </c>
      <c r="GJ114" s="39" cm="1">
        <f t="array" aca="1" ref="GJ114" ca="1">SUMPRODUCT(DZ114:GH114,--(DZ$2:GH$2=GJ$2))</f>
        <v>13656.920054794518</v>
      </c>
      <c r="GK114" s="39">
        <v>440.54580821917801</v>
      </c>
      <c r="GL114" s="39">
        <v>440.54580821917801</v>
      </c>
      <c r="GM114" s="39">
        <v>440.54580821917801</v>
      </c>
      <c r="GN114" s="39">
        <v>440.54580821917801</v>
      </c>
      <c r="GO114" s="39">
        <v>440.54580821917801</v>
      </c>
      <c r="GP114" s="39">
        <v>440.54580821917801</v>
      </c>
      <c r="GQ114" s="39">
        <v>440.54580821917801</v>
      </c>
      <c r="GR114" s="39">
        <v>440.54580821917801</v>
      </c>
      <c r="GS114" s="39">
        <v>440.54580821917801</v>
      </c>
      <c r="GT114" s="39">
        <v>440.54580821917801</v>
      </c>
      <c r="GU114" s="39">
        <v>440.54580821917801</v>
      </c>
      <c r="GV114" s="39">
        <v>440.54580821917801</v>
      </c>
      <c r="GW114" s="39">
        <v>440.54580821917801</v>
      </c>
      <c r="GX114" s="39">
        <v>440.54580821917801</v>
      </c>
      <c r="GY114" s="39">
        <v>440.54580821917801</v>
      </c>
      <c r="GZ114" s="39">
        <v>440.54580821917801</v>
      </c>
      <c r="HA114" s="39">
        <v>440.54580821917801</v>
      </c>
      <c r="HB114" s="39">
        <v>440.54580821917801</v>
      </c>
      <c r="HC114" s="39">
        <v>440.54580821917801</v>
      </c>
      <c r="HD114" s="39">
        <v>440.54580821917801</v>
      </c>
      <c r="HE114" s="39">
        <v>440.54580821917801</v>
      </c>
      <c r="HF114" s="39">
        <v>440.54580821917801</v>
      </c>
      <c r="HG114" s="39">
        <v>440.54580821917801</v>
      </c>
      <c r="HH114" s="39">
        <v>440.54580821917801</v>
      </c>
      <c r="HI114" s="39">
        <v>440.54580821917801</v>
      </c>
      <c r="HJ114" s="39">
        <v>440.54580821917801</v>
      </c>
      <c r="HK114" s="39">
        <v>440.54580821917801</v>
      </c>
      <c r="HL114" s="39">
        <v>440.54580821917801</v>
      </c>
      <c r="HM114" s="39">
        <v>440.54580821917801</v>
      </c>
      <c r="HN114" s="39">
        <v>440.54580821917801</v>
      </c>
      <c r="HO114" s="39">
        <v>440.54580821917801</v>
      </c>
      <c r="HP114" s="39">
        <v>440.54580821917801</v>
      </c>
      <c r="HQ114" s="39">
        <v>440.54580821917801</v>
      </c>
      <c r="HR114" s="39">
        <v>440.54580821917801</v>
      </c>
      <c r="HS114" s="39">
        <v>440.54580821917801</v>
      </c>
      <c r="HT114" s="39">
        <v>440.54580821917801</v>
      </c>
      <c r="HU114" s="39">
        <v>440.54580821917801</v>
      </c>
      <c r="HV114" s="39">
        <v>440.54580821917801</v>
      </c>
      <c r="HW114" s="39">
        <v>440.54580821917801</v>
      </c>
      <c r="HX114" s="39">
        <v>440.54580821917801</v>
      </c>
      <c r="HY114" s="39">
        <f t="shared" ref="HY114:IR114" ca="1" si="253">IF(HY$1&gt;=TODAY(),0,440.545808219178)</f>
        <v>440.54580821917801</v>
      </c>
      <c r="HZ114" s="39">
        <f t="shared" ca="1" si="253"/>
        <v>440.54580821917801</v>
      </c>
      <c r="IA114" s="39">
        <f t="shared" ca="1" si="253"/>
        <v>440.54580821917801</v>
      </c>
      <c r="IB114" s="39">
        <f t="shared" ca="1" si="253"/>
        <v>440.54580821917801</v>
      </c>
      <c r="IC114" s="39">
        <f t="shared" ca="1" si="253"/>
        <v>440.54580821917801</v>
      </c>
      <c r="ID114" s="39">
        <f t="shared" ca="1" si="253"/>
        <v>440.54580821917801</v>
      </c>
      <c r="IE114" s="39">
        <f t="shared" ca="1" si="253"/>
        <v>440.54580821917801</v>
      </c>
      <c r="IF114" s="39">
        <f t="shared" ca="1" si="253"/>
        <v>440.54580821917801</v>
      </c>
      <c r="IG114" s="39">
        <f t="shared" ca="1" si="253"/>
        <v>440.54580821917801</v>
      </c>
      <c r="IH114" s="39">
        <f t="shared" ca="1" si="253"/>
        <v>440.54580821917801</v>
      </c>
      <c r="II114" s="39">
        <f t="shared" ca="1" si="253"/>
        <v>440.54580821917801</v>
      </c>
      <c r="IJ114" s="39">
        <f t="shared" ca="1" si="253"/>
        <v>440.54580821917801</v>
      </c>
      <c r="IK114" s="39">
        <f t="shared" ca="1" si="253"/>
        <v>440.54580821917801</v>
      </c>
      <c r="IL114" s="39">
        <f t="shared" ca="1" si="253"/>
        <v>440.54580821917801</v>
      </c>
      <c r="IM114" s="39">
        <f t="shared" ca="1" si="253"/>
        <v>440.54580821917801</v>
      </c>
      <c r="IN114" s="39">
        <f t="shared" ca="1" si="253"/>
        <v>440.54580821917801</v>
      </c>
      <c r="IO114" s="39">
        <f t="shared" ca="1" si="253"/>
        <v>440.54580821917801</v>
      </c>
      <c r="IP114" s="39">
        <f t="shared" ca="1" si="253"/>
        <v>440.54580821917801</v>
      </c>
      <c r="IQ114" s="39">
        <f t="shared" ca="1" si="253"/>
        <v>440.54580821917801</v>
      </c>
      <c r="IR114" s="39">
        <f t="shared" ca="1" si="253"/>
        <v>440.54580821917801</v>
      </c>
      <c r="IS114" s="39">
        <f ca="1">GK114+GM114+GO114+GQ114+GS114+GU114+GW114+GY114+HA114+HC114+HE114+HG114+HI114+HK114+HM114+HO114+HQ114+HS114+HU114+HW114+HY114+IA114+IC114+IE114+IG114+II114+IK114+IM114+IO114+IQ114</f>
        <v>13216.37424657534</v>
      </c>
      <c r="IT114" s="39">
        <f ca="1">GL114+GN114+GP114+GR114+GT114+GV114+GX114+GZ114+HB114+HD114+HF114+HH114+HJ114+HL114+HN114+HP114+HR114+HT114+HV114+HX114+HZ114+IB114+ID114+IF114+IH114+IJ114+IL114+IN114+IP114+IR114</f>
        <v>13216.37424657534</v>
      </c>
      <c r="IU114" s="39">
        <f t="shared" ref="IU114:LD114" ca="1" si="254">IF(IU$1&gt;=TODAY(),0,440.545808219178)</f>
        <v>440.54580821917801</v>
      </c>
      <c r="IV114" s="39">
        <f t="shared" ca="1" si="254"/>
        <v>440.54580821917801</v>
      </c>
      <c r="IW114" s="39">
        <f t="shared" ca="1" si="254"/>
        <v>440.54580821917801</v>
      </c>
      <c r="IX114" s="39">
        <f t="shared" ca="1" si="254"/>
        <v>440.54580821917801</v>
      </c>
      <c r="IY114" s="39">
        <f t="shared" ca="1" si="254"/>
        <v>440.54580821917801</v>
      </c>
      <c r="IZ114" s="39">
        <f t="shared" ca="1" si="254"/>
        <v>440.54580821917801</v>
      </c>
      <c r="JA114" s="39">
        <f t="shared" ca="1" si="254"/>
        <v>440.54580821917801</v>
      </c>
      <c r="JB114" s="39">
        <f t="shared" ca="1" si="254"/>
        <v>440.54580821917801</v>
      </c>
      <c r="JC114" s="39">
        <f t="shared" ca="1" si="254"/>
        <v>440.54580821917801</v>
      </c>
      <c r="JD114" s="39">
        <f t="shared" ca="1" si="254"/>
        <v>440.54580821917801</v>
      </c>
      <c r="JE114" s="39">
        <f t="shared" ca="1" si="254"/>
        <v>440.54580821917801</v>
      </c>
      <c r="JF114" s="39">
        <f t="shared" ca="1" si="254"/>
        <v>440.54580821917801</v>
      </c>
      <c r="JG114" s="39">
        <f t="shared" ca="1" si="254"/>
        <v>440.54580821917801</v>
      </c>
      <c r="JH114" s="39">
        <f t="shared" ca="1" si="254"/>
        <v>440.54580821917801</v>
      </c>
      <c r="JI114" s="39">
        <f t="shared" ca="1" si="254"/>
        <v>440.54580821917801</v>
      </c>
      <c r="JJ114" s="39">
        <f t="shared" ca="1" si="254"/>
        <v>440.54580821917801</v>
      </c>
      <c r="JK114" s="39">
        <f t="shared" ca="1" si="254"/>
        <v>440.54580821917801</v>
      </c>
      <c r="JL114" s="39">
        <f t="shared" ca="1" si="254"/>
        <v>440.54580821917801</v>
      </c>
      <c r="JM114" s="39">
        <f t="shared" ca="1" si="254"/>
        <v>440.54580821917801</v>
      </c>
      <c r="JN114" s="39">
        <f t="shared" ca="1" si="254"/>
        <v>440.54580821917801</v>
      </c>
      <c r="JO114" s="39">
        <f t="shared" ca="1" si="254"/>
        <v>440.54580821917801</v>
      </c>
      <c r="JP114" s="39">
        <f t="shared" ca="1" si="254"/>
        <v>440.54580821917801</v>
      </c>
      <c r="JQ114" s="39">
        <f t="shared" ca="1" si="254"/>
        <v>440.54580821917801</v>
      </c>
      <c r="JR114" s="39">
        <f t="shared" ca="1" si="254"/>
        <v>440.54580821917801</v>
      </c>
      <c r="JS114" s="39">
        <f t="shared" ca="1" si="254"/>
        <v>440.54580821917801</v>
      </c>
      <c r="JT114" s="39">
        <f t="shared" ca="1" si="254"/>
        <v>440.54580821917801</v>
      </c>
      <c r="JU114" s="39">
        <f t="shared" ca="1" si="254"/>
        <v>440.54580821917801</v>
      </c>
      <c r="JV114" s="39">
        <f t="shared" ca="1" si="254"/>
        <v>440.54580821917801</v>
      </c>
      <c r="JW114" s="39">
        <f t="shared" ca="1" si="254"/>
        <v>0</v>
      </c>
      <c r="JX114" s="39">
        <f t="shared" ca="1" si="254"/>
        <v>0</v>
      </c>
      <c r="JY114" s="39">
        <f t="shared" ca="1" si="254"/>
        <v>0</v>
      </c>
      <c r="JZ114" s="39">
        <f t="shared" ca="1" si="254"/>
        <v>0</v>
      </c>
      <c r="KA114" s="39">
        <f t="shared" ca="1" si="254"/>
        <v>0</v>
      </c>
      <c r="KB114" s="39">
        <f t="shared" ca="1" si="254"/>
        <v>0</v>
      </c>
      <c r="KC114" s="39">
        <f t="shared" ca="1" si="254"/>
        <v>0</v>
      </c>
      <c r="KD114" s="39">
        <f t="shared" ca="1" si="254"/>
        <v>0</v>
      </c>
      <c r="KE114" s="39">
        <f t="shared" ca="1" si="254"/>
        <v>0</v>
      </c>
      <c r="KF114" s="39">
        <f t="shared" ca="1" si="254"/>
        <v>0</v>
      </c>
      <c r="KG114" s="39">
        <f t="shared" ca="1" si="254"/>
        <v>0</v>
      </c>
      <c r="KH114" s="39">
        <f t="shared" ca="1" si="254"/>
        <v>0</v>
      </c>
      <c r="KI114" s="39">
        <f t="shared" ca="1" si="254"/>
        <v>0</v>
      </c>
      <c r="KJ114" s="39">
        <f t="shared" ca="1" si="254"/>
        <v>0</v>
      </c>
      <c r="KK114" s="39">
        <f t="shared" ca="1" si="254"/>
        <v>0</v>
      </c>
      <c r="KL114" s="39">
        <f t="shared" ca="1" si="254"/>
        <v>0</v>
      </c>
      <c r="KM114" s="39">
        <f t="shared" ca="1" si="254"/>
        <v>0</v>
      </c>
      <c r="KN114" s="39">
        <f t="shared" ca="1" si="254"/>
        <v>0</v>
      </c>
      <c r="KO114" s="39">
        <f t="shared" ca="1" si="254"/>
        <v>0</v>
      </c>
      <c r="KP114" s="39">
        <f t="shared" ca="1" si="254"/>
        <v>0</v>
      </c>
      <c r="KQ114" s="39">
        <f t="shared" ca="1" si="254"/>
        <v>0</v>
      </c>
      <c r="KR114" s="39">
        <f t="shared" ca="1" si="254"/>
        <v>0</v>
      </c>
      <c r="KS114" s="39">
        <f t="shared" ca="1" si="254"/>
        <v>0</v>
      </c>
      <c r="KT114" s="39">
        <f t="shared" ca="1" si="254"/>
        <v>0</v>
      </c>
      <c r="KU114" s="39">
        <f t="shared" ca="1" si="254"/>
        <v>0</v>
      </c>
      <c r="KV114" s="39">
        <f t="shared" ca="1" si="254"/>
        <v>0</v>
      </c>
      <c r="KW114" s="39">
        <f t="shared" ca="1" si="254"/>
        <v>0</v>
      </c>
      <c r="KX114" s="39">
        <f t="shared" ca="1" si="254"/>
        <v>0</v>
      </c>
      <c r="KY114" s="39">
        <f t="shared" ca="1" si="254"/>
        <v>0</v>
      </c>
      <c r="KZ114" s="39">
        <f t="shared" ca="1" si="254"/>
        <v>0</v>
      </c>
      <c r="LA114" s="39">
        <f t="shared" ca="1" si="254"/>
        <v>0</v>
      </c>
      <c r="LB114" s="39">
        <f t="shared" ca="1" si="254"/>
        <v>0</v>
      </c>
      <c r="LC114" s="39">
        <f t="shared" ca="1" si="254"/>
        <v>0</v>
      </c>
      <c r="LD114" s="39">
        <f t="shared" ca="1" si="254"/>
        <v>0</v>
      </c>
      <c r="LE114" s="39">
        <f ca="1">IU114+IW114+IY114+JA114+JC114+JE114+JG114+JI114+JK114+JM114+JO114+JQ114+JS114+JU114+JW114+JY114+KA114+KC114+KE114+KG114+KI114+KK114+KM114+KO114+KQ114+KS114+KU114+KW114+KY114+LA114+LC114</f>
        <v>6167.6413150684921</v>
      </c>
      <c r="LF114" s="39">
        <f ca="1">IV114+IX114+IZ114+JB114+JD114+JF114+JH114+JJ114+JL114+JN114+JP114+JR114+JT114+JV114+JX114+JZ114+KB114+KD114+KF114+KH114+KJ114+KL114+KN114+KP114+KR114+KT114+KV114+KX114+KZ114+LB114+LD114</f>
        <v>6167.6413150684921</v>
      </c>
      <c r="LG114" s="39">
        <f t="shared" ref="LG114:NN114" ca="1" si="255">IF(LG$1&gt;=TODAY(),0,440.545808219178)</f>
        <v>0</v>
      </c>
      <c r="LH114" s="39">
        <f t="shared" ca="1" si="255"/>
        <v>0</v>
      </c>
      <c r="LI114" s="39">
        <f t="shared" ca="1" si="255"/>
        <v>0</v>
      </c>
      <c r="LJ114" s="39">
        <f t="shared" ca="1" si="255"/>
        <v>0</v>
      </c>
      <c r="LK114" s="39">
        <f t="shared" ca="1" si="255"/>
        <v>0</v>
      </c>
      <c r="LL114" s="39">
        <f t="shared" ca="1" si="255"/>
        <v>0</v>
      </c>
      <c r="LM114" s="39">
        <f t="shared" ca="1" si="255"/>
        <v>0</v>
      </c>
      <c r="LN114" s="39">
        <f t="shared" ca="1" si="255"/>
        <v>0</v>
      </c>
      <c r="LO114" s="39">
        <f t="shared" ca="1" si="255"/>
        <v>0</v>
      </c>
      <c r="LP114" s="39">
        <f t="shared" ca="1" si="255"/>
        <v>0</v>
      </c>
      <c r="LQ114" s="39">
        <f t="shared" ca="1" si="255"/>
        <v>0</v>
      </c>
      <c r="LR114" s="39">
        <f t="shared" ca="1" si="255"/>
        <v>0</v>
      </c>
      <c r="LS114" s="39">
        <f t="shared" ca="1" si="255"/>
        <v>0</v>
      </c>
      <c r="LT114" s="39">
        <f t="shared" ca="1" si="255"/>
        <v>0</v>
      </c>
      <c r="LU114" s="39">
        <f t="shared" ca="1" si="255"/>
        <v>0</v>
      </c>
      <c r="LV114" s="39">
        <f t="shared" ca="1" si="255"/>
        <v>0</v>
      </c>
      <c r="LW114" s="39">
        <f t="shared" ca="1" si="255"/>
        <v>0</v>
      </c>
      <c r="LX114" s="39">
        <f t="shared" ca="1" si="255"/>
        <v>0</v>
      </c>
      <c r="LY114" s="39">
        <f t="shared" ca="1" si="255"/>
        <v>0</v>
      </c>
      <c r="LZ114" s="39">
        <f t="shared" ca="1" si="255"/>
        <v>0</v>
      </c>
      <c r="MA114" s="39">
        <f t="shared" ca="1" si="255"/>
        <v>0</v>
      </c>
      <c r="MB114" s="39">
        <f t="shared" ca="1" si="255"/>
        <v>0</v>
      </c>
      <c r="MC114" s="39">
        <f t="shared" ca="1" si="255"/>
        <v>0</v>
      </c>
      <c r="MD114" s="39">
        <f t="shared" ca="1" si="255"/>
        <v>0</v>
      </c>
      <c r="ME114" s="39">
        <f t="shared" ca="1" si="255"/>
        <v>0</v>
      </c>
      <c r="MF114" s="39">
        <f t="shared" ca="1" si="255"/>
        <v>0</v>
      </c>
      <c r="MG114" s="39">
        <f t="shared" ca="1" si="255"/>
        <v>0</v>
      </c>
      <c r="MH114" s="39">
        <f t="shared" ca="1" si="255"/>
        <v>0</v>
      </c>
      <c r="MI114" s="39">
        <f t="shared" ca="1" si="255"/>
        <v>0</v>
      </c>
      <c r="MJ114" s="39">
        <f t="shared" ca="1" si="255"/>
        <v>0</v>
      </c>
      <c r="MK114" s="39">
        <f t="shared" ca="1" si="255"/>
        <v>0</v>
      </c>
      <c r="ML114" s="39">
        <f t="shared" ca="1" si="255"/>
        <v>0</v>
      </c>
      <c r="MM114" s="39">
        <f t="shared" ca="1" si="255"/>
        <v>0</v>
      </c>
      <c r="MN114" s="39">
        <f t="shared" ca="1" si="255"/>
        <v>0</v>
      </c>
      <c r="MO114" s="39">
        <f t="shared" ca="1" si="255"/>
        <v>0</v>
      </c>
      <c r="MP114" s="39">
        <f t="shared" ca="1" si="255"/>
        <v>0</v>
      </c>
      <c r="MQ114" s="39">
        <f t="shared" ca="1" si="255"/>
        <v>0</v>
      </c>
      <c r="MR114" s="39">
        <f t="shared" ca="1" si="255"/>
        <v>0</v>
      </c>
      <c r="MS114" s="39">
        <f t="shared" ca="1" si="255"/>
        <v>0</v>
      </c>
      <c r="MT114" s="39">
        <f t="shared" ca="1" si="255"/>
        <v>0</v>
      </c>
      <c r="MU114" s="39">
        <f t="shared" ca="1" si="255"/>
        <v>0</v>
      </c>
      <c r="MV114" s="39">
        <f t="shared" ca="1" si="255"/>
        <v>0</v>
      </c>
      <c r="MW114" s="39">
        <f t="shared" ca="1" si="255"/>
        <v>0</v>
      </c>
      <c r="MX114" s="39">
        <f t="shared" ca="1" si="255"/>
        <v>0</v>
      </c>
      <c r="MY114" s="39">
        <f t="shared" ca="1" si="255"/>
        <v>0</v>
      </c>
      <c r="MZ114" s="39">
        <f t="shared" ca="1" si="255"/>
        <v>0</v>
      </c>
      <c r="NA114" s="39">
        <f t="shared" ca="1" si="255"/>
        <v>0</v>
      </c>
      <c r="NB114" s="39">
        <f t="shared" ca="1" si="255"/>
        <v>0</v>
      </c>
      <c r="NC114" s="39">
        <f t="shared" ca="1" si="255"/>
        <v>0</v>
      </c>
      <c r="ND114" s="39">
        <f t="shared" ca="1" si="255"/>
        <v>0</v>
      </c>
      <c r="NE114" s="39">
        <f t="shared" ca="1" si="255"/>
        <v>0</v>
      </c>
      <c r="NF114" s="39">
        <f t="shared" ca="1" si="255"/>
        <v>0</v>
      </c>
      <c r="NG114" s="39">
        <f t="shared" ca="1" si="255"/>
        <v>0</v>
      </c>
      <c r="NH114" s="39">
        <f t="shared" ca="1" si="255"/>
        <v>0</v>
      </c>
      <c r="NI114" s="39">
        <f t="shared" ca="1" si="255"/>
        <v>0</v>
      </c>
      <c r="NJ114" s="39">
        <f t="shared" ca="1" si="255"/>
        <v>0</v>
      </c>
      <c r="NK114" s="39">
        <f t="shared" ca="1" si="255"/>
        <v>0</v>
      </c>
      <c r="NL114" s="39">
        <f t="shared" ca="1" si="255"/>
        <v>0</v>
      </c>
      <c r="NM114" s="39">
        <f t="shared" ca="1" si="255"/>
        <v>0</v>
      </c>
      <c r="NN114" s="39">
        <f t="shared" ca="1" si="255"/>
        <v>0</v>
      </c>
      <c r="NO114" s="39">
        <f ca="1">LG114+LI114+LK114+LM114+LO114+LQ114+LS114+LU114+LW114+LY114+MA114+MC114+ME114+MG114+MI114+MK114+MM114+MO114+MQ114+MS114+MU114+MW114+MY114+NA114+NC114+NE114+NG114+NI114+NK114+NM114</f>
        <v>0</v>
      </c>
      <c r="NP114" s="39">
        <f ca="1">LH114+LJ114+LL114+LN114+LP114+LR114+LT114+LV114+LX114+LZ114+MB114+MD114+MF114+MH114+MJ114+ML114+MN114+MP114+MR114+MT114+MV114+MX114+MZ114+NB114+ND114+NF114+NH114+NJ114+NL114+NN114</f>
        <v>0</v>
      </c>
      <c r="NQ114" s="39">
        <f t="shared" ref="NQ114:PZ114" ca="1" si="256">IF(NQ$1&gt;=TODAY(),0,440.545808219178)</f>
        <v>0</v>
      </c>
      <c r="NR114" s="39">
        <f t="shared" ca="1" si="256"/>
        <v>0</v>
      </c>
      <c r="NS114" s="39">
        <f t="shared" ca="1" si="256"/>
        <v>0</v>
      </c>
      <c r="NT114" s="39">
        <f t="shared" ca="1" si="256"/>
        <v>0</v>
      </c>
      <c r="NU114" s="39">
        <f t="shared" ca="1" si="256"/>
        <v>0</v>
      </c>
      <c r="NV114" s="39">
        <f t="shared" ca="1" si="256"/>
        <v>0</v>
      </c>
      <c r="NW114" s="39">
        <f t="shared" ca="1" si="256"/>
        <v>0</v>
      </c>
      <c r="NX114" s="39">
        <f t="shared" ca="1" si="256"/>
        <v>0</v>
      </c>
      <c r="NY114" s="39">
        <f t="shared" ca="1" si="256"/>
        <v>0</v>
      </c>
      <c r="NZ114" s="39">
        <f t="shared" ca="1" si="256"/>
        <v>0</v>
      </c>
      <c r="OA114" s="39">
        <f t="shared" ca="1" si="256"/>
        <v>0</v>
      </c>
      <c r="OB114" s="39">
        <f t="shared" ca="1" si="256"/>
        <v>0</v>
      </c>
      <c r="OC114" s="39">
        <f t="shared" ca="1" si="256"/>
        <v>0</v>
      </c>
      <c r="OD114" s="39">
        <f t="shared" ca="1" si="256"/>
        <v>0</v>
      </c>
      <c r="OE114" s="39">
        <f t="shared" ca="1" si="256"/>
        <v>0</v>
      </c>
      <c r="OF114" s="39">
        <f t="shared" ca="1" si="256"/>
        <v>0</v>
      </c>
      <c r="OG114" s="39">
        <f t="shared" ca="1" si="256"/>
        <v>0</v>
      </c>
      <c r="OH114" s="39">
        <f t="shared" ca="1" si="256"/>
        <v>0</v>
      </c>
      <c r="OI114" s="39">
        <f t="shared" ca="1" si="256"/>
        <v>0</v>
      </c>
      <c r="OJ114" s="39">
        <f t="shared" ca="1" si="256"/>
        <v>0</v>
      </c>
      <c r="OK114" s="39">
        <f t="shared" ca="1" si="256"/>
        <v>0</v>
      </c>
      <c r="OL114" s="39">
        <f t="shared" ca="1" si="256"/>
        <v>0</v>
      </c>
      <c r="OM114" s="39">
        <f t="shared" ca="1" si="256"/>
        <v>0</v>
      </c>
      <c r="ON114" s="39">
        <f t="shared" ca="1" si="256"/>
        <v>0</v>
      </c>
      <c r="OO114" s="39">
        <f t="shared" ca="1" si="256"/>
        <v>0</v>
      </c>
      <c r="OP114" s="39">
        <f t="shared" ca="1" si="256"/>
        <v>0</v>
      </c>
      <c r="OQ114" s="39">
        <f t="shared" ca="1" si="256"/>
        <v>0</v>
      </c>
      <c r="OR114" s="39">
        <f t="shared" ca="1" si="256"/>
        <v>0</v>
      </c>
      <c r="OS114" s="39">
        <f t="shared" ca="1" si="256"/>
        <v>0</v>
      </c>
      <c r="OT114" s="39">
        <f t="shared" ca="1" si="256"/>
        <v>0</v>
      </c>
      <c r="OU114" s="39">
        <f t="shared" ca="1" si="256"/>
        <v>0</v>
      </c>
      <c r="OV114" s="39">
        <f t="shared" ca="1" si="256"/>
        <v>0</v>
      </c>
      <c r="OW114" s="39">
        <f t="shared" ca="1" si="256"/>
        <v>0</v>
      </c>
      <c r="OX114" s="39">
        <f t="shared" ca="1" si="256"/>
        <v>0</v>
      </c>
      <c r="OY114" s="39">
        <f t="shared" ca="1" si="256"/>
        <v>0</v>
      </c>
      <c r="OZ114" s="39">
        <f t="shared" ca="1" si="256"/>
        <v>0</v>
      </c>
      <c r="PA114" s="39">
        <f t="shared" ca="1" si="256"/>
        <v>0</v>
      </c>
      <c r="PB114" s="39">
        <f t="shared" ca="1" si="256"/>
        <v>0</v>
      </c>
      <c r="PC114" s="39">
        <f t="shared" ca="1" si="256"/>
        <v>0</v>
      </c>
      <c r="PD114" s="39">
        <f t="shared" ca="1" si="256"/>
        <v>0</v>
      </c>
      <c r="PE114" s="39">
        <f t="shared" ca="1" si="256"/>
        <v>0</v>
      </c>
      <c r="PF114" s="39">
        <f t="shared" ca="1" si="256"/>
        <v>0</v>
      </c>
      <c r="PG114" s="39">
        <f t="shared" ca="1" si="256"/>
        <v>0</v>
      </c>
      <c r="PH114" s="39">
        <f t="shared" ca="1" si="256"/>
        <v>0</v>
      </c>
      <c r="PI114" s="39">
        <f t="shared" ca="1" si="256"/>
        <v>0</v>
      </c>
      <c r="PJ114" s="39">
        <f t="shared" ca="1" si="256"/>
        <v>0</v>
      </c>
      <c r="PK114" s="39">
        <f t="shared" ca="1" si="256"/>
        <v>0</v>
      </c>
      <c r="PL114" s="39">
        <f t="shared" ca="1" si="256"/>
        <v>0</v>
      </c>
      <c r="PM114" s="39">
        <f t="shared" ca="1" si="256"/>
        <v>0</v>
      </c>
      <c r="PN114" s="39">
        <f t="shared" ca="1" si="256"/>
        <v>0</v>
      </c>
      <c r="PO114" s="39">
        <f t="shared" ca="1" si="256"/>
        <v>0</v>
      </c>
      <c r="PP114" s="39">
        <f t="shared" ca="1" si="256"/>
        <v>0</v>
      </c>
      <c r="PQ114" s="39">
        <f t="shared" ca="1" si="256"/>
        <v>0</v>
      </c>
      <c r="PR114" s="39">
        <f t="shared" ca="1" si="256"/>
        <v>0</v>
      </c>
      <c r="PS114" s="39">
        <f t="shared" ca="1" si="256"/>
        <v>0</v>
      </c>
      <c r="PT114" s="39">
        <f t="shared" ca="1" si="256"/>
        <v>0</v>
      </c>
      <c r="PU114" s="39">
        <f t="shared" ca="1" si="256"/>
        <v>0</v>
      </c>
      <c r="PV114" s="39">
        <f t="shared" ca="1" si="256"/>
        <v>0</v>
      </c>
      <c r="PW114" s="39">
        <f t="shared" ca="1" si="256"/>
        <v>0</v>
      </c>
      <c r="PX114" s="39">
        <f t="shared" ca="1" si="256"/>
        <v>0</v>
      </c>
      <c r="PY114" s="39">
        <f t="shared" ca="1" si="256"/>
        <v>0</v>
      </c>
      <c r="PZ114" s="39">
        <f t="shared" ca="1" si="256"/>
        <v>0</v>
      </c>
      <c r="QA114" s="39">
        <f ca="1">NQ114+NS114+NU114+NW114+NY114+OA114+OC114+OE114+OG114+OI114+OK114+OM114+OO114+OQ114+OS114+OU114+OW114+OY114+PA114+PC114+PE114+PG114+PI114+PK114+PM114+PO114+PQ114+PS114+PU114+PW114+PY114</f>
        <v>0</v>
      </c>
      <c r="QB114" s="39">
        <f ca="1">NR114+NT114+NV114+NX114+NZ114+OB114+OD114+OF114+OH114+OJ114+OL114+ON114+OP114+OR114+OT114+OV114+OX114+OZ114+PB114+PD114+PF114+PH114+PJ114+PL114+PN114+PP114+PR114+PT114+PV114+PX114+PZ114</f>
        <v>0</v>
      </c>
      <c r="QC114" s="39">
        <f t="shared" ref="QC114:SL114" ca="1" si="257">IF(QC$1&gt;=TODAY(),0,440.545808219178)</f>
        <v>0</v>
      </c>
      <c r="QD114" s="39">
        <f t="shared" ca="1" si="257"/>
        <v>0</v>
      </c>
      <c r="QE114" s="39">
        <f t="shared" ca="1" si="257"/>
        <v>0</v>
      </c>
      <c r="QF114" s="39">
        <f t="shared" ca="1" si="257"/>
        <v>0</v>
      </c>
      <c r="QG114" s="39">
        <f t="shared" ca="1" si="257"/>
        <v>0</v>
      </c>
      <c r="QH114" s="39">
        <f t="shared" ca="1" si="257"/>
        <v>0</v>
      </c>
      <c r="QI114" s="39">
        <f t="shared" ca="1" si="257"/>
        <v>0</v>
      </c>
      <c r="QJ114" s="39">
        <f t="shared" ca="1" si="257"/>
        <v>0</v>
      </c>
      <c r="QK114" s="39">
        <f t="shared" ca="1" si="257"/>
        <v>0</v>
      </c>
      <c r="QL114" s="39">
        <f t="shared" ca="1" si="257"/>
        <v>0</v>
      </c>
      <c r="QM114" s="39">
        <f t="shared" ca="1" si="257"/>
        <v>0</v>
      </c>
      <c r="QN114" s="39">
        <f t="shared" ca="1" si="257"/>
        <v>0</v>
      </c>
      <c r="QO114" s="39">
        <f t="shared" ca="1" si="257"/>
        <v>0</v>
      </c>
      <c r="QP114" s="39">
        <f t="shared" ca="1" si="257"/>
        <v>0</v>
      </c>
      <c r="QQ114" s="39">
        <f t="shared" ca="1" si="257"/>
        <v>0</v>
      </c>
      <c r="QR114" s="39">
        <f t="shared" ca="1" si="257"/>
        <v>0</v>
      </c>
      <c r="QS114" s="39">
        <f t="shared" ca="1" si="257"/>
        <v>0</v>
      </c>
      <c r="QT114" s="39">
        <f t="shared" ca="1" si="257"/>
        <v>0</v>
      </c>
      <c r="QU114" s="39">
        <f t="shared" ca="1" si="257"/>
        <v>0</v>
      </c>
      <c r="QV114" s="39">
        <f t="shared" ca="1" si="257"/>
        <v>0</v>
      </c>
      <c r="QW114" s="39">
        <f t="shared" ca="1" si="257"/>
        <v>0</v>
      </c>
      <c r="QX114" s="39">
        <f t="shared" ca="1" si="257"/>
        <v>0</v>
      </c>
      <c r="QY114" s="39">
        <f t="shared" ca="1" si="257"/>
        <v>0</v>
      </c>
      <c r="QZ114" s="39">
        <f t="shared" ca="1" si="257"/>
        <v>0</v>
      </c>
      <c r="RA114" s="39">
        <f t="shared" ca="1" si="257"/>
        <v>0</v>
      </c>
      <c r="RB114" s="39">
        <f t="shared" ca="1" si="257"/>
        <v>0</v>
      </c>
      <c r="RC114" s="39">
        <f t="shared" ca="1" si="257"/>
        <v>0</v>
      </c>
      <c r="RD114" s="39">
        <f t="shared" ca="1" si="257"/>
        <v>0</v>
      </c>
      <c r="RE114" s="39">
        <f t="shared" ca="1" si="257"/>
        <v>0</v>
      </c>
      <c r="RF114" s="39">
        <f t="shared" ca="1" si="257"/>
        <v>0</v>
      </c>
      <c r="RG114" s="39">
        <f t="shared" ca="1" si="257"/>
        <v>0</v>
      </c>
      <c r="RH114" s="39">
        <f t="shared" ca="1" si="257"/>
        <v>0</v>
      </c>
      <c r="RI114" s="39">
        <f t="shared" ca="1" si="257"/>
        <v>0</v>
      </c>
      <c r="RJ114" s="39">
        <f t="shared" ca="1" si="257"/>
        <v>0</v>
      </c>
      <c r="RK114" s="39">
        <f t="shared" ca="1" si="257"/>
        <v>0</v>
      </c>
      <c r="RL114" s="39">
        <f t="shared" ca="1" si="257"/>
        <v>0</v>
      </c>
      <c r="RM114" s="39">
        <f t="shared" ca="1" si="257"/>
        <v>0</v>
      </c>
      <c r="RN114" s="39">
        <f t="shared" ca="1" si="257"/>
        <v>0</v>
      </c>
      <c r="RO114" s="39">
        <f t="shared" ca="1" si="257"/>
        <v>0</v>
      </c>
      <c r="RP114" s="39">
        <f t="shared" ca="1" si="257"/>
        <v>0</v>
      </c>
      <c r="RQ114" s="39">
        <f t="shared" ca="1" si="257"/>
        <v>0</v>
      </c>
      <c r="RR114" s="39">
        <f t="shared" ca="1" si="257"/>
        <v>0</v>
      </c>
      <c r="RS114" s="39">
        <f t="shared" ca="1" si="257"/>
        <v>0</v>
      </c>
      <c r="RT114" s="39">
        <f t="shared" ca="1" si="257"/>
        <v>0</v>
      </c>
      <c r="RU114" s="39">
        <f t="shared" ca="1" si="257"/>
        <v>0</v>
      </c>
      <c r="RV114" s="39">
        <f t="shared" ca="1" si="257"/>
        <v>0</v>
      </c>
      <c r="RW114" s="39">
        <f t="shared" ca="1" si="257"/>
        <v>0</v>
      </c>
      <c r="RX114" s="39">
        <f t="shared" ca="1" si="257"/>
        <v>0</v>
      </c>
      <c r="RY114" s="39">
        <f t="shared" ca="1" si="257"/>
        <v>0</v>
      </c>
      <c r="RZ114" s="39">
        <f t="shared" ca="1" si="257"/>
        <v>0</v>
      </c>
      <c r="SA114" s="39">
        <f t="shared" ca="1" si="257"/>
        <v>0</v>
      </c>
      <c r="SB114" s="39">
        <f t="shared" ca="1" si="257"/>
        <v>0</v>
      </c>
      <c r="SC114" s="39">
        <f t="shared" ca="1" si="257"/>
        <v>0</v>
      </c>
      <c r="SD114" s="39">
        <f t="shared" ca="1" si="257"/>
        <v>0</v>
      </c>
      <c r="SE114" s="39">
        <f t="shared" ca="1" si="257"/>
        <v>0</v>
      </c>
      <c r="SF114" s="39">
        <f t="shared" ca="1" si="257"/>
        <v>0</v>
      </c>
      <c r="SG114" s="39">
        <f t="shared" ca="1" si="257"/>
        <v>0</v>
      </c>
      <c r="SH114" s="39">
        <f t="shared" ca="1" si="257"/>
        <v>0</v>
      </c>
      <c r="SI114" s="39">
        <f t="shared" ca="1" si="257"/>
        <v>0</v>
      </c>
      <c r="SJ114" s="39">
        <f t="shared" ca="1" si="257"/>
        <v>0</v>
      </c>
      <c r="SK114" s="39">
        <f t="shared" ca="1" si="257"/>
        <v>0</v>
      </c>
      <c r="SL114" s="39">
        <f t="shared" ca="1" si="257"/>
        <v>0</v>
      </c>
      <c r="SM114" s="39">
        <f ca="1">QC114+QE114+QG114+QI114+QK114+QM114+QO114+QQ114+QS114+QU114+QW114+QY114+RA114+RC114+RE114+RG114+RI114+RK114+RM114+RO114+RQ114+RS114+RU114+RW114+RY114+SA114+SC114+SE114+SG114+SI114+SK114</f>
        <v>0</v>
      </c>
      <c r="SN114" s="39">
        <f ca="1">QD114+QF114+QH114+QJ114+QL114+QN114+QP114+QR114+QT114+QV114+QX114+QZ114+RB114+RD114+RF114+RH114+RJ114+RL114+RN114+RP114+RR114+RT114+RV114+RX114+RZ114+SB114+SD114+SF114+SH114+SJ114+SL114</f>
        <v>0</v>
      </c>
      <c r="SO114" s="39"/>
      <c r="SP114" s="39"/>
      <c r="SQ114" s="39"/>
      <c r="SR114" s="39"/>
      <c r="SS114" s="39"/>
      <c r="ST114" s="39"/>
      <c r="SU114" s="39"/>
      <c r="SV114" s="39"/>
      <c r="SW114" s="39"/>
      <c r="SX114" s="39"/>
      <c r="SY114" s="39"/>
      <c r="SZ114" s="39"/>
      <c r="TA114" s="39"/>
      <c r="TB114" s="39"/>
      <c r="TC114" s="39"/>
      <c r="TD114" s="39"/>
      <c r="TE114" s="39"/>
      <c r="TF114" s="39"/>
      <c r="TG114" s="39"/>
      <c r="TH114" s="39"/>
      <c r="TI114" s="39"/>
      <c r="TJ114" s="39"/>
      <c r="TK114" s="39"/>
      <c r="TL114" s="39"/>
      <c r="TM114" s="39"/>
      <c r="TN114" s="39"/>
      <c r="TO114" s="39"/>
      <c r="TP114" s="39"/>
      <c r="TQ114" s="39"/>
      <c r="TR114" s="39"/>
      <c r="TS114" s="39"/>
      <c r="TT114" s="39"/>
      <c r="TU114" s="39"/>
      <c r="TV114" s="39"/>
      <c r="TW114" s="39"/>
      <c r="TX114" s="39"/>
      <c r="TY114" s="39"/>
      <c r="TZ114" s="39"/>
      <c r="UA114" s="39"/>
      <c r="UB114" s="39"/>
      <c r="UC114" s="39"/>
      <c r="UD114" s="39"/>
      <c r="UE114" s="39"/>
      <c r="UF114" s="39"/>
      <c r="UG114" s="39"/>
      <c r="UH114" s="39"/>
      <c r="UI114" s="39"/>
      <c r="UJ114" s="39"/>
      <c r="UK114" s="39"/>
      <c r="UL114" s="39"/>
      <c r="UM114" s="39"/>
      <c r="UN114" s="39"/>
      <c r="UO114" s="39"/>
      <c r="UP114" s="39"/>
      <c r="UQ114" s="39"/>
      <c r="UR114" s="39"/>
      <c r="US114" s="39"/>
      <c r="UT114" s="39"/>
      <c r="UU114" s="39"/>
      <c r="UV114" s="39"/>
      <c r="UW114" s="39">
        <f>SO114+SQ114+SS114+SU114+SW114+SY114+TA114+TC114+TE114+TG114+TI114+TK114+TM114+TO114+TQ114+TS114+TU114+TW114+TY114+UA114+UC114+UE114+UG114+UI114+UK114+UM114+UO114+UQ114+US114+UU114</f>
        <v>0</v>
      </c>
      <c r="UX114" s="39">
        <f>SP114+SR114+ST114+SV114+SX114+SZ114+TB114+TD114+TF114+TH114+TJ114+TL114+TN114+TP114+TR114+TT114+TV114+TX114+TZ114+UB114+UD114+UF114+UH114+UJ114+UL114+UN114+UP114+UR114+UT114+UV114</f>
        <v>0</v>
      </c>
      <c r="UY114" s="39"/>
      <c r="UZ114" s="39"/>
      <c r="VA114" s="39"/>
      <c r="VB114" s="39"/>
      <c r="VC114" s="39"/>
      <c r="VD114" s="39"/>
      <c r="VE114" s="39"/>
      <c r="VF114" s="39"/>
      <c r="VG114" s="39"/>
      <c r="VH114" s="39"/>
      <c r="VI114" s="39"/>
      <c r="VJ114" s="39"/>
      <c r="VK114" s="39"/>
      <c r="VL114" s="39"/>
      <c r="VM114" s="39"/>
      <c r="VN114" s="39"/>
      <c r="VO114" s="39"/>
      <c r="VP114" s="39"/>
      <c r="VQ114" s="39"/>
      <c r="VR114" s="39"/>
      <c r="VS114" s="39"/>
      <c r="VT114" s="39"/>
      <c r="VU114" s="39"/>
      <c r="VV114" s="39"/>
      <c r="VW114" s="39"/>
      <c r="VX114" s="39"/>
      <c r="VY114" s="39"/>
      <c r="VZ114" s="39"/>
      <c r="WA114" s="39"/>
      <c r="WB114" s="39"/>
      <c r="WC114" s="39"/>
      <c r="WD114" s="39"/>
      <c r="WE114" s="39"/>
      <c r="WF114" s="39"/>
      <c r="WG114" s="39"/>
      <c r="WH114" s="39"/>
      <c r="WI114" s="39"/>
      <c r="WJ114" s="39"/>
      <c r="WK114" s="39"/>
      <c r="WL114" s="39"/>
      <c r="WM114" s="39"/>
      <c r="WN114" s="39"/>
      <c r="WO114" s="39"/>
      <c r="WP114" s="39"/>
      <c r="WQ114" s="39"/>
      <c r="WR114" s="39"/>
      <c r="WS114" s="39"/>
      <c r="WT114" s="39"/>
      <c r="WU114" s="39"/>
      <c r="WV114" s="39"/>
      <c r="WW114" s="39"/>
      <c r="WX114" s="39"/>
      <c r="WY114" s="39"/>
      <c r="WZ114" s="39"/>
      <c r="XA114" s="39"/>
      <c r="XB114" s="39"/>
      <c r="XC114" s="39"/>
      <c r="XD114" s="39"/>
      <c r="XE114" s="39"/>
      <c r="XF114" s="39"/>
      <c r="XG114" s="39"/>
      <c r="XH114" s="39"/>
      <c r="XI114" s="39">
        <f>UY114+VA114+VC114+VE114+VG114+VI114+VK114+VM114+VO114+VQ114+VS114+VU114+VW114+VY114+WA114+WC114+WE114+WG114+WI114+WK114+WM114+WO114+WQ114+WS114+WU114+WW114+WY114+XA114+XC114+XE114+XG114</f>
        <v>0</v>
      </c>
      <c r="XJ114" s="39">
        <f>UZ114+VB114+VD114+VF114+VH114+VJ114+VL114+VN114+VP114+VR114+VT114+VV114+VX114+VZ114+WB114+WD114+WF114+WH114+WJ114+WL114+WN114+WP114+WR114+WT114+WV114+WX114+WZ114+XB114+XD114+XF114+XH114</f>
        <v>0</v>
      </c>
      <c r="XK114" s="39"/>
      <c r="XL114" s="39"/>
      <c r="XM114" s="39"/>
      <c r="XN114" s="39"/>
      <c r="XO114" s="39"/>
      <c r="XP114" s="39"/>
      <c r="XQ114" s="39"/>
      <c r="XR114" s="39"/>
      <c r="XS114" s="39"/>
      <c r="XT114" s="39"/>
      <c r="XU114" s="39"/>
      <c r="XV114" s="39"/>
      <c r="XW114" s="39"/>
      <c r="XX114" s="39"/>
      <c r="XY114" s="39"/>
      <c r="XZ114" s="39"/>
      <c r="YA114" s="39"/>
      <c r="YB114" s="39"/>
      <c r="YC114" s="39"/>
      <c r="YD114" s="39"/>
      <c r="YE114" s="39"/>
      <c r="YF114" s="39"/>
      <c r="YG114" s="39"/>
      <c r="YH114" s="39"/>
      <c r="YI114" s="39"/>
      <c r="YJ114" s="39"/>
      <c r="YK114" s="39"/>
      <c r="YL114" s="39"/>
      <c r="YM114" s="39"/>
      <c r="YN114" s="39"/>
      <c r="YO114" s="39"/>
      <c r="YP114" s="39"/>
      <c r="YQ114" s="39"/>
      <c r="YR114" s="39"/>
      <c r="YS114" s="39"/>
      <c r="YT114" s="39"/>
      <c r="YU114" s="39"/>
      <c r="YV114" s="39"/>
      <c r="YW114" s="39"/>
      <c r="YX114" s="39"/>
      <c r="YY114" s="39"/>
      <c r="YZ114" s="39"/>
      <c r="ZA114" s="39"/>
      <c r="ZB114" s="39"/>
      <c r="ZC114" s="39"/>
      <c r="ZD114" s="39"/>
      <c r="ZE114" s="39"/>
      <c r="ZF114" s="39"/>
      <c r="ZG114" s="39"/>
      <c r="ZH114" s="39"/>
      <c r="ZI114" s="39"/>
      <c r="ZJ114" s="39"/>
      <c r="ZK114" s="39"/>
      <c r="ZL114" s="39"/>
      <c r="ZM114" s="39"/>
      <c r="ZN114" s="39"/>
      <c r="ZO114" s="39"/>
      <c r="ZP114" s="39"/>
      <c r="ZQ114" s="39"/>
      <c r="ZR114" s="39"/>
      <c r="ZS114" s="39">
        <f>XK114+XM114+XO114+XQ114+XS114+XU114+XW114+XY114+YA114+YC114+YE114+YG114+YI114+YK114+YM114+YO114+YQ114+YS114+YU114+YW114+YY114+ZA114+ZC114+ZE114+ZG114+ZI114+ZK114+ZM114+ZO114+ZQ114</f>
        <v>0</v>
      </c>
      <c r="ZT114" s="39">
        <f>XL114+XN114+XP114+XR114+XT114+XV114+XX114+XZ114+YB114+YD114+YF114+YH114+YJ114+YL114+YN114+YP114+YR114+YT114+YV114+YX114+YZ114+ZB114+ZD114+ZF114+ZH114+ZJ114+ZL114+ZN114+ZP114+ZR114</f>
        <v>0</v>
      </c>
      <c r="ZU114" s="39"/>
      <c r="ZV114" s="39"/>
      <c r="ZW114" s="39"/>
      <c r="ZX114" s="39"/>
      <c r="ZY114" s="39"/>
      <c r="ZZ114" s="39"/>
      <c r="AAA114" s="39"/>
      <c r="AAB114" s="39"/>
      <c r="AAC114" s="39"/>
      <c r="AAD114" s="39"/>
      <c r="AAE114" s="39"/>
      <c r="AAF114" s="39"/>
      <c r="AAG114" s="39"/>
      <c r="AAH114" s="39"/>
      <c r="AAI114" s="39"/>
      <c r="AAJ114" s="39"/>
      <c r="AAK114" s="39"/>
      <c r="AAL114" s="39"/>
      <c r="AAM114" s="39"/>
      <c r="AAN114" s="39"/>
      <c r="AAO114" s="39"/>
      <c r="AAP114" s="39"/>
      <c r="AAQ114" s="39"/>
      <c r="AAR114" s="39"/>
      <c r="AAS114" s="39"/>
      <c r="AAT114" s="39"/>
      <c r="AAU114" s="39"/>
      <c r="AAV114" s="39"/>
      <c r="AAW114" s="39"/>
      <c r="AAX114" s="39"/>
      <c r="AAY114" s="39"/>
      <c r="AAZ114" s="39"/>
      <c r="ABA114" s="39"/>
      <c r="ABB114" s="39"/>
      <c r="ABC114" s="39"/>
      <c r="ABD114" s="39"/>
      <c r="ABE114" s="39"/>
      <c r="ABF114" s="39"/>
      <c r="ABG114" s="39"/>
      <c r="ABH114" s="39"/>
      <c r="ABI114" s="39"/>
      <c r="ABJ114" s="39"/>
      <c r="ABK114" s="39"/>
      <c r="ABL114" s="39"/>
      <c r="ABM114" s="39"/>
      <c r="ABN114" s="39"/>
      <c r="ABO114" s="39"/>
      <c r="ABP114" s="39"/>
      <c r="ABQ114" s="39"/>
      <c r="ABR114" s="39"/>
      <c r="ABS114" s="39"/>
      <c r="ABT114" s="39"/>
      <c r="ABU114" s="39"/>
      <c r="ABV114" s="39"/>
      <c r="ABW114" s="39"/>
      <c r="ABX114" s="39"/>
      <c r="ABY114" s="39"/>
      <c r="ABZ114" s="39"/>
      <c r="ACA114" s="39"/>
      <c r="ACB114" s="39"/>
      <c r="ACC114" s="39"/>
      <c r="ACD114" s="39"/>
      <c r="ACE114" s="39">
        <f>ZU114+ZW114+ZY114+AAA114+AAC114+AAE114+AAG114+AAI114+AAK114+AAM114+AAO114+AAQ114+AAS114+AAU114+AAW114+AAY114+ABA114+ABC114+ABE114+ABG114+ABI114+ABK114+ABM114+ABO114+ABQ114+ABS114+ABU114+ABW114+ABY114+ACA114+ACC114</f>
        <v>0</v>
      </c>
      <c r="ACF114" s="39"/>
      <c r="ACG114" s="39">
        <f ca="1">BO114+DW114+GI114+IS114+LE114+NO114+QA114+SM114+UW114+XI114+ZS114+ACE114</f>
        <v>59473.684109589027</v>
      </c>
      <c r="ACH114" s="40"/>
      <c r="ACI114" s="71" t="s">
        <v>239</v>
      </c>
      <c r="ACJ114" s="71" t="s">
        <v>98</v>
      </c>
    </row>
    <row r="115" spans="1:764" ht="15.75" thickBot="1" x14ac:dyDescent="0.3">
      <c r="A115" s="19">
        <v>13</v>
      </c>
      <c r="B115" s="21" t="s">
        <v>98</v>
      </c>
      <c r="C115" s="20" t="s">
        <v>70</v>
      </c>
      <c r="D115" s="78" t="s">
        <v>7</v>
      </c>
      <c r="E115" s="89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39" cm="1">
        <f t="array" ref="BO115">SUMPRODUCT(E115:BM115,--(E$2:BM$2=BO$2))</f>
        <v>0</v>
      </c>
      <c r="BP115" s="39" cm="1">
        <f t="array" ref="BP115">SUMPRODUCT(F115:BN115,--(F$2:BN$2=BP$2))</f>
        <v>0</v>
      </c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39"/>
      <c r="DB115" s="39"/>
      <c r="DC115" s="39"/>
      <c r="DD115" s="39"/>
      <c r="DE115" s="39"/>
      <c r="DF115" s="39"/>
      <c r="DG115" s="39"/>
      <c r="DH115" s="39"/>
      <c r="DI115" s="39"/>
      <c r="DJ115" s="39"/>
      <c r="DK115" s="39"/>
      <c r="DL115" s="39"/>
      <c r="DM115" s="39"/>
      <c r="DN115" s="39"/>
      <c r="DO115" s="39"/>
      <c r="DP115" s="39"/>
      <c r="DQ115" s="39"/>
      <c r="DR115" s="39"/>
      <c r="DS115" s="39"/>
      <c r="DT115" s="39"/>
      <c r="DU115" s="39"/>
      <c r="DV115" s="39"/>
      <c r="DW115" s="39" cm="1">
        <f t="array" ref="DW115">SUMPRODUCT(BM115:DU115,--(BM$2:DU$2=DW$2))</f>
        <v>0</v>
      </c>
      <c r="DX115" s="39" cm="1">
        <f t="array" ref="DX115">SUMPRODUCT(BN115:DV115,--(BN$2:DV$2=DX$2))</f>
        <v>0</v>
      </c>
      <c r="DY115" s="39">
        <v>0</v>
      </c>
      <c r="DZ115" s="39">
        <v>0</v>
      </c>
      <c r="EA115" s="39">
        <v>0</v>
      </c>
      <c r="EB115" s="39">
        <v>0</v>
      </c>
      <c r="EC115" s="39">
        <v>0</v>
      </c>
      <c r="ED115" s="39">
        <v>0</v>
      </c>
      <c r="EE115" s="39">
        <v>0</v>
      </c>
      <c r="EF115" s="39">
        <v>0</v>
      </c>
      <c r="EG115" s="39">
        <v>0</v>
      </c>
      <c r="EH115" s="39">
        <v>0</v>
      </c>
      <c r="EI115" s="39">
        <v>0</v>
      </c>
      <c r="EJ115" s="39">
        <v>0</v>
      </c>
      <c r="EK115" s="39">
        <v>0</v>
      </c>
      <c r="EL115" s="39">
        <v>0</v>
      </c>
      <c r="EM115" s="39">
        <v>0</v>
      </c>
      <c r="EN115" s="39">
        <v>0</v>
      </c>
      <c r="EO115" s="39">
        <v>0</v>
      </c>
      <c r="EP115" s="39">
        <v>0</v>
      </c>
      <c r="EQ115" s="39">
        <v>0</v>
      </c>
      <c r="ER115" s="39">
        <v>0</v>
      </c>
      <c r="ES115" s="39">
        <v>0</v>
      </c>
      <c r="ET115" s="39">
        <v>0</v>
      </c>
      <c r="EU115" s="39">
        <v>0</v>
      </c>
      <c r="EV115" s="39">
        <v>0</v>
      </c>
      <c r="EW115" s="39">
        <v>0</v>
      </c>
      <c r="EX115" s="39">
        <v>0</v>
      </c>
      <c r="EY115" s="39">
        <v>0</v>
      </c>
      <c r="EZ115" s="39">
        <v>0</v>
      </c>
      <c r="FA115" s="39">
        <v>0</v>
      </c>
      <c r="FB115" s="39">
        <v>0</v>
      </c>
      <c r="FC115" s="39">
        <v>0</v>
      </c>
      <c r="FD115" s="39">
        <v>0</v>
      </c>
      <c r="FE115" s="39">
        <v>0</v>
      </c>
      <c r="FF115" s="39">
        <v>0</v>
      </c>
      <c r="FG115" s="39">
        <v>0</v>
      </c>
      <c r="FH115" s="39">
        <v>0</v>
      </c>
      <c r="FI115" s="39">
        <v>0</v>
      </c>
      <c r="FJ115" s="39">
        <v>0</v>
      </c>
      <c r="FK115" s="39">
        <v>0</v>
      </c>
      <c r="FL115" s="39">
        <v>0</v>
      </c>
      <c r="FM115" s="39">
        <v>0</v>
      </c>
      <c r="FN115" s="39">
        <v>0</v>
      </c>
      <c r="FO115" s="39">
        <v>0</v>
      </c>
      <c r="FP115" s="39">
        <v>0</v>
      </c>
      <c r="FQ115" s="39">
        <v>0</v>
      </c>
      <c r="FR115" s="39">
        <v>0</v>
      </c>
      <c r="FS115" s="39">
        <v>0</v>
      </c>
      <c r="FT115" s="39">
        <v>0</v>
      </c>
      <c r="FU115" s="39">
        <v>0</v>
      </c>
      <c r="FV115" s="39">
        <v>0</v>
      </c>
      <c r="FW115" s="39">
        <v>0</v>
      </c>
      <c r="FX115" s="39">
        <v>0</v>
      </c>
      <c r="FY115" s="39">
        <v>0</v>
      </c>
      <c r="FZ115" s="39">
        <v>0</v>
      </c>
      <c r="GA115" s="39">
        <v>0</v>
      </c>
      <c r="GB115" s="39">
        <v>0</v>
      </c>
      <c r="GC115" s="39">
        <v>0</v>
      </c>
      <c r="GD115" s="39">
        <v>0</v>
      </c>
      <c r="GE115" s="39">
        <v>0</v>
      </c>
      <c r="GF115" s="39">
        <v>0</v>
      </c>
      <c r="GG115" s="39">
        <v>0</v>
      </c>
      <c r="GH115" s="39">
        <v>0</v>
      </c>
      <c r="GI115" s="39" cm="1">
        <f t="array" ref="GI115">SUMPRODUCT(DY115:GG115,--(DY$2:GG$2=GI$2))</f>
        <v>0</v>
      </c>
      <c r="GJ115" s="39" cm="1">
        <f t="array" ref="GJ115">SUMPRODUCT(DZ115:GH115,--(DZ$2:GH$2=GJ$2))</f>
        <v>0</v>
      </c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>
        <f>GK115+GM115+GO115+GQ115+GS115+GU115+GW115+GY115+HA115+HC115+HE115+HG115+HI115+HK115+HM115+HO115+HQ115+HS115+HU115+HW115+HY115+IA115+IC115+IE115+IG115+II115+IK115+IM115+IO115+IQ115</f>
        <v>0</v>
      </c>
      <c r="IT115" s="39">
        <f>GL115+GN115+GP115+GR115+GT115+GV115+GX115+GZ115+HB115+HD115+HF115+HH115+HJ115+HL115+HN115+HP115+HR115+HT115+HV115+HX115+HZ115+IB115+ID115+IF115+IH115+IJ115+IL115+IN115+IP115+IR115</f>
        <v>0</v>
      </c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  <c r="JP115" s="39"/>
      <c r="JQ115" s="39"/>
      <c r="JR115" s="39"/>
      <c r="JS115" s="39"/>
      <c r="JT115" s="39"/>
      <c r="JU115" s="39"/>
      <c r="JV115" s="39"/>
      <c r="JW115" s="39"/>
      <c r="JX115" s="39"/>
      <c r="JY115" s="39"/>
      <c r="JZ115" s="39"/>
      <c r="KA115" s="39"/>
      <c r="KB115" s="39"/>
      <c r="KC115" s="39"/>
      <c r="KD115" s="39"/>
      <c r="KE115" s="39"/>
      <c r="KF115" s="39"/>
      <c r="KG115" s="39"/>
      <c r="KH115" s="39"/>
      <c r="KI115" s="39"/>
      <c r="KJ115" s="39"/>
      <c r="KK115" s="39"/>
      <c r="KL115" s="39"/>
      <c r="KM115" s="39"/>
      <c r="KN115" s="39"/>
      <c r="KO115" s="39"/>
      <c r="KP115" s="39"/>
      <c r="KQ115" s="39"/>
      <c r="KR115" s="39"/>
      <c r="KS115" s="39"/>
      <c r="KT115" s="39"/>
      <c r="KU115" s="39"/>
      <c r="KV115" s="39"/>
      <c r="KW115" s="39"/>
      <c r="KX115" s="39"/>
      <c r="KY115" s="39"/>
      <c r="KZ115" s="39"/>
      <c r="LA115" s="39"/>
      <c r="LB115" s="39"/>
      <c r="LC115" s="39"/>
      <c r="LD115" s="39"/>
      <c r="LE115" s="39">
        <f>IU115+IW115+IY115+JA115+JC115+JE115+JG115+JI115+JK115+JM115+JO115+JQ115+JS115+JU115+JW115+JY115+KA115+KC115+KE115+KG115+KI115+KK115+KM115+KO115+KQ115+KS115+KU115+KW115+KY115+LA115+LC115</f>
        <v>0</v>
      </c>
      <c r="LF115" s="39">
        <f>IV115+IX115+IZ115+JB115+JD115+JF115+JH115+JJ115+JL115+JN115+JP115+JR115+JT115+JV115+JX115+JZ115+KB115+KD115+KF115+KH115+KJ115+KL115+KN115+KP115+KR115+KT115+KV115+KX115+KZ115+LB115+LD115</f>
        <v>0</v>
      </c>
      <c r="LG115" s="39"/>
      <c r="LH115" s="39"/>
      <c r="LI115" s="39"/>
      <c r="LJ115" s="39"/>
      <c r="LK115" s="39"/>
      <c r="LL115" s="39"/>
      <c r="LM115" s="39"/>
      <c r="LN115" s="39"/>
      <c r="LO115" s="39"/>
      <c r="LP115" s="39"/>
      <c r="LQ115" s="39"/>
      <c r="LR115" s="39"/>
      <c r="LS115" s="39"/>
      <c r="LT115" s="39"/>
      <c r="LU115" s="39"/>
      <c r="LV115" s="39"/>
      <c r="LW115" s="39"/>
      <c r="LX115" s="39"/>
      <c r="LY115" s="39"/>
      <c r="LZ115" s="39"/>
      <c r="MA115" s="39"/>
      <c r="MB115" s="39"/>
      <c r="MC115" s="39"/>
      <c r="MD115" s="39"/>
      <c r="ME115" s="39"/>
      <c r="MF115" s="39"/>
      <c r="MG115" s="39"/>
      <c r="MH115" s="39"/>
      <c r="MI115" s="39"/>
      <c r="MJ115" s="39"/>
      <c r="MK115" s="39"/>
      <c r="ML115" s="39"/>
      <c r="MM115" s="39"/>
      <c r="MN115" s="39"/>
      <c r="MO115" s="39"/>
      <c r="MP115" s="39"/>
      <c r="MQ115" s="39"/>
      <c r="MR115" s="39"/>
      <c r="MS115" s="39"/>
      <c r="MT115" s="39"/>
      <c r="MU115" s="39"/>
      <c r="MV115" s="39"/>
      <c r="MW115" s="39"/>
      <c r="MX115" s="39"/>
      <c r="MY115" s="39"/>
      <c r="MZ115" s="39"/>
      <c r="NA115" s="39"/>
      <c r="NB115" s="39"/>
      <c r="NC115" s="39"/>
      <c r="ND115" s="39"/>
      <c r="NE115" s="39"/>
      <c r="NF115" s="39"/>
      <c r="NG115" s="39"/>
      <c r="NH115" s="39"/>
      <c r="NI115" s="39"/>
      <c r="NJ115" s="39"/>
      <c r="NK115" s="39"/>
      <c r="NL115" s="39"/>
      <c r="NM115" s="39"/>
      <c r="NN115" s="39"/>
      <c r="NO115" s="39">
        <f>LG115+LI115+LK115+LM115+LO115+LQ115+LS115+LU115+LW115+LY115+MA115+MC115+ME115+MG115+MI115+MK115+MM115+MO115+MQ115+MS115+MU115+MW115+MY115+NA115+NC115+NE115+NG115+NI115+NK115+NM115</f>
        <v>0</v>
      </c>
      <c r="NP115" s="39">
        <f>LH115+LJ115+LL115+LN115+LP115+LR115+LT115+LV115+LX115+LZ115+MB115+MD115+MF115+MH115+MJ115+ML115+MN115+MP115+MR115+MT115+MV115+MX115+MZ115+NB115+ND115+NF115+NH115+NJ115+NL115+NN115</f>
        <v>0</v>
      </c>
      <c r="NQ115" s="39"/>
      <c r="NR115" s="39"/>
      <c r="NS115" s="39"/>
      <c r="NT115" s="39"/>
      <c r="NU115" s="39"/>
      <c r="NV115" s="39"/>
      <c r="NW115" s="39"/>
      <c r="NX115" s="39"/>
      <c r="NY115" s="39"/>
      <c r="NZ115" s="39"/>
      <c r="OA115" s="39"/>
      <c r="OB115" s="39"/>
      <c r="OC115" s="39"/>
      <c r="OD115" s="39"/>
      <c r="OE115" s="39"/>
      <c r="OF115" s="39"/>
      <c r="OG115" s="39"/>
      <c r="OH115" s="39"/>
      <c r="OI115" s="39"/>
      <c r="OJ115" s="39"/>
      <c r="OK115" s="39"/>
      <c r="OL115" s="39"/>
      <c r="OM115" s="39"/>
      <c r="ON115" s="39"/>
      <c r="OO115" s="39"/>
      <c r="OP115" s="39"/>
      <c r="OQ115" s="39"/>
      <c r="OR115" s="39"/>
      <c r="OS115" s="39"/>
      <c r="OT115" s="39"/>
      <c r="OU115" s="39"/>
      <c r="OV115" s="39"/>
      <c r="OW115" s="39"/>
      <c r="OX115" s="39"/>
      <c r="OY115" s="39"/>
      <c r="OZ115" s="39"/>
      <c r="PA115" s="39"/>
      <c r="PB115" s="39"/>
      <c r="PC115" s="39"/>
      <c r="PD115" s="39"/>
      <c r="PE115" s="39"/>
      <c r="PF115" s="39"/>
      <c r="PG115" s="39"/>
      <c r="PH115" s="39"/>
      <c r="PI115" s="39"/>
      <c r="PJ115" s="39"/>
      <c r="PK115" s="39"/>
      <c r="PL115" s="39"/>
      <c r="PM115" s="39"/>
      <c r="PN115" s="39"/>
      <c r="PO115" s="39"/>
      <c r="PP115" s="39"/>
      <c r="PQ115" s="39"/>
      <c r="PR115" s="39"/>
      <c r="PS115" s="39"/>
      <c r="PT115" s="39"/>
      <c r="PU115" s="39"/>
      <c r="PV115" s="39"/>
      <c r="PW115" s="39"/>
      <c r="PX115" s="39"/>
      <c r="PY115" s="39"/>
      <c r="PZ115" s="39"/>
      <c r="QA115" s="39">
        <f>NQ115+NS115+NU115+NW115+NY115+OA115+OC115+OE115+OG115+OI115+OK115+OM115+OO115+OQ115+OS115+OU115+OW115+OY115+PA115+PC115+PE115+PG115+PI115+PK115+PM115+PO115+PQ115+PS115+PU115+PW115+PY115</f>
        <v>0</v>
      </c>
      <c r="QB115" s="39">
        <f>NR115+NT115+NV115+NX115+NZ115+OB115+OD115+OF115+OH115+OJ115+OL115+ON115+OP115+OR115+OT115+OV115+OX115+OZ115+PB115+PD115+PF115+PH115+PJ115+PL115+PN115+PP115+PR115+PT115+PV115+PX115+PZ115</f>
        <v>0</v>
      </c>
      <c r="QC115" s="39"/>
      <c r="QD115" s="39"/>
      <c r="QE115" s="39"/>
      <c r="QF115" s="39"/>
      <c r="QG115" s="39"/>
      <c r="QH115" s="39"/>
      <c r="QI115" s="39"/>
      <c r="QJ115" s="39"/>
      <c r="QK115" s="39"/>
      <c r="QL115" s="39"/>
      <c r="QM115" s="39"/>
      <c r="QN115" s="39"/>
      <c r="QO115" s="39"/>
      <c r="QP115" s="39"/>
      <c r="QQ115" s="39"/>
      <c r="QR115" s="39"/>
      <c r="QS115" s="39"/>
      <c r="QT115" s="39"/>
      <c r="QU115" s="39"/>
      <c r="QV115" s="39"/>
      <c r="QW115" s="39"/>
      <c r="QX115" s="39"/>
      <c r="QY115" s="39"/>
      <c r="QZ115" s="39"/>
      <c r="RA115" s="39"/>
      <c r="RB115" s="39"/>
      <c r="RC115" s="39"/>
      <c r="RD115" s="39"/>
      <c r="RE115" s="39"/>
      <c r="RF115" s="39"/>
      <c r="RG115" s="39"/>
      <c r="RH115" s="39"/>
      <c r="RI115" s="39"/>
      <c r="RJ115" s="39"/>
      <c r="RK115" s="39"/>
      <c r="RL115" s="39"/>
      <c r="RM115" s="39"/>
      <c r="RN115" s="39"/>
      <c r="RO115" s="39"/>
      <c r="RP115" s="39"/>
      <c r="RQ115" s="39"/>
      <c r="RR115" s="39"/>
      <c r="RS115" s="39"/>
      <c r="RT115" s="39"/>
      <c r="RU115" s="39"/>
      <c r="RV115" s="39"/>
      <c r="RW115" s="39"/>
      <c r="RX115" s="39"/>
      <c r="RY115" s="39"/>
      <c r="RZ115" s="39"/>
      <c r="SA115" s="39"/>
      <c r="SB115" s="39"/>
      <c r="SC115" s="39"/>
      <c r="SD115" s="39"/>
      <c r="SE115" s="39"/>
      <c r="SF115" s="39"/>
      <c r="SG115" s="39"/>
      <c r="SH115" s="39"/>
      <c r="SI115" s="39"/>
      <c r="SJ115" s="39"/>
      <c r="SK115" s="39"/>
      <c r="SL115" s="39"/>
      <c r="SM115" s="39">
        <f>QC115+QE115+QG115+QI115+QK115+QM115+QO115+QQ115+QS115+QU115+QW115+QY115+RA115+RC115+RE115+RG115+RI115+RK115+RM115+RO115+RQ115+RS115+RU115+RW115+RY115+SA115+SC115+SE115+SG115+SI115+SK115</f>
        <v>0</v>
      </c>
      <c r="SN115" s="39">
        <f>QD115+QF115+QH115+QJ115+QL115+QN115+QP115+QR115+QT115+QV115+QX115+QZ115+RB115+RD115+RF115+RH115+RJ115+RL115+RN115+RP115+RR115+RT115+RV115+RX115+RZ115+SB115+SD115+SF115+SH115+SJ115+SL115</f>
        <v>0</v>
      </c>
      <c r="SO115" s="39"/>
      <c r="SP115" s="39"/>
      <c r="SQ115" s="39"/>
      <c r="SR115" s="39"/>
      <c r="SS115" s="39"/>
      <c r="ST115" s="39"/>
      <c r="SU115" s="39"/>
      <c r="SV115" s="39"/>
      <c r="SW115" s="39"/>
      <c r="SX115" s="39"/>
      <c r="SY115" s="39"/>
      <c r="SZ115" s="39"/>
      <c r="TA115" s="39"/>
      <c r="TB115" s="39"/>
      <c r="TC115" s="39"/>
      <c r="TD115" s="39"/>
      <c r="TE115" s="39"/>
      <c r="TF115" s="39"/>
      <c r="TG115" s="39"/>
      <c r="TH115" s="39"/>
      <c r="TI115" s="39"/>
      <c r="TJ115" s="39"/>
      <c r="TK115" s="39"/>
      <c r="TL115" s="39"/>
      <c r="TM115" s="39"/>
      <c r="TN115" s="39"/>
      <c r="TO115" s="39"/>
      <c r="TP115" s="39"/>
      <c r="TQ115" s="39"/>
      <c r="TR115" s="39"/>
      <c r="TS115" s="39"/>
      <c r="TT115" s="39"/>
      <c r="TU115" s="39"/>
      <c r="TV115" s="39"/>
      <c r="TW115" s="39"/>
      <c r="TX115" s="39"/>
      <c r="TY115" s="39"/>
      <c r="TZ115" s="39"/>
      <c r="UA115" s="39"/>
      <c r="UB115" s="39"/>
      <c r="UC115" s="39"/>
      <c r="UD115" s="39"/>
      <c r="UE115" s="39"/>
      <c r="UF115" s="39"/>
      <c r="UG115" s="39"/>
      <c r="UH115" s="39"/>
      <c r="UI115" s="39"/>
      <c r="UJ115" s="39"/>
      <c r="UK115" s="39"/>
      <c r="UL115" s="39"/>
      <c r="UM115" s="39"/>
      <c r="UN115" s="39"/>
      <c r="UO115" s="39"/>
      <c r="UP115" s="39"/>
      <c r="UQ115" s="39"/>
      <c r="UR115" s="39"/>
      <c r="US115" s="39"/>
      <c r="UT115" s="39"/>
      <c r="UU115" s="39"/>
      <c r="UV115" s="39"/>
      <c r="UW115" s="39">
        <f>SO115+SQ115+SS115+SU115+SW115+SY115+TA115+TC115+TE115+TG115+TI115+TK115+TM115+TO115+TQ115+TS115+TU115+TW115+TY115+UA115+UC115+UE115+UG115+UI115+UK115+UM115+UO115+UQ115+US115+UU115</f>
        <v>0</v>
      </c>
      <c r="UX115" s="39">
        <f>SP115+SR115+ST115+SV115+SX115+SZ115+TB115+TD115+TF115+TH115+TJ115+TL115+TN115+TP115+TR115+TT115+TV115+TX115+TZ115+UB115+UD115+UF115+UH115+UJ115+UL115+UN115+UP115+UR115+UT115+UV115</f>
        <v>0</v>
      </c>
      <c r="UY115" s="39"/>
      <c r="UZ115" s="39"/>
      <c r="VA115" s="39"/>
      <c r="VB115" s="39"/>
      <c r="VC115" s="39"/>
      <c r="VD115" s="39"/>
      <c r="VE115" s="39"/>
      <c r="VF115" s="39"/>
      <c r="VG115" s="39"/>
      <c r="VH115" s="39"/>
      <c r="VI115" s="39"/>
      <c r="VJ115" s="39"/>
      <c r="VK115" s="39"/>
      <c r="VL115" s="39"/>
      <c r="VM115" s="39"/>
      <c r="VN115" s="39"/>
      <c r="VO115" s="39"/>
      <c r="VP115" s="39"/>
      <c r="VQ115" s="39"/>
      <c r="VR115" s="39"/>
      <c r="VS115" s="39"/>
      <c r="VT115" s="39"/>
      <c r="VU115" s="39"/>
      <c r="VV115" s="39"/>
      <c r="VW115" s="39"/>
      <c r="VX115" s="39"/>
      <c r="VY115" s="39"/>
      <c r="VZ115" s="39"/>
      <c r="WA115" s="39"/>
      <c r="WB115" s="39"/>
      <c r="WC115" s="39"/>
      <c r="WD115" s="39"/>
      <c r="WE115" s="39"/>
      <c r="WF115" s="39"/>
      <c r="WG115" s="39"/>
      <c r="WH115" s="39"/>
      <c r="WI115" s="39"/>
      <c r="WJ115" s="39"/>
      <c r="WK115" s="39"/>
      <c r="WL115" s="39"/>
      <c r="WM115" s="39"/>
      <c r="WN115" s="39"/>
      <c r="WO115" s="39"/>
      <c r="WP115" s="39"/>
      <c r="WQ115" s="39"/>
      <c r="WR115" s="39"/>
      <c r="WS115" s="39"/>
      <c r="WT115" s="39"/>
      <c r="WU115" s="39"/>
      <c r="WV115" s="39"/>
      <c r="WW115" s="39"/>
      <c r="WX115" s="39"/>
      <c r="WY115" s="39"/>
      <c r="WZ115" s="39"/>
      <c r="XA115" s="39"/>
      <c r="XB115" s="39"/>
      <c r="XC115" s="39"/>
      <c r="XD115" s="39"/>
      <c r="XE115" s="39"/>
      <c r="XF115" s="39"/>
      <c r="XG115" s="39"/>
      <c r="XH115" s="39"/>
      <c r="XI115" s="39">
        <f>UY115+VA115+VC115+VE115+VG115+VI115+VK115+VM115+VO115+VQ115+VS115+VU115+VW115+VY115+WA115+WC115+WE115+WG115+WI115+WK115+WM115+WO115+WQ115+WS115+WU115+WW115+WY115+XA115+XC115+XE115+XG115</f>
        <v>0</v>
      </c>
      <c r="XJ115" s="39">
        <f>UZ115+VB115+VD115+VF115+VH115+VJ115+VL115+VN115+VP115+VR115+VT115+VV115+VX115+VZ115+WB115+WD115+WF115+WH115+WJ115+WL115+WN115+WP115+WR115+WT115+WV115+WX115+WZ115+XB115+XD115+XF115+XH115</f>
        <v>0</v>
      </c>
      <c r="XK115" s="39"/>
      <c r="XL115" s="39"/>
      <c r="XM115" s="39"/>
      <c r="XN115" s="39"/>
      <c r="XO115" s="39"/>
      <c r="XP115" s="39"/>
      <c r="XQ115" s="39"/>
      <c r="XR115" s="39"/>
      <c r="XS115" s="39"/>
      <c r="XT115" s="39"/>
      <c r="XU115" s="39"/>
      <c r="XV115" s="39"/>
      <c r="XW115" s="39"/>
      <c r="XX115" s="39"/>
      <c r="XY115" s="39"/>
      <c r="XZ115" s="39"/>
      <c r="YA115" s="39"/>
      <c r="YB115" s="39"/>
      <c r="YC115" s="39"/>
      <c r="YD115" s="39"/>
      <c r="YE115" s="39"/>
      <c r="YF115" s="39"/>
      <c r="YG115" s="39"/>
      <c r="YH115" s="39"/>
      <c r="YI115" s="39"/>
      <c r="YJ115" s="39"/>
      <c r="YK115" s="39"/>
      <c r="YL115" s="39"/>
      <c r="YM115" s="39"/>
      <c r="YN115" s="39"/>
      <c r="YO115" s="39"/>
      <c r="YP115" s="39"/>
      <c r="YQ115" s="39"/>
      <c r="YR115" s="39"/>
      <c r="YS115" s="39"/>
      <c r="YT115" s="39"/>
      <c r="YU115" s="39"/>
      <c r="YV115" s="39"/>
      <c r="YW115" s="39"/>
      <c r="YX115" s="39"/>
      <c r="YY115" s="39"/>
      <c r="YZ115" s="39"/>
      <c r="ZA115" s="39"/>
      <c r="ZB115" s="39"/>
      <c r="ZC115" s="39"/>
      <c r="ZD115" s="39"/>
      <c r="ZE115" s="39"/>
      <c r="ZF115" s="39"/>
      <c r="ZG115" s="39"/>
      <c r="ZH115" s="39"/>
      <c r="ZI115" s="39"/>
      <c r="ZJ115" s="39"/>
      <c r="ZK115" s="39"/>
      <c r="ZL115" s="39"/>
      <c r="ZM115" s="39"/>
      <c r="ZN115" s="39"/>
      <c r="ZO115" s="39"/>
      <c r="ZP115" s="39"/>
      <c r="ZQ115" s="39"/>
      <c r="ZR115" s="39"/>
      <c r="ZS115" s="39">
        <f>XK115+XM115+XO115+XQ115+XS115+XU115+XW115+XY115+YA115+YC115+YE115+YG115+YI115+YK115+YM115+YO115+YQ115+YS115+YU115+YW115+YY115+ZA115+ZC115+ZE115+ZG115+ZI115+ZK115+ZM115+ZO115+ZQ115</f>
        <v>0</v>
      </c>
      <c r="ZT115" s="39">
        <f>XL115+XN115+XP115+XR115+XT115+XV115+XX115+XZ115+YB115+YD115+YF115+YH115+YJ115+YL115+YN115+YP115+YR115+YT115+YV115+YX115+YZ115+ZB115+ZD115+ZF115+ZH115+ZJ115+ZL115+ZN115+ZP115+ZR115</f>
        <v>0</v>
      </c>
      <c r="ZU115" s="39"/>
      <c r="ZV115" s="39"/>
      <c r="ZW115" s="39"/>
      <c r="ZX115" s="39"/>
      <c r="ZY115" s="39"/>
      <c r="ZZ115" s="39"/>
      <c r="AAA115" s="39"/>
      <c r="AAB115" s="39"/>
      <c r="AAC115" s="39"/>
      <c r="AAD115" s="39"/>
      <c r="AAE115" s="39"/>
      <c r="AAF115" s="39"/>
      <c r="AAG115" s="39"/>
      <c r="AAH115" s="39"/>
      <c r="AAI115" s="39"/>
      <c r="AAJ115" s="39"/>
      <c r="AAK115" s="39"/>
      <c r="AAL115" s="39"/>
      <c r="AAM115" s="39"/>
      <c r="AAN115" s="39"/>
      <c r="AAO115" s="39"/>
      <c r="AAP115" s="39"/>
      <c r="AAQ115" s="39"/>
      <c r="AAR115" s="39"/>
      <c r="AAS115" s="39"/>
      <c r="AAT115" s="39"/>
      <c r="AAU115" s="39"/>
      <c r="AAV115" s="39"/>
      <c r="AAW115" s="39"/>
      <c r="AAX115" s="39"/>
      <c r="AAY115" s="39"/>
      <c r="AAZ115" s="39"/>
      <c r="ABA115" s="39"/>
      <c r="ABB115" s="39"/>
      <c r="ABC115" s="39"/>
      <c r="ABD115" s="39"/>
      <c r="ABE115" s="39"/>
      <c r="ABF115" s="39"/>
      <c r="ABG115" s="39"/>
      <c r="ABH115" s="39"/>
      <c r="ABI115" s="39"/>
      <c r="ABJ115" s="39"/>
      <c r="ABK115" s="39"/>
      <c r="ABL115" s="39"/>
      <c r="ABM115" s="39"/>
      <c r="ABN115" s="39"/>
      <c r="ABO115" s="39"/>
      <c r="ABP115" s="39"/>
      <c r="ABQ115" s="39"/>
      <c r="ABR115" s="39"/>
      <c r="ABS115" s="39"/>
      <c r="ABT115" s="39"/>
      <c r="ABU115" s="39"/>
      <c r="ABV115" s="39"/>
      <c r="ABW115" s="39"/>
      <c r="ABX115" s="39"/>
      <c r="ABY115" s="39"/>
      <c r="ABZ115" s="39"/>
      <c r="ACA115" s="39"/>
      <c r="ACB115" s="39"/>
      <c r="ACC115" s="39"/>
      <c r="ACD115" s="39"/>
      <c r="ACE115" s="39">
        <f>ZU115+ZW115+ZY115+AAA115+AAC115+AAE115+AAG115+AAI115+AAK115+AAM115+AAO115+AAQ115+AAS115+AAU115+AAW115+AAY115+ABA115+ABC115+ABE115+ABG115+ABI115+ABK115+ABM115+ABO115+ABQ115+ABS115+ABU115+ABW115+ABY115+ACA115+ACC115</f>
        <v>0</v>
      </c>
      <c r="ACF115" s="39"/>
      <c r="ACG115" s="39">
        <f>BO115+DW115+GI115+IS115+LE115+NO115+QA115+SM115+UW115+XI115+ZS115+ACE115</f>
        <v>0</v>
      </c>
      <c r="ACH115" s="40"/>
      <c r="ACI115" s="71" t="s">
        <v>240</v>
      </c>
      <c r="ACJ115" s="71" t="s">
        <v>98</v>
      </c>
    </row>
    <row r="118" spans="1:764" x14ac:dyDescent="0.25">
      <c r="BQ118" s="79"/>
      <c r="BR118" s="79"/>
      <c r="BS118" s="79"/>
      <c r="BT118" s="79"/>
      <c r="BU118" s="79"/>
      <c r="BV118" s="79"/>
      <c r="BW118" s="79"/>
      <c r="BX118" s="79"/>
      <c r="BY118" s="79"/>
      <c r="BZ118" s="79"/>
      <c r="CA118" s="79"/>
      <c r="CB118" s="79"/>
      <c r="CC118" s="79"/>
      <c r="CD118" s="79"/>
      <c r="CE118" s="79"/>
      <c r="CF118" s="79"/>
      <c r="CG118" s="79"/>
      <c r="CH118" s="79"/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79"/>
      <c r="CV118" s="79"/>
      <c r="CW118" s="79"/>
      <c r="CX118" s="79"/>
      <c r="CY118" s="79"/>
      <c r="CZ118" s="79"/>
      <c r="DA118" s="79"/>
      <c r="DB118" s="79"/>
      <c r="DC118" s="79"/>
      <c r="DD118" s="79"/>
      <c r="DE118" s="79"/>
      <c r="DF118" s="79"/>
      <c r="DG118" s="79"/>
      <c r="DH118" s="79"/>
      <c r="DI118" s="79"/>
      <c r="DJ118" s="79"/>
      <c r="DK118" s="79"/>
      <c r="DL118" s="79"/>
      <c r="DM118" s="79"/>
      <c r="DN118" s="79"/>
      <c r="DO118" s="79"/>
      <c r="DP118" s="79"/>
      <c r="DQ118" s="79"/>
      <c r="DR118" s="79"/>
      <c r="DS118" s="79"/>
      <c r="DT118" s="79"/>
      <c r="DU118" s="79"/>
      <c r="DV118" s="79"/>
      <c r="DW118" s="79"/>
      <c r="DX118" s="79"/>
      <c r="DY118" s="79"/>
      <c r="DZ118" s="79"/>
      <c r="EA118" s="79"/>
      <c r="EB118" s="79"/>
      <c r="EC118" s="79"/>
      <c r="ED118" s="79"/>
      <c r="EE118" s="79"/>
      <c r="EF118" s="79"/>
      <c r="EG118" s="79"/>
      <c r="EH118" s="79"/>
      <c r="EI118" s="79"/>
      <c r="EJ118" s="79"/>
      <c r="EK118" s="79"/>
      <c r="EL118" s="79"/>
      <c r="EM118" s="79"/>
      <c r="EN118" s="79"/>
      <c r="EO118" s="79"/>
      <c r="EP118" s="79"/>
      <c r="EQ118" s="79"/>
      <c r="ER118" s="79"/>
      <c r="ES118" s="79"/>
      <c r="ET118" s="79"/>
      <c r="EU118" s="79"/>
      <c r="EV118" s="79"/>
      <c r="EW118" s="79"/>
      <c r="EX118" s="79"/>
      <c r="EY118" s="79"/>
      <c r="EZ118" s="79"/>
      <c r="FA118" s="79"/>
      <c r="FB118" s="79"/>
      <c r="FC118" s="79"/>
      <c r="FD118" s="79"/>
      <c r="FE118" s="79"/>
      <c r="FF118" s="79"/>
      <c r="FG118" s="79"/>
      <c r="FH118" s="79"/>
      <c r="FI118" s="79"/>
      <c r="FJ118" s="79"/>
      <c r="FK118" s="79"/>
      <c r="FL118" s="79"/>
      <c r="FM118" s="79"/>
      <c r="FN118" s="79"/>
      <c r="FO118" s="79"/>
      <c r="FP118" s="79"/>
      <c r="FQ118" s="79"/>
      <c r="FR118" s="79"/>
      <c r="FS118" s="79"/>
      <c r="FT118" s="79"/>
      <c r="FU118" s="79"/>
      <c r="FV118" s="79"/>
      <c r="FW118" s="79"/>
      <c r="FX118" s="79"/>
      <c r="FY118" s="79"/>
      <c r="FZ118" s="79"/>
      <c r="GA118" s="79"/>
      <c r="GB118" s="79"/>
      <c r="GC118" s="79"/>
      <c r="GD118" s="79"/>
      <c r="GE118" s="79"/>
      <c r="GF118" s="79"/>
      <c r="GG118" s="79"/>
      <c r="GH118" s="79"/>
      <c r="GI118" s="79" t="e" cm="1">
        <f t="array" ref="GI118">SUMPRODUCT($BO10:GH10,--(MONTH($BO1:GH1)=MONTH(DATEVALUE(LOWER(RIGHT(GI1,LEN(GI1)-FIND(" ",GI1,1)))&amp;1))))</f>
        <v>#VALUE!</v>
      </c>
      <c r="GJ118" s="79"/>
      <c r="GK118" s="79"/>
      <c r="GL118" s="79"/>
      <c r="GM118" s="79"/>
      <c r="GN118" s="79"/>
      <c r="GO118" s="79"/>
      <c r="GP118" s="79"/>
      <c r="GQ118" s="79"/>
      <c r="GR118" s="79"/>
      <c r="GS118" s="79"/>
      <c r="GT118" s="79"/>
      <c r="GU118" s="79"/>
      <c r="GV118" s="79"/>
      <c r="GW118" s="79"/>
      <c r="GX118" s="79"/>
      <c r="GY118" s="79"/>
      <c r="GZ118" s="79"/>
      <c r="HA118" s="79"/>
      <c r="HB118" s="79"/>
      <c r="HC118" s="79"/>
      <c r="HD118" s="79"/>
      <c r="HE118" s="79"/>
      <c r="HF118" s="79"/>
      <c r="HG118" s="79"/>
      <c r="HH118" s="79"/>
      <c r="HI118" s="79"/>
      <c r="HJ118" s="79"/>
      <c r="HK118" s="79"/>
      <c r="HL118" s="79"/>
      <c r="HM118" s="79"/>
      <c r="HN118" s="79"/>
      <c r="HO118" s="79"/>
      <c r="HP118" s="79"/>
      <c r="HQ118" s="79"/>
      <c r="HR118" s="79"/>
      <c r="HS118" s="79"/>
      <c r="HT118" s="79"/>
      <c r="HU118" s="79"/>
      <c r="HV118" s="79"/>
      <c r="HW118" s="79"/>
      <c r="HX118" s="79"/>
      <c r="HY118" s="79"/>
      <c r="HZ118" s="79"/>
      <c r="IA118" s="79"/>
      <c r="IB118" s="79"/>
      <c r="IC118" s="79"/>
      <c r="ID118" s="79"/>
      <c r="IE118" s="79"/>
      <c r="IF118" s="79"/>
      <c r="IG118" s="79"/>
      <c r="IH118" s="79"/>
      <c r="II118" s="79"/>
      <c r="IJ118" s="79"/>
      <c r="IK118" s="79"/>
      <c r="IL118" s="79"/>
      <c r="IM118" s="79"/>
      <c r="IN118" s="79"/>
      <c r="IO118" s="79"/>
      <c r="IP118" s="79"/>
      <c r="IQ118" s="79"/>
      <c r="IR118" s="79"/>
      <c r="IS118" s="79"/>
      <c r="IT118" s="79"/>
      <c r="IU118" s="79"/>
      <c r="IV118" s="79"/>
      <c r="IW118" s="79"/>
      <c r="IX118" s="79"/>
      <c r="IY118" s="79"/>
      <c r="IZ118" s="79"/>
      <c r="JA118" s="79"/>
      <c r="JB118" s="79"/>
      <c r="JC118" s="79"/>
      <c r="JD118" s="79"/>
      <c r="JE118" s="79"/>
      <c r="JF118" s="79"/>
      <c r="JG118" s="79"/>
      <c r="JH118" s="79"/>
      <c r="JI118" s="79"/>
      <c r="JJ118" s="79"/>
      <c r="JK118" s="79"/>
      <c r="JL118" s="79"/>
      <c r="JM118" s="79"/>
      <c r="JN118" s="79"/>
      <c r="JO118" s="79"/>
      <c r="JP118" s="79"/>
      <c r="JQ118" s="79"/>
      <c r="JR118" s="79"/>
      <c r="JS118" s="79"/>
      <c r="JT118" s="79"/>
      <c r="JU118" s="79"/>
      <c r="JV118" s="79"/>
      <c r="JW118" s="79"/>
      <c r="JX118" s="79"/>
      <c r="JY118" s="79"/>
      <c r="JZ118" s="79"/>
      <c r="KA118" s="79"/>
      <c r="KB118" s="79"/>
      <c r="KC118" s="79"/>
      <c r="KD118" s="79"/>
      <c r="KE118" s="79"/>
      <c r="KF118" s="79"/>
      <c r="KG118" s="79"/>
      <c r="KH118" s="79"/>
      <c r="KI118" s="79"/>
      <c r="KJ118" s="79"/>
      <c r="KK118" s="79"/>
      <c r="KL118" s="79"/>
      <c r="KM118" s="79"/>
      <c r="KN118" s="79"/>
      <c r="KO118" s="79"/>
      <c r="KP118" s="79"/>
      <c r="KQ118" s="79"/>
      <c r="KR118" s="79"/>
      <c r="KS118" s="79"/>
      <c r="KT118" s="79"/>
      <c r="KU118" s="79"/>
      <c r="KV118" s="79"/>
      <c r="KW118" s="79"/>
      <c r="KX118" s="79"/>
      <c r="KY118" s="79"/>
      <c r="KZ118" s="79"/>
      <c r="LA118" s="79"/>
      <c r="LB118" s="79"/>
      <c r="LC118" s="79"/>
      <c r="LD118" s="79"/>
      <c r="LE118" s="79"/>
      <c r="LF118" s="79"/>
      <c r="LG118" s="79"/>
      <c r="LH118" s="79"/>
      <c r="LI118" s="79"/>
      <c r="LJ118" s="79"/>
      <c r="LK118" s="79"/>
      <c r="LL118" s="79"/>
      <c r="LM118" s="79"/>
      <c r="LN118" s="79"/>
      <c r="LO118" s="79"/>
      <c r="LP118" s="79"/>
      <c r="LQ118" s="79"/>
      <c r="LR118" s="79"/>
      <c r="LS118" s="79"/>
      <c r="LT118" s="79"/>
      <c r="LU118" s="79"/>
      <c r="LV118" s="79"/>
      <c r="LW118" s="79"/>
      <c r="LX118" s="79"/>
      <c r="LY118" s="79"/>
      <c r="LZ118" s="79"/>
      <c r="MA118" s="79"/>
      <c r="MB118" s="79"/>
      <c r="MC118" s="79"/>
      <c r="MD118" s="79"/>
      <c r="ME118" s="79"/>
      <c r="MF118" s="79"/>
      <c r="MG118" s="79"/>
      <c r="MH118" s="79"/>
      <c r="MI118" s="79"/>
      <c r="MJ118" s="79"/>
      <c r="MK118" s="79"/>
      <c r="ML118" s="79"/>
      <c r="MM118" s="79"/>
      <c r="MN118" s="79"/>
      <c r="MO118" s="79"/>
      <c r="MP118" s="79"/>
      <c r="MQ118" s="79"/>
      <c r="MR118" s="79"/>
      <c r="MS118" s="79"/>
      <c r="MT118" s="79"/>
      <c r="MU118" s="79"/>
      <c r="MV118" s="79"/>
      <c r="MW118" s="79"/>
      <c r="MX118" s="79"/>
      <c r="MY118" s="79"/>
      <c r="MZ118" s="79"/>
      <c r="NA118" s="79"/>
      <c r="NB118" s="79"/>
      <c r="NC118" s="79"/>
      <c r="ND118" s="79"/>
      <c r="NE118" s="79"/>
      <c r="NF118" s="79"/>
      <c r="NG118" s="79"/>
      <c r="NH118" s="79"/>
      <c r="NI118" s="79"/>
      <c r="NJ118" s="79"/>
      <c r="NK118" s="79"/>
      <c r="NL118" s="79"/>
      <c r="NM118" s="79"/>
      <c r="NN118" s="79"/>
      <c r="NO118" s="79"/>
      <c r="NP118" s="79"/>
      <c r="NQ118" s="79"/>
      <c r="NR118" s="79"/>
      <c r="NS118" s="79"/>
      <c r="NT118" s="79"/>
      <c r="NU118" s="79"/>
      <c r="NV118" s="79"/>
      <c r="NW118" s="79"/>
      <c r="NX118" s="79"/>
      <c r="NY118" s="79"/>
      <c r="NZ118" s="79"/>
      <c r="OA118" s="79"/>
      <c r="OB118" s="79"/>
      <c r="OC118" s="79"/>
      <c r="OD118" s="79"/>
      <c r="OE118" s="79"/>
      <c r="OF118" s="79"/>
      <c r="OG118" s="79"/>
      <c r="OH118" s="79"/>
      <c r="OI118" s="79"/>
      <c r="OJ118" s="79"/>
      <c r="OK118" s="79"/>
      <c r="OL118" s="79"/>
      <c r="OM118" s="79"/>
      <c r="ON118" s="79"/>
      <c r="OO118" s="79"/>
      <c r="OP118" s="79"/>
      <c r="OQ118" s="79"/>
      <c r="OR118" s="79"/>
      <c r="OS118" s="79"/>
      <c r="OT118" s="79"/>
      <c r="OU118" s="79"/>
      <c r="OV118" s="79"/>
      <c r="OW118" s="79"/>
      <c r="OX118" s="79"/>
      <c r="OY118" s="79"/>
      <c r="OZ118" s="79"/>
      <c r="PA118" s="79"/>
      <c r="PB118" s="79"/>
      <c r="PC118" s="79"/>
      <c r="PD118" s="79"/>
      <c r="PE118" s="79"/>
      <c r="PF118" s="79"/>
      <c r="PG118" s="79"/>
      <c r="PH118" s="79"/>
      <c r="PI118" s="79"/>
      <c r="PJ118" s="79"/>
      <c r="PK118" s="79"/>
      <c r="PL118" s="79"/>
      <c r="PM118" s="79"/>
      <c r="PN118" s="79"/>
      <c r="PO118" s="79"/>
      <c r="PP118" s="79"/>
      <c r="PQ118" s="79"/>
      <c r="PR118" s="79"/>
      <c r="PS118" s="79"/>
      <c r="PT118" s="79"/>
      <c r="PU118" s="79"/>
      <c r="PV118" s="79"/>
      <c r="PW118" s="79"/>
      <c r="PX118" s="79"/>
      <c r="PY118" s="79"/>
      <c r="PZ118" s="79"/>
      <c r="QA118" s="79"/>
      <c r="QB118" s="79"/>
      <c r="QC118" s="79"/>
      <c r="QD118" s="79"/>
      <c r="QE118" s="79"/>
      <c r="QF118" s="79"/>
      <c r="QG118" s="79"/>
      <c r="QH118" s="79"/>
      <c r="QI118" s="79"/>
      <c r="QJ118" s="79"/>
      <c r="QK118" s="79"/>
      <c r="QL118" s="79"/>
      <c r="QM118" s="79"/>
      <c r="QN118" s="79"/>
      <c r="QO118" s="79"/>
      <c r="QP118" s="79"/>
      <c r="QQ118" s="79"/>
      <c r="QR118" s="79"/>
      <c r="QS118" s="79"/>
      <c r="QT118" s="79"/>
      <c r="QU118" s="79"/>
      <c r="QV118" s="79"/>
      <c r="QW118" s="79"/>
      <c r="QX118" s="79"/>
      <c r="QY118" s="79"/>
      <c r="QZ118" s="79"/>
      <c r="RA118" s="79"/>
      <c r="RB118" s="79"/>
      <c r="RC118" s="79"/>
      <c r="RD118" s="79"/>
      <c r="RE118" s="79"/>
      <c r="RF118" s="79"/>
      <c r="RG118" s="79"/>
      <c r="RH118" s="79"/>
      <c r="RI118" s="79"/>
      <c r="RJ118" s="79"/>
      <c r="RK118" s="79"/>
      <c r="RL118" s="79"/>
      <c r="RM118" s="79"/>
      <c r="RN118" s="79"/>
      <c r="RO118" s="79"/>
      <c r="RP118" s="79"/>
      <c r="RQ118" s="79"/>
      <c r="RR118" s="79"/>
      <c r="RS118" s="79"/>
      <c r="RT118" s="79"/>
      <c r="RU118" s="79"/>
      <c r="RV118" s="79"/>
      <c r="RW118" s="79"/>
      <c r="RX118" s="79"/>
      <c r="RY118" s="79"/>
      <c r="RZ118" s="79"/>
      <c r="SA118" s="79"/>
      <c r="SB118" s="79"/>
      <c r="SC118" s="79"/>
      <c r="SD118" s="79"/>
      <c r="SE118" s="79"/>
      <c r="SF118" s="79"/>
      <c r="SG118" s="79"/>
      <c r="SH118" s="79"/>
      <c r="SI118" s="79"/>
      <c r="SJ118" s="79"/>
      <c r="SK118" s="79"/>
      <c r="SL118" s="79"/>
      <c r="SM118" s="79"/>
      <c r="SN118" s="79"/>
      <c r="SO118" s="79"/>
      <c r="SP118" s="79"/>
      <c r="SQ118" s="79"/>
      <c r="SR118" s="79"/>
      <c r="SS118" s="79"/>
      <c r="ST118" s="79"/>
      <c r="SU118" s="79"/>
      <c r="SV118" s="79"/>
      <c r="SW118" s="79"/>
      <c r="SX118" s="79"/>
      <c r="SY118" s="79"/>
      <c r="SZ118" s="79"/>
      <c r="TA118" s="79"/>
      <c r="TB118" s="79"/>
      <c r="TC118" s="79"/>
      <c r="TD118" s="79"/>
      <c r="TE118" s="79"/>
      <c r="TF118" s="79"/>
      <c r="TG118" s="79"/>
      <c r="TH118" s="79"/>
      <c r="TI118" s="79"/>
      <c r="TJ118" s="79"/>
      <c r="TK118" s="79"/>
      <c r="TL118" s="79"/>
      <c r="TM118" s="79"/>
      <c r="TN118" s="79"/>
      <c r="TO118" s="79"/>
      <c r="TP118" s="79"/>
      <c r="TQ118" s="79"/>
      <c r="TR118" s="79"/>
      <c r="TS118" s="79"/>
      <c r="TT118" s="79"/>
      <c r="TU118" s="79"/>
      <c r="TV118" s="79"/>
      <c r="TW118" s="79"/>
      <c r="TX118" s="79"/>
      <c r="TY118" s="79"/>
      <c r="TZ118" s="79"/>
      <c r="UA118" s="79"/>
      <c r="UB118" s="79"/>
      <c r="UC118" s="79"/>
      <c r="UD118" s="79"/>
      <c r="UE118" s="79"/>
      <c r="UF118" s="79"/>
      <c r="UG118" s="79"/>
      <c r="UH118" s="79"/>
      <c r="UI118" s="79"/>
      <c r="UJ118" s="79"/>
      <c r="UK118" s="79"/>
      <c r="UL118" s="79"/>
      <c r="UM118" s="79"/>
      <c r="UN118" s="79"/>
      <c r="UO118" s="79"/>
      <c r="UP118" s="79"/>
      <c r="UQ118" s="79"/>
      <c r="UR118" s="79"/>
      <c r="US118" s="79"/>
      <c r="UT118" s="79"/>
      <c r="UU118" s="79"/>
      <c r="UV118" s="79"/>
      <c r="UW118" s="79"/>
      <c r="UX118" s="79"/>
      <c r="UY118" s="79"/>
      <c r="UZ118" s="79"/>
      <c r="VA118" s="79"/>
      <c r="VB118" s="79"/>
      <c r="VC118" s="79"/>
      <c r="VD118" s="79"/>
      <c r="VE118" s="79"/>
      <c r="VF118" s="79"/>
      <c r="VG118" s="79"/>
      <c r="VH118" s="79"/>
      <c r="VI118" s="79"/>
      <c r="VJ118" s="79"/>
      <c r="VK118" s="79"/>
      <c r="VL118" s="79"/>
      <c r="VM118" s="79"/>
      <c r="VN118" s="79"/>
      <c r="VO118" s="79"/>
      <c r="VP118" s="79"/>
      <c r="VQ118" s="79"/>
      <c r="VR118" s="79"/>
      <c r="VS118" s="79"/>
      <c r="VT118" s="79"/>
      <c r="VU118" s="79"/>
      <c r="VV118" s="79"/>
      <c r="VW118" s="79"/>
      <c r="VX118" s="79"/>
      <c r="VY118" s="79"/>
      <c r="VZ118" s="79"/>
      <c r="WA118" s="79"/>
      <c r="WB118" s="79"/>
      <c r="WC118" s="79"/>
      <c r="WD118" s="79"/>
      <c r="WE118" s="79"/>
      <c r="WF118" s="79"/>
      <c r="WG118" s="79"/>
      <c r="WH118" s="79"/>
      <c r="WI118" s="79"/>
      <c r="WJ118" s="79"/>
      <c r="WK118" s="79"/>
      <c r="WL118" s="79"/>
      <c r="WM118" s="79"/>
      <c r="WN118" s="79"/>
      <c r="WO118" s="79"/>
      <c r="WP118" s="79"/>
      <c r="WQ118" s="79"/>
      <c r="WR118" s="79"/>
      <c r="WS118" s="79"/>
      <c r="WT118" s="79"/>
      <c r="WU118" s="79"/>
      <c r="WV118" s="79"/>
      <c r="WW118" s="79"/>
      <c r="WX118" s="79"/>
      <c r="WY118" s="79"/>
      <c r="WZ118" s="79"/>
      <c r="XA118" s="79"/>
      <c r="XB118" s="79"/>
      <c r="XC118" s="79"/>
      <c r="XD118" s="79"/>
      <c r="XE118" s="79"/>
      <c r="XF118" s="79"/>
      <c r="XG118" s="79"/>
      <c r="XH118" s="79"/>
      <c r="XI118" s="79"/>
      <c r="XJ118" s="79"/>
      <c r="XK118" s="79"/>
      <c r="XL118" s="79"/>
      <c r="XM118" s="79"/>
      <c r="XN118" s="79"/>
      <c r="XO118" s="79"/>
      <c r="XP118" s="79"/>
      <c r="XQ118" s="79"/>
      <c r="XR118" s="79"/>
      <c r="XS118" s="79"/>
      <c r="XT118" s="79"/>
      <c r="XU118" s="79"/>
      <c r="XV118" s="79"/>
      <c r="XW118" s="79"/>
      <c r="XX118" s="79"/>
      <c r="XY118" s="79"/>
      <c r="XZ118" s="79"/>
      <c r="YA118" s="79"/>
      <c r="YB118" s="79"/>
      <c r="YC118" s="79"/>
      <c r="YD118" s="79"/>
      <c r="YE118" s="79"/>
      <c r="YF118" s="79"/>
      <c r="YG118" s="79"/>
      <c r="YH118" s="79"/>
      <c r="YI118" s="79"/>
      <c r="YJ118" s="79"/>
      <c r="YK118" s="79"/>
      <c r="YL118" s="79"/>
      <c r="YM118" s="79"/>
      <c r="YN118" s="79"/>
      <c r="YO118" s="79"/>
      <c r="YP118" s="79"/>
      <c r="YQ118" s="79"/>
      <c r="YR118" s="79"/>
      <c r="YS118" s="79"/>
      <c r="YT118" s="79"/>
      <c r="YU118" s="79"/>
      <c r="YV118" s="79"/>
      <c r="YW118" s="79"/>
      <c r="YX118" s="79"/>
      <c r="YY118" s="79"/>
      <c r="YZ118" s="79"/>
      <c r="ZA118" s="79"/>
      <c r="ZB118" s="79"/>
      <c r="ZC118" s="79"/>
      <c r="ZD118" s="79"/>
      <c r="ZE118" s="79"/>
      <c r="ZF118" s="79"/>
      <c r="ZG118" s="79"/>
      <c r="ZH118" s="79"/>
      <c r="ZI118" s="79"/>
      <c r="ZJ118" s="79"/>
      <c r="ZK118" s="79"/>
      <c r="ZL118" s="79"/>
      <c r="ZM118" s="79"/>
      <c r="ZN118" s="79"/>
      <c r="ZO118" s="79"/>
      <c r="ZP118" s="79"/>
      <c r="ZQ118" s="79"/>
      <c r="ZR118" s="79"/>
      <c r="ZS118" s="79"/>
      <c r="ZT118" s="79"/>
      <c r="ZU118" s="79"/>
      <c r="ZV118" s="79"/>
      <c r="ZW118" s="79"/>
      <c r="ZX118" s="79"/>
      <c r="ZY118" s="79"/>
      <c r="ZZ118" s="79"/>
      <c r="AAA118" s="79"/>
      <c r="AAB118" s="79"/>
      <c r="AAC118" s="79"/>
      <c r="AAD118" s="79"/>
      <c r="AAE118" s="79"/>
      <c r="AAF118" s="79"/>
      <c r="AAG118" s="79"/>
      <c r="AAH118" s="79"/>
      <c r="AAI118" s="79"/>
      <c r="AAJ118" s="79"/>
      <c r="AAK118" s="79"/>
      <c r="AAL118" s="79"/>
      <c r="AAM118" s="79"/>
      <c r="AAN118" s="79"/>
      <c r="AAO118" s="79"/>
      <c r="AAP118" s="79"/>
      <c r="AAQ118" s="79"/>
      <c r="AAR118" s="79"/>
      <c r="AAS118" s="79"/>
      <c r="AAT118" s="79"/>
      <c r="AAU118" s="79"/>
      <c r="AAV118" s="79"/>
      <c r="AAW118" s="79"/>
      <c r="AAX118" s="79"/>
      <c r="AAY118" s="79"/>
      <c r="AAZ118" s="79"/>
      <c r="ABA118" s="79"/>
      <c r="ABB118" s="79"/>
      <c r="ABC118" s="79"/>
      <c r="ABD118" s="79"/>
      <c r="ABE118" s="79"/>
      <c r="ABF118" s="79"/>
      <c r="ABG118" s="79"/>
      <c r="ABH118" s="79"/>
      <c r="ABI118" s="79"/>
      <c r="ABJ118" s="79"/>
      <c r="ABK118" s="79"/>
      <c r="ABL118" s="79"/>
      <c r="ABM118" s="79"/>
      <c r="ABN118" s="79"/>
      <c r="ABO118" s="79"/>
      <c r="ABP118" s="79"/>
      <c r="ABQ118" s="79"/>
      <c r="ABR118" s="79"/>
      <c r="ABS118" s="79"/>
      <c r="ABT118" s="79"/>
      <c r="ABU118" s="79"/>
      <c r="ABV118" s="79"/>
      <c r="ABW118" s="79"/>
      <c r="ABX118" s="79"/>
      <c r="ABY118" s="79"/>
      <c r="ABZ118" s="79"/>
      <c r="ACA118" s="79"/>
      <c r="ACB118" s="79"/>
      <c r="ACC118" s="79"/>
      <c r="ACD118" s="79"/>
      <c r="ACE118" s="79"/>
      <c r="ACF118" s="79"/>
      <c r="ACG118" s="79"/>
      <c r="ACH118" s="79"/>
      <c r="ACI118" s="104">
        <v>763</v>
      </c>
      <c r="ACJ118" s="104">
        <v>764</v>
      </c>
    </row>
    <row r="119" spans="1:764" x14ac:dyDescent="0.25">
      <c r="BO119" s="79"/>
      <c r="BP119" s="79"/>
    </row>
    <row r="120" spans="1:764" x14ac:dyDescent="0.25">
      <c r="E120" s="94"/>
      <c r="GF120" s="184"/>
      <c r="GG120" s="184"/>
      <c r="GH120" s="184"/>
      <c r="GI120" s="184"/>
      <c r="GJ120" s="184"/>
      <c r="IS120" s="184"/>
      <c r="IT120" s="184"/>
      <c r="LE120" s="184"/>
    </row>
    <row r="121" spans="1:764" x14ac:dyDescent="0.25">
      <c r="GF121" s="184"/>
      <c r="GG121" s="184"/>
      <c r="GH121" s="184"/>
      <c r="GI121" s="184">
        <f>IF(ISNUMBER(MONTH(GI1)),MONTH(GI1),MONTH(DATEVALUE(LOWER(RIGHT(GI1,LEN(GI1)-FIND(" ",GI1,1)))&amp;1)))</f>
        <v>3</v>
      </c>
      <c r="GJ121" s="184"/>
      <c r="GK121" s="184"/>
      <c r="GL121" s="184"/>
      <c r="GM121" s="184"/>
      <c r="GN121" s="184"/>
      <c r="GO121" s="184"/>
      <c r="GP121" s="184"/>
      <c r="GQ121" s="184"/>
      <c r="GR121" s="184"/>
      <c r="GS121" s="184"/>
      <c r="GT121" s="184"/>
      <c r="GU121" s="184"/>
      <c r="GV121" s="184"/>
      <c r="GW121" s="184"/>
      <c r="GX121" s="184"/>
      <c r="GY121" s="184"/>
      <c r="GZ121" s="184"/>
      <c r="HA121" s="184"/>
      <c r="HB121" s="184"/>
      <c r="HC121" s="184"/>
      <c r="HD121" s="184"/>
      <c r="HE121" s="184"/>
      <c r="HF121" s="184"/>
      <c r="HG121" s="184"/>
      <c r="HH121" s="184"/>
      <c r="HI121" s="184"/>
      <c r="HJ121" s="184"/>
      <c r="HK121" s="184"/>
      <c r="HL121" s="184"/>
      <c r="HM121" s="184"/>
      <c r="HN121" s="184"/>
      <c r="HO121" s="184"/>
      <c r="HP121" s="184"/>
      <c r="HQ121" s="184"/>
      <c r="HR121" s="184"/>
      <c r="HS121" s="184"/>
      <c r="HT121" s="184"/>
      <c r="HU121" s="184"/>
      <c r="HV121" s="184"/>
      <c r="HW121" s="184"/>
      <c r="HX121" s="184"/>
      <c r="HY121" s="184"/>
      <c r="HZ121" s="184"/>
      <c r="IA121" s="184"/>
      <c r="IB121" s="184"/>
      <c r="IC121" s="184"/>
      <c r="ID121" s="184"/>
      <c r="IE121" s="184"/>
      <c r="IF121" s="184"/>
      <c r="IG121" s="184"/>
      <c r="IH121" s="184"/>
      <c r="II121" s="184"/>
      <c r="IJ121" s="184"/>
      <c r="IK121" s="184"/>
      <c r="IL121" s="184"/>
      <c r="IM121" s="184"/>
      <c r="IN121" s="184"/>
      <c r="IO121" s="184"/>
      <c r="IP121" s="184"/>
      <c r="IQ121" s="184"/>
      <c r="IR121" s="184"/>
      <c r="IS121" s="184"/>
      <c r="IT121" s="184"/>
      <c r="IU121" s="184"/>
      <c r="IV121" s="184"/>
      <c r="IW121" s="184"/>
      <c r="IX121" s="184"/>
      <c r="IY121" s="184"/>
      <c r="IZ121" s="184"/>
      <c r="JA121" s="184"/>
      <c r="JB121" s="184"/>
      <c r="JC121" s="184"/>
      <c r="JD121" s="184"/>
      <c r="JE121" s="184"/>
      <c r="JF121" s="184"/>
      <c r="JG121" s="184"/>
      <c r="JH121" s="184"/>
      <c r="JI121" s="184"/>
      <c r="JJ121" s="184"/>
      <c r="JK121" s="184"/>
      <c r="JL121" s="184"/>
      <c r="JM121" s="184"/>
      <c r="JN121" s="184"/>
      <c r="JO121" s="184"/>
      <c r="JP121" s="184"/>
      <c r="JQ121" s="184"/>
      <c r="JR121" s="184"/>
      <c r="JS121" s="184"/>
      <c r="JT121" s="184"/>
      <c r="JU121" s="184"/>
      <c r="JV121" s="184"/>
      <c r="JW121" s="184"/>
      <c r="JX121" s="184"/>
      <c r="JY121" s="184"/>
      <c r="JZ121" s="184"/>
      <c r="KA121" s="184"/>
      <c r="KB121" s="184"/>
      <c r="KC121" s="184"/>
      <c r="KD121" s="184"/>
      <c r="KE121" s="184"/>
      <c r="KF121" s="184"/>
      <c r="KG121" s="184"/>
      <c r="KH121" s="184"/>
      <c r="KI121" s="184"/>
      <c r="KJ121" s="184"/>
      <c r="KK121" s="184"/>
      <c r="KL121" s="184"/>
      <c r="KM121" s="184"/>
      <c r="KN121" s="184"/>
      <c r="KO121" s="184"/>
      <c r="KP121" s="184"/>
      <c r="KQ121" s="184"/>
      <c r="KR121" s="184"/>
      <c r="KS121" s="184"/>
      <c r="KT121" s="184"/>
      <c r="KU121" s="184"/>
      <c r="KV121" s="184"/>
      <c r="KW121" s="184"/>
      <c r="KX121" s="184"/>
      <c r="KY121" s="184"/>
      <c r="KZ121" s="184"/>
      <c r="LA121" s="184"/>
      <c r="LB121" s="184"/>
      <c r="LC121" s="184"/>
      <c r="LD121" s="184"/>
      <c r="LE121" s="184"/>
      <c r="LF121" s="184"/>
    </row>
    <row r="126" spans="1:764" x14ac:dyDescent="0.25">
      <c r="D126" s="95"/>
    </row>
    <row r="127" spans="1:764" x14ac:dyDescent="0.25">
      <c r="HC127" s="46">
        <f>COLUMN()</f>
        <v>211</v>
      </c>
    </row>
    <row r="128" spans="1:764" x14ac:dyDescent="0.25">
      <c r="AF128" s="95"/>
      <c r="AG128" s="94"/>
    </row>
    <row r="132" spans="33:33" x14ac:dyDescent="0.25">
      <c r="AG132" s="94"/>
    </row>
  </sheetData>
  <mergeCells count="57">
    <mergeCell ref="B113:D113"/>
    <mergeCell ref="A108:A113"/>
    <mergeCell ref="A3:A13"/>
    <mergeCell ref="B13:D13"/>
    <mergeCell ref="B24:D24"/>
    <mergeCell ref="A14:A24"/>
    <mergeCell ref="B35:D35"/>
    <mergeCell ref="A25:A35"/>
    <mergeCell ref="B46:D46"/>
    <mergeCell ref="A36:A46"/>
    <mergeCell ref="B57:D57"/>
    <mergeCell ref="A47:A57"/>
    <mergeCell ref="B68:D68"/>
    <mergeCell ref="A58:A68"/>
    <mergeCell ref="A69:A79"/>
    <mergeCell ref="A80:A90"/>
    <mergeCell ref="B101:D101"/>
    <mergeCell ref="A91:A101"/>
    <mergeCell ref="B79:D79"/>
    <mergeCell ref="B58:B67"/>
    <mergeCell ref="B69:B78"/>
    <mergeCell ref="B80:B89"/>
    <mergeCell ref="B91:B100"/>
    <mergeCell ref="C91:C95"/>
    <mergeCell ref="C96:C100"/>
    <mergeCell ref="C69:C73"/>
    <mergeCell ref="C74:C78"/>
    <mergeCell ref="C80:C84"/>
    <mergeCell ref="C85:C89"/>
    <mergeCell ref="B90:D90"/>
    <mergeCell ref="C58:C62"/>
    <mergeCell ref="C63:C67"/>
    <mergeCell ref="C102:C106"/>
    <mergeCell ref="C108:C112"/>
    <mergeCell ref="A102:A107"/>
    <mergeCell ref="B107:D107"/>
    <mergeCell ref="B102:B106"/>
    <mergeCell ref="B108:B112"/>
    <mergeCell ref="D1:D2"/>
    <mergeCell ref="C25:C29"/>
    <mergeCell ref="C30:C34"/>
    <mergeCell ref="C36:C40"/>
    <mergeCell ref="C41:C45"/>
    <mergeCell ref="C14:C18"/>
    <mergeCell ref="C19:C23"/>
    <mergeCell ref="C8:C12"/>
    <mergeCell ref="C3:C7"/>
    <mergeCell ref="A1:A2"/>
    <mergeCell ref="B1:B2"/>
    <mergeCell ref="C1:C2"/>
    <mergeCell ref="B3:B12"/>
    <mergeCell ref="C47:C51"/>
    <mergeCell ref="B14:B23"/>
    <mergeCell ref="B25:B34"/>
    <mergeCell ref="B36:B45"/>
    <mergeCell ref="B47:B56"/>
    <mergeCell ref="C52:C56"/>
  </mergeCells>
  <conditionalFormatting sqref="D3:D7">
    <cfRule type="cellIs" dxfId="109" priority="64" operator="equal">
      <formula>"МПС"</formula>
    </cfRule>
    <cfRule type="cellIs" dxfId="108" priority="65" operator="equal">
      <formula>"МСС"</formula>
    </cfRule>
    <cfRule type="cellIs" dxfId="107" priority="66" operator="equal">
      <formula>"ОР"</formula>
    </cfRule>
  </conditionalFormatting>
  <conditionalFormatting sqref="D8:D12">
    <cfRule type="cellIs" dxfId="106" priority="61" operator="equal">
      <formula>"МПС"</formula>
    </cfRule>
    <cfRule type="cellIs" dxfId="105" priority="62" operator="equal">
      <formula>"МСС"</formula>
    </cfRule>
    <cfRule type="cellIs" dxfId="104" priority="63" operator="equal">
      <formula>"ОР"</formula>
    </cfRule>
  </conditionalFormatting>
  <conditionalFormatting sqref="D14:D18">
    <cfRule type="cellIs" dxfId="103" priority="58" operator="equal">
      <formula>"МПС"</formula>
    </cfRule>
    <cfRule type="cellIs" dxfId="102" priority="59" operator="equal">
      <formula>"МСС"</formula>
    </cfRule>
    <cfRule type="cellIs" dxfId="101" priority="60" operator="equal">
      <formula>"ОР"</formula>
    </cfRule>
  </conditionalFormatting>
  <conditionalFormatting sqref="D19:D23">
    <cfRule type="cellIs" dxfId="100" priority="55" operator="equal">
      <formula>"МПС"</formula>
    </cfRule>
    <cfRule type="cellIs" dxfId="99" priority="56" operator="equal">
      <formula>"МСС"</formula>
    </cfRule>
    <cfRule type="cellIs" dxfId="98" priority="57" operator="equal">
      <formula>"ОР"</formula>
    </cfRule>
  </conditionalFormatting>
  <conditionalFormatting sqref="D25:D29">
    <cfRule type="cellIs" dxfId="97" priority="52" operator="equal">
      <formula>"МПС"</formula>
    </cfRule>
    <cfRule type="cellIs" dxfId="96" priority="53" operator="equal">
      <formula>"МСС"</formula>
    </cfRule>
    <cfRule type="cellIs" dxfId="95" priority="54" operator="equal">
      <formula>"ОР"</formula>
    </cfRule>
  </conditionalFormatting>
  <conditionalFormatting sqref="D30:D34">
    <cfRule type="cellIs" dxfId="94" priority="49" operator="equal">
      <formula>"МПС"</formula>
    </cfRule>
    <cfRule type="cellIs" dxfId="93" priority="50" operator="equal">
      <formula>"МСС"</formula>
    </cfRule>
    <cfRule type="cellIs" dxfId="92" priority="51" operator="equal">
      <formula>"ОР"</formula>
    </cfRule>
  </conditionalFormatting>
  <conditionalFormatting sqref="D36:D40">
    <cfRule type="cellIs" dxfId="91" priority="46" operator="equal">
      <formula>"МПС"</formula>
    </cfRule>
    <cfRule type="cellIs" dxfId="90" priority="47" operator="equal">
      <formula>"МСС"</formula>
    </cfRule>
    <cfRule type="cellIs" dxfId="89" priority="48" operator="equal">
      <formula>"ОР"</formula>
    </cfRule>
  </conditionalFormatting>
  <conditionalFormatting sqref="D41:D45">
    <cfRule type="cellIs" dxfId="88" priority="43" operator="equal">
      <formula>"МПС"</formula>
    </cfRule>
    <cfRule type="cellIs" dxfId="87" priority="44" operator="equal">
      <formula>"МСС"</formula>
    </cfRule>
    <cfRule type="cellIs" dxfId="86" priority="45" operator="equal">
      <formula>"ОР"</formula>
    </cfRule>
  </conditionalFormatting>
  <conditionalFormatting sqref="D47:D51">
    <cfRule type="cellIs" dxfId="85" priority="40" operator="equal">
      <formula>"МПС"</formula>
    </cfRule>
    <cfRule type="cellIs" dxfId="84" priority="41" operator="equal">
      <formula>"МСС"</formula>
    </cfRule>
    <cfRule type="cellIs" dxfId="83" priority="42" operator="equal">
      <formula>"ОР"</formula>
    </cfRule>
  </conditionalFormatting>
  <conditionalFormatting sqref="D52:D56">
    <cfRule type="cellIs" dxfId="82" priority="37" operator="equal">
      <formula>"МПС"</formula>
    </cfRule>
    <cfRule type="cellIs" dxfId="81" priority="38" operator="equal">
      <formula>"МСС"</formula>
    </cfRule>
    <cfRule type="cellIs" dxfId="80" priority="39" operator="equal">
      <formula>"ОР"</formula>
    </cfRule>
  </conditionalFormatting>
  <conditionalFormatting sqref="D58:D62">
    <cfRule type="cellIs" dxfId="79" priority="34" operator="equal">
      <formula>"МПС"</formula>
    </cfRule>
    <cfRule type="cellIs" dxfId="78" priority="35" operator="equal">
      <formula>"МСС"</formula>
    </cfRule>
    <cfRule type="cellIs" dxfId="77" priority="36" operator="equal">
      <formula>"ОР"</formula>
    </cfRule>
  </conditionalFormatting>
  <conditionalFormatting sqref="D63:D67">
    <cfRule type="cellIs" dxfId="76" priority="31" operator="equal">
      <formula>"МПС"</formula>
    </cfRule>
    <cfRule type="cellIs" dxfId="75" priority="32" operator="equal">
      <formula>"МСС"</formula>
    </cfRule>
    <cfRule type="cellIs" dxfId="74" priority="33" operator="equal">
      <formula>"ОР"</formula>
    </cfRule>
  </conditionalFormatting>
  <conditionalFormatting sqref="D69:D73">
    <cfRule type="cellIs" dxfId="73" priority="28" operator="equal">
      <formula>"МПС"</formula>
    </cfRule>
    <cfRule type="cellIs" dxfId="72" priority="29" operator="equal">
      <formula>"МСС"</formula>
    </cfRule>
    <cfRule type="cellIs" dxfId="71" priority="30" operator="equal">
      <formula>"ОР"</formula>
    </cfRule>
  </conditionalFormatting>
  <conditionalFormatting sqref="D74:D78">
    <cfRule type="cellIs" dxfId="70" priority="25" operator="equal">
      <formula>"МПС"</formula>
    </cfRule>
    <cfRule type="cellIs" dxfId="69" priority="26" operator="equal">
      <formula>"МСС"</formula>
    </cfRule>
    <cfRule type="cellIs" dxfId="68" priority="27" operator="equal">
      <formula>"ОР"</formula>
    </cfRule>
  </conditionalFormatting>
  <conditionalFormatting sqref="D80:D84">
    <cfRule type="cellIs" dxfId="67" priority="22" operator="equal">
      <formula>"МПС"</formula>
    </cfRule>
    <cfRule type="cellIs" dxfId="66" priority="23" operator="equal">
      <formula>"МСС"</formula>
    </cfRule>
    <cfRule type="cellIs" dxfId="65" priority="24" operator="equal">
      <formula>"ОР"</formula>
    </cfRule>
  </conditionalFormatting>
  <conditionalFormatting sqref="D85:D89">
    <cfRule type="cellIs" dxfId="64" priority="19" operator="equal">
      <formula>"МПС"</formula>
    </cfRule>
    <cfRule type="cellIs" dxfId="63" priority="20" operator="equal">
      <formula>"МСС"</formula>
    </cfRule>
    <cfRule type="cellIs" dxfId="62" priority="21" operator="equal">
      <formula>"ОР"</formula>
    </cfRule>
  </conditionalFormatting>
  <conditionalFormatting sqref="D91:D95">
    <cfRule type="cellIs" dxfId="61" priority="16" operator="equal">
      <formula>"МПС"</formula>
    </cfRule>
    <cfRule type="cellIs" dxfId="60" priority="17" operator="equal">
      <formula>"МСС"</formula>
    </cfRule>
    <cfRule type="cellIs" dxfId="59" priority="18" operator="equal">
      <formula>"ОР"</formula>
    </cfRule>
  </conditionalFormatting>
  <conditionalFormatting sqref="D96:D100">
    <cfRule type="cellIs" dxfId="58" priority="13" operator="equal">
      <formula>"МПС"</formula>
    </cfRule>
    <cfRule type="cellIs" dxfId="57" priority="14" operator="equal">
      <formula>"МСС"</formula>
    </cfRule>
    <cfRule type="cellIs" dxfId="56" priority="15" operator="equal">
      <formula>"ОР"</formula>
    </cfRule>
  </conditionalFormatting>
  <conditionalFormatting sqref="D102:D106">
    <cfRule type="cellIs" dxfId="55" priority="10" operator="equal">
      <formula>"МПС"</formula>
    </cfRule>
    <cfRule type="cellIs" dxfId="54" priority="11" operator="equal">
      <formula>"МСС"</formula>
    </cfRule>
    <cfRule type="cellIs" dxfId="53" priority="12" operator="equal">
      <formula>"ОР"</formula>
    </cfRule>
  </conditionalFormatting>
  <conditionalFormatting sqref="D108:D112">
    <cfRule type="cellIs" dxfId="52" priority="7" operator="equal">
      <formula>"МПС"</formula>
    </cfRule>
    <cfRule type="cellIs" dxfId="51" priority="8" operator="equal">
      <formula>"МСС"</formula>
    </cfRule>
    <cfRule type="cellIs" dxfId="50" priority="9" operator="equal">
      <formula>"ОР"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 filterMode="1"/>
  <dimension ref="A1:S101"/>
  <sheetViews>
    <sheetView showGridLines="0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95" sqref="C95"/>
    </sheetView>
  </sheetViews>
  <sheetFormatPr defaultColWidth="9.140625" defaultRowHeight="15" x14ac:dyDescent="0.25"/>
  <cols>
    <col min="1" max="1" width="43" style="79" bestFit="1" customWidth="1"/>
    <col min="2" max="2" width="13.5703125" style="79" bestFit="1" customWidth="1"/>
    <col min="3" max="3" width="16" style="79" customWidth="1"/>
    <col min="4" max="4" width="21.28515625" style="82" hidden="1" customWidth="1"/>
    <col min="5" max="5" width="21.28515625" style="82" customWidth="1"/>
    <col min="6" max="6" width="21.28515625" style="82" hidden="1" customWidth="1"/>
    <col min="7" max="8" width="22.7109375" style="79" hidden="1" customWidth="1"/>
    <col min="9" max="9" width="24.85546875" style="83" customWidth="1"/>
    <col min="10" max="10" width="66.5703125" style="79" hidden="1" customWidth="1"/>
    <col min="11" max="11" width="46.140625" style="79" hidden="1" customWidth="1"/>
    <col min="12" max="12" width="5.85546875" style="79" hidden="1" customWidth="1"/>
    <col min="13" max="13" width="9.140625" style="79"/>
    <col min="14" max="14" width="15.28515625" style="79" bestFit="1" customWidth="1"/>
    <col min="15" max="16" width="9.140625" style="79"/>
    <col min="17" max="17" width="15.5703125" style="79" customWidth="1"/>
    <col min="18" max="18" width="10.7109375" style="79" customWidth="1"/>
    <col min="19" max="19" width="17.85546875" style="79" customWidth="1"/>
    <col min="20" max="16384" width="9.140625" style="79"/>
  </cols>
  <sheetData>
    <row r="1" spans="1:19" x14ac:dyDescent="0.25">
      <c r="A1" s="85" t="s">
        <v>103</v>
      </c>
      <c r="B1" s="114">
        <f ca="1">TODAY()</f>
        <v>45427</v>
      </c>
      <c r="C1" s="82"/>
      <c r="Q1" s="112" t="str">
        <f ca="1">"Фактический вывоз с объектов за "&amp;TEXT(B1-1,"ДД.ММ.ГГГГ")</f>
        <v>Фактический вывоз с объектов за 14.05.2024</v>
      </c>
      <c r="R1" s="113"/>
      <c r="S1" s="113"/>
    </row>
    <row r="2" spans="1:19" ht="50.25" customHeight="1" x14ac:dyDescent="0.25">
      <c r="A2" s="80" t="s">
        <v>97</v>
      </c>
      <c r="B2" s="80" t="s">
        <v>131</v>
      </c>
      <c r="C2" s="80" t="s">
        <v>242</v>
      </c>
      <c r="D2" s="88" t="s">
        <v>129</v>
      </c>
      <c r="E2" s="88" t="s">
        <v>263</v>
      </c>
      <c r="F2" s="88" t="s">
        <v>243</v>
      </c>
      <c r="G2" s="80" t="str">
        <f ca="1">"Плановая масса на "&amp;TEXT(B1+1,"ДД.ММ.ГГГГ")</f>
        <v>Плановая масса на 16.05.2024</v>
      </c>
      <c r="H2" s="80" t="str">
        <f ca="1">"Плановые пропорции на "&amp;TEXT(B1+1,"ДД.ММ.ГГГГ")</f>
        <v>Плановые пропорции на 16.05.2024</v>
      </c>
      <c r="I2" s="80" t="s">
        <v>56</v>
      </c>
      <c r="Q2" s="91" t="s">
        <v>123</v>
      </c>
      <c r="R2" s="91" t="s">
        <v>122</v>
      </c>
      <c r="S2" s="91" t="s">
        <v>124</v>
      </c>
    </row>
    <row r="3" spans="1:19" hidden="1" x14ac:dyDescent="0.25">
      <c r="A3" s="181" t="s">
        <v>86</v>
      </c>
      <c r="B3" s="181" t="s">
        <v>2</v>
      </c>
      <c r="C3" s="6">
        <v>42500</v>
      </c>
      <c r="D3" s="6">
        <f>C3/182</f>
        <v>233.5164835164835</v>
      </c>
      <c r="E3" s="6" t="e">
        <f t="array" aca="1" ref="E3" ca="1">SUMPRODUCT(Объекты!$E$3:$ACH$500*(Объекты!$ACI$3:$ACI$500=J3)*(ISNUMBER(Объекты!$E$1:$ACH$1))*(Объекты!$E$2:$ACH$2="Масса объекта"))</f>
        <v>#VALUE!</v>
      </c>
      <c r="F3" s="6" t="e">
        <f ca="1">C3-E3</f>
        <v>#VALUE!</v>
      </c>
      <c r="G3" s="6" t="e">
        <f t="array" aca="1" ref="G3" ca="1">($C3-SUMPRODUCT(Объекты!$E$3:$ACH$500*(Объекты!$ACI$3:$ACI$500=J3)*(ISNUMBER(Объекты!$E$1:$ACH$1))*(Объекты!$E$2:$ACH$2="Масса объекта")))/(Объекты!$NN$1-'Распределение 1 полугодие'!$B$1)</f>
        <v>#VALUE!</v>
      </c>
      <c r="H3" s="87" t="e">
        <f t="shared" ref="H3:H34" ca="1" si="0">G3/SUMIF(K:K,K3,G:G)</f>
        <v>#VALUE!</v>
      </c>
      <c r="I3" s="81" t="s">
        <v>6</v>
      </c>
      <c r="J3" s="79" t="s">
        <v>132</v>
      </c>
      <c r="K3" s="79" t="s">
        <v>86</v>
      </c>
      <c r="L3" s="79" t="s">
        <v>2</v>
      </c>
      <c r="M3" s="82"/>
      <c r="P3" s="92"/>
      <c r="Q3" s="6">
        <v>231.38000000000002</v>
      </c>
      <c r="R3" s="87">
        <f>IFERROR(Q3/$S$3,0)</f>
        <v>0.45895981275042647</v>
      </c>
      <c r="S3" s="178">
        <f>SUM(Q3:Q7)</f>
        <v>504.14000000000004</v>
      </c>
    </row>
    <row r="4" spans="1:19" hidden="1" x14ac:dyDescent="0.25">
      <c r="A4" s="175"/>
      <c r="B4" s="175"/>
      <c r="C4" s="6">
        <v>0</v>
      </c>
      <c r="D4" s="6">
        <f t="shared" ref="D4:D87" si="1">C4/182</f>
        <v>0</v>
      </c>
      <c r="E4" s="6" t="e">
        <f t="array" aca="1" ref="E4" ca="1">SUMPRODUCT(Объекты!$E$3:$ACH$500*(Объекты!$ACI$3:$ACI$500=J4)*(ISNUMBER(Объекты!$E$1:$ACH$1))*(Объекты!$E$2:$ACH$2="Масса объекта"))</f>
        <v>#VALUE!</v>
      </c>
      <c r="F4" s="6" t="e">
        <f t="shared" ref="F4:F67" ca="1" si="2">C4-E4</f>
        <v>#VALUE!</v>
      </c>
      <c r="G4" s="6" t="e">
        <f t="array" aca="1" ref="G4" ca="1">($C4-SUMPRODUCT(Объекты!$E$3:$ACH$500*(Объекты!$ACI$3:$ACI$500=J4)*(ISNUMBER(Объекты!$E$1:$ACH$1))*(Объекты!$E$2:$ACH$2="Масса объекта")))/(Объекты!$NN$1-'Распределение 1 полугодие'!$B$1)</f>
        <v>#VALUE!</v>
      </c>
      <c r="H4" s="87" t="e">
        <f t="shared" ca="1" si="0"/>
        <v>#VALUE!</v>
      </c>
      <c r="I4" s="81" t="s">
        <v>7</v>
      </c>
      <c r="J4" s="79" t="s">
        <v>133</v>
      </c>
      <c r="K4" s="79" t="s">
        <v>86</v>
      </c>
      <c r="L4" s="79" t="s">
        <v>2</v>
      </c>
      <c r="P4" s="92"/>
      <c r="Q4" s="6">
        <v>172.09</v>
      </c>
      <c r="R4" s="87">
        <f>IFERROR(Q4/$S$3,0)</f>
        <v>0.34135359225611933</v>
      </c>
      <c r="S4" s="179"/>
    </row>
    <row r="5" spans="1:19" hidden="1" x14ac:dyDescent="0.25">
      <c r="A5" s="175"/>
      <c r="B5" s="175"/>
      <c r="C5" s="6">
        <v>5000</v>
      </c>
      <c r="D5" s="6">
        <f>C5/182</f>
        <v>27.472527472527471</v>
      </c>
      <c r="E5" s="6" t="e">
        <f t="array" aca="1" ref="E5" ca="1">SUMPRODUCT(Объекты!$E$3:$ACH$500*(Объекты!$ACI$3:$ACI$500=J5)*(ISNUMBER(Объекты!$E$1:$ACH$1))*(Объекты!$E$2:$ACH$2="Масса объекта"))</f>
        <v>#VALUE!</v>
      </c>
      <c r="F5" s="6" t="e">
        <f t="shared" ca="1" si="2"/>
        <v>#VALUE!</v>
      </c>
      <c r="G5" s="6" t="e">
        <f t="array" aca="1" ref="G5" ca="1">($C5-SUMPRODUCT(Объекты!$E$3:$ACH$500*(Объекты!$ACI$3:$ACI$500=J5)*(ISNUMBER(Объекты!$E$1:$ACH$1))*(Объекты!$E$2:$ACH$2="Масса объекта")))/(Объекты!$NN$1-'Распределение 1 полугодие'!$B$1)</f>
        <v>#VALUE!</v>
      </c>
      <c r="H5" s="87" t="e">
        <f t="shared" ca="1" si="0"/>
        <v>#VALUE!</v>
      </c>
      <c r="I5" s="81" t="s">
        <v>4</v>
      </c>
      <c r="J5" s="79" t="s">
        <v>134</v>
      </c>
      <c r="K5" s="79" t="s">
        <v>86</v>
      </c>
      <c r="L5" s="79" t="s">
        <v>2</v>
      </c>
      <c r="P5" s="92"/>
      <c r="Q5" s="6">
        <v>0</v>
      </c>
      <c r="R5" s="87">
        <f>IFERROR(Q5/$S$3,0)</f>
        <v>0</v>
      </c>
      <c r="S5" s="179"/>
    </row>
    <row r="6" spans="1:19" x14ac:dyDescent="0.25">
      <c r="A6" s="175"/>
      <c r="B6" s="175"/>
      <c r="C6" s="6">
        <v>87245</v>
      </c>
      <c r="D6" s="6">
        <f t="shared" si="1"/>
        <v>479.36813186813185</v>
      </c>
      <c r="E6" s="6" t="e">
        <f t="array" aca="1" ref="E6" ca="1">SUMPRODUCT(Объекты!$E$3:$ACH$500*(Объекты!$ACI$3:$ACI$500=J6)*(ISNUMBER(Объекты!$E$1:$ACH$1))*(Объекты!$E$2:$ACH$2="Масса объекта"))</f>
        <v>#VALUE!</v>
      </c>
      <c r="F6" s="6" t="e">
        <f t="shared" ca="1" si="2"/>
        <v>#VALUE!</v>
      </c>
      <c r="G6" s="6" t="e">
        <f t="array" aca="1" ref="G6" ca="1">($C6-SUMPRODUCT(Объекты!$E$3:$ACH$500*(Объекты!$ACI$3:$ACI$500=J6)*(ISNUMBER(Объекты!$E$1:$ACH$1))*(Объекты!$E$2:$ACH$2="Масса объекта")))/(Объекты!$NN$1-'Распределение 1 полугодие'!$B$1)</f>
        <v>#VALUE!</v>
      </c>
      <c r="H6" s="87" t="e">
        <f t="shared" ca="1" si="0"/>
        <v>#VALUE!</v>
      </c>
      <c r="I6" s="81" t="s">
        <v>8</v>
      </c>
      <c r="J6" s="79" t="s">
        <v>135</v>
      </c>
      <c r="K6" s="79" t="s">
        <v>86</v>
      </c>
      <c r="L6" s="79" t="s">
        <v>2</v>
      </c>
      <c r="P6" s="92"/>
      <c r="Q6" s="6">
        <v>100.67000000000002</v>
      </c>
      <c r="R6" s="87">
        <f>IFERROR(Q6/$S$3,0)</f>
        <v>0.1996865949934542</v>
      </c>
      <c r="S6" s="179"/>
    </row>
    <row r="7" spans="1:19" ht="45.75" hidden="1" thickBot="1" x14ac:dyDescent="0.3">
      <c r="A7" s="176"/>
      <c r="B7" s="176"/>
      <c r="C7" s="109">
        <v>0</v>
      </c>
      <c r="D7" s="109">
        <f t="shared" si="1"/>
        <v>0</v>
      </c>
      <c r="E7" s="109" t="e">
        <f t="array" aca="1" ref="E7" ca="1">SUMPRODUCT(Объекты!$E$3:$ACH$500*(Объекты!$ACI$3:$ACI$500=J7)*(ISNUMBER(Объекты!$E$1:$ACH$1))*(Объекты!$E$2:$ACH$2="Масса объекта"))</f>
        <v>#VALUE!</v>
      </c>
      <c r="F7" s="109" t="e">
        <f t="shared" ca="1" si="2"/>
        <v>#VALUE!</v>
      </c>
      <c r="G7" s="109" t="e">
        <f t="array" aca="1" ref="G7" ca="1">($C7-SUMPRODUCT(Объекты!$E$3:$ACH$500*(Объекты!$ACI$3:$ACI$500=J7)*(ISNUMBER(Объекты!$E$1:$ACH$1))*(Объекты!$E$2:$ACH$2="Масса объекта")))/(Объекты!$NN$1-'Распределение 1 полугодие'!$B$1)</f>
        <v>#VALUE!</v>
      </c>
      <c r="H7" s="110" t="e">
        <f t="shared" ca="1" si="0"/>
        <v>#VALUE!</v>
      </c>
      <c r="I7" s="111" t="s">
        <v>9</v>
      </c>
      <c r="J7" s="79" t="s">
        <v>136</v>
      </c>
      <c r="K7" s="79" t="s">
        <v>86</v>
      </c>
      <c r="L7" s="79" t="s">
        <v>2</v>
      </c>
      <c r="P7" s="92"/>
      <c r="Q7" s="6">
        <v>0</v>
      </c>
      <c r="R7" s="87">
        <f>IFERROR(Q7/$S$3,0)</f>
        <v>0</v>
      </c>
      <c r="S7" s="180"/>
    </row>
    <row r="8" spans="1:19" hidden="1" x14ac:dyDescent="0.25">
      <c r="A8" s="175" t="s">
        <v>87</v>
      </c>
      <c r="B8" s="175" t="s">
        <v>2</v>
      </c>
      <c r="C8" s="106">
        <v>131999.99999999997</v>
      </c>
      <c r="D8" s="106">
        <f t="shared" si="1"/>
        <v>725.27472527472514</v>
      </c>
      <c r="E8" s="106" t="e">
        <f t="array" aca="1" ref="E8" ca="1">SUMPRODUCT(Объекты!$E$3:$ACH$500*(Объекты!$ACI$3:$ACI$500=J8)*(ISNUMBER(Объекты!$E$1:$ACH$1))*(Объекты!$E$2:$ACH$2="Масса объекта"))</f>
        <v>#VALUE!</v>
      </c>
      <c r="F8" s="106" t="e">
        <f t="shared" ca="1" si="2"/>
        <v>#VALUE!</v>
      </c>
      <c r="G8" s="106" t="e">
        <f t="array" aca="1" ref="G8" ca="1">($C8-SUMPRODUCT(Объекты!$E$3:$ACH$500*(Объекты!$ACI$3:$ACI$500=J8)*(ISNUMBER(Объекты!$E$1:$ACH$1))*(Объекты!$E$2:$ACH$2="Масса объекта")))/(Объекты!$NN$1-'Распределение 1 полугодие'!$B$1)</f>
        <v>#VALUE!</v>
      </c>
      <c r="H8" s="107" t="e">
        <f t="shared" ca="1" si="0"/>
        <v>#VALUE!</v>
      </c>
      <c r="I8" s="108" t="s">
        <v>6</v>
      </c>
      <c r="J8" s="79" t="s">
        <v>137</v>
      </c>
      <c r="K8" s="79" t="s">
        <v>87</v>
      </c>
      <c r="L8" s="79" t="s">
        <v>2</v>
      </c>
      <c r="P8" s="82"/>
      <c r="Q8" s="6">
        <v>0</v>
      </c>
      <c r="R8" s="87">
        <f>IFERROR(Q8/$S$8,0)</f>
        <v>0</v>
      </c>
      <c r="S8" s="178">
        <f>SUM(Q8:Q12)</f>
        <v>0</v>
      </c>
    </row>
    <row r="9" spans="1:19" hidden="1" x14ac:dyDescent="0.25">
      <c r="A9" s="175"/>
      <c r="B9" s="175"/>
      <c r="C9" s="6">
        <v>0</v>
      </c>
      <c r="D9" s="6">
        <f t="shared" si="1"/>
        <v>0</v>
      </c>
      <c r="E9" s="6" t="e">
        <f t="array" aca="1" ref="E9" ca="1">SUMPRODUCT(Объекты!$E$3:$ACH$500*(Объекты!$ACI$3:$ACI$500=J9)*(ISNUMBER(Объекты!$E$1:$ACH$1))*(Объекты!$E$2:$ACH$2="Масса объекта"))</f>
        <v>#VALUE!</v>
      </c>
      <c r="F9" s="6" t="e">
        <f t="shared" ca="1" si="2"/>
        <v>#VALUE!</v>
      </c>
      <c r="G9" s="6" t="e">
        <f t="array" aca="1" ref="G9" ca="1">($C9-SUMPRODUCT(Объекты!$E$3:$ACH$500*(Объекты!$ACI$3:$ACI$500=J9)*(ISNUMBER(Объекты!$E$1:$ACH$1))*(Объекты!$E$2:$ACH$2="Масса объекта")))/(Объекты!$NN$1-'Распределение 1 полугодие'!$B$1)</f>
        <v>#VALUE!</v>
      </c>
      <c r="H9" s="87" t="e">
        <f t="shared" ca="1" si="0"/>
        <v>#VALUE!</v>
      </c>
      <c r="I9" s="81" t="s">
        <v>7</v>
      </c>
      <c r="J9" s="79" t="s">
        <v>138</v>
      </c>
      <c r="K9" s="79" t="s">
        <v>87</v>
      </c>
      <c r="L9" s="79" t="s">
        <v>2</v>
      </c>
      <c r="P9" s="82"/>
      <c r="Q9" s="6">
        <v>0</v>
      </c>
      <c r="R9" s="87">
        <f>IFERROR(Q9/$S$8,0)</f>
        <v>0</v>
      </c>
      <c r="S9" s="179"/>
    </row>
    <row r="10" spans="1:19" hidden="1" x14ac:dyDescent="0.25">
      <c r="A10" s="175"/>
      <c r="B10" s="175"/>
      <c r="C10" s="6">
        <v>0</v>
      </c>
      <c r="D10" s="6">
        <f t="shared" si="1"/>
        <v>0</v>
      </c>
      <c r="E10" s="6" t="e">
        <f t="array" aca="1" ref="E10" ca="1">SUMPRODUCT(Объекты!$E$3:$ACH$500*(Объекты!$ACI$3:$ACI$500=J10)*(ISNUMBER(Объекты!$E$1:$ACH$1))*(Объекты!$E$2:$ACH$2="Масса объекта"))</f>
        <v>#VALUE!</v>
      </c>
      <c r="F10" s="6" t="e">
        <f t="shared" ca="1" si="2"/>
        <v>#VALUE!</v>
      </c>
      <c r="G10" s="6" t="e">
        <f t="array" aca="1" ref="G10" ca="1">($C10-SUMPRODUCT(Объекты!$E$3:$ACH$500*(Объекты!$ACI$3:$ACI$500=J10)*(ISNUMBER(Объекты!$E$1:$ACH$1))*(Объекты!$E$2:$ACH$2="Масса объекта")))/(Объекты!$NN$1-'Распределение 1 полугодие'!$B$1)</f>
        <v>#VALUE!</v>
      </c>
      <c r="H10" s="87" t="e">
        <f t="shared" ca="1" si="0"/>
        <v>#VALUE!</v>
      </c>
      <c r="I10" s="81" t="s">
        <v>4</v>
      </c>
      <c r="J10" s="79" t="s">
        <v>139</v>
      </c>
      <c r="K10" s="79" t="s">
        <v>87</v>
      </c>
      <c r="L10" s="79" t="s">
        <v>2</v>
      </c>
      <c r="P10" s="82"/>
      <c r="Q10" s="6">
        <v>0</v>
      </c>
      <c r="R10" s="87">
        <f>IFERROR(Q10/$S$8,0)</f>
        <v>0</v>
      </c>
      <c r="S10" s="179"/>
    </row>
    <row r="11" spans="1:19" x14ac:dyDescent="0.25">
      <c r="A11" s="175"/>
      <c r="B11" s="175"/>
      <c r="C11" s="6">
        <v>0</v>
      </c>
      <c r="D11" s="6">
        <f t="shared" si="1"/>
        <v>0</v>
      </c>
      <c r="E11" s="6" t="e">
        <f t="array" aca="1" ref="E11" ca="1">SUMPRODUCT(Объекты!$E$3:$ACH$500*(Объекты!$ACI$3:$ACI$500=J11)*(ISNUMBER(Объекты!$E$1:$ACH$1))*(Объекты!$E$2:$ACH$2="Масса объекта"))</f>
        <v>#VALUE!</v>
      </c>
      <c r="F11" s="6" t="e">
        <f t="shared" ca="1" si="2"/>
        <v>#VALUE!</v>
      </c>
      <c r="G11" s="6" t="e">
        <f t="array" aca="1" ref="G11" ca="1">($C11-SUMPRODUCT(Объекты!$E$3:$ACH$500*(Объекты!$ACI$3:$ACI$500=J11)*(ISNUMBER(Объекты!$E$1:$ACH$1))*(Объекты!$E$2:$ACH$2="Масса объекта")))/(Объекты!$NN$1-'Распределение 1 полугодие'!$B$1)</f>
        <v>#VALUE!</v>
      </c>
      <c r="H11" s="87" t="e">
        <f t="shared" ca="1" si="0"/>
        <v>#VALUE!</v>
      </c>
      <c r="I11" s="81" t="s">
        <v>8</v>
      </c>
      <c r="J11" s="79" t="s">
        <v>140</v>
      </c>
      <c r="K11" s="79" t="s">
        <v>87</v>
      </c>
      <c r="L11" s="79" t="s">
        <v>2</v>
      </c>
      <c r="P11" s="82"/>
      <c r="Q11" s="6">
        <v>0</v>
      </c>
      <c r="R11" s="87">
        <f>IFERROR(Q11/$S$8,0)</f>
        <v>0</v>
      </c>
      <c r="S11" s="179"/>
    </row>
    <row r="12" spans="1:19" ht="45.75" hidden="1" thickBot="1" x14ac:dyDescent="0.3">
      <c r="A12" s="176"/>
      <c r="B12" s="176"/>
      <c r="C12" s="109">
        <v>0</v>
      </c>
      <c r="D12" s="109">
        <f t="shared" si="1"/>
        <v>0</v>
      </c>
      <c r="E12" s="109" t="e">
        <f t="array" aca="1" ref="E12" ca="1">SUMPRODUCT(Объекты!$E$3:$ACH$500*(Объекты!$ACI$3:$ACI$500=J12)*(ISNUMBER(Объекты!$E$1:$ACH$1))*(Объекты!$E$2:$ACH$2="Масса объекта"))</f>
        <v>#VALUE!</v>
      </c>
      <c r="F12" s="109" t="e">
        <f t="shared" ca="1" si="2"/>
        <v>#VALUE!</v>
      </c>
      <c r="G12" s="109" t="e">
        <f t="array" aca="1" ref="G12" ca="1">($C12-SUMPRODUCT(Объекты!$E$3:$ACH$500*(Объекты!$ACI$3:$ACI$500=J12)*(ISNUMBER(Объекты!$E$1:$ACH$1))*(Объекты!$E$2:$ACH$2="Масса объекта")))/(Объекты!$NN$1-'Распределение 1 полугодие'!$B$1)</f>
        <v>#VALUE!</v>
      </c>
      <c r="H12" s="110" t="e">
        <f t="shared" ca="1" si="0"/>
        <v>#VALUE!</v>
      </c>
      <c r="I12" s="111" t="s">
        <v>9</v>
      </c>
      <c r="J12" s="79" t="s">
        <v>141</v>
      </c>
      <c r="K12" s="79" t="s">
        <v>87</v>
      </c>
      <c r="L12" s="79" t="s">
        <v>2</v>
      </c>
      <c r="P12" s="82"/>
      <c r="Q12" s="6">
        <v>0</v>
      </c>
      <c r="R12" s="87">
        <f>IFERROR(Q12/$S$8,0)</f>
        <v>0</v>
      </c>
      <c r="S12" s="180"/>
    </row>
    <row r="13" spans="1:19" hidden="1" x14ac:dyDescent="0.25">
      <c r="A13" s="175" t="s">
        <v>88</v>
      </c>
      <c r="B13" s="175" t="s">
        <v>2</v>
      </c>
      <c r="C13" s="106">
        <v>47500</v>
      </c>
      <c r="D13" s="106">
        <f t="shared" si="1"/>
        <v>260.98901098901098</v>
      </c>
      <c r="E13" s="106" t="e">
        <f t="array" aca="1" ref="E13" ca="1">SUMPRODUCT(Объекты!$E$3:$ACH$500*(Объекты!$ACI$3:$ACI$500=J13)*(ISNUMBER(Объекты!$E$1:$ACH$1))*(Объекты!$E$2:$ACH$2="Масса объекта"))</f>
        <v>#VALUE!</v>
      </c>
      <c r="F13" s="106" t="e">
        <f t="shared" ca="1" si="2"/>
        <v>#VALUE!</v>
      </c>
      <c r="G13" s="106" t="e">
        <f t="array" aca="1" ref="G13" ca="1">($C13-SUMPRODUCT(Объекты!$E$3:$ACH$500*(Объекты!$ACI$3:$ACI$500=J13)*(ISNUMBER(Объекты!$E$1:$ACH$1))*(Объекты!$E$2:$ACH$2="Масса объекта")))/(Объекты!$NN$1-'Распределение 1 полугодие'!$B$1)</f>
        <v>#VALUE!</v>
      </c>
      <c r="H13" s="107" t="e">
        <f t="shared" ca="1" si="0"/>
        <v>#VALUE!</v>
      </c>
      <c r="I13" s="108" t="s">
        <v>6</v>
      </c>
      <c r="J13" s="79" t="s">
        <v>142</v>
      </c>
      <c r="K13" s="79" t="s">
        <v>88</v>
      </c>
      <c r="L13" s="79" t="s">
        <v>2</v>
      </c>
      <c r="P13" s="82"/>
      <c r="Q13" s="6">
        <v>107.78</v>
      </c>
      <c r="R13" s="87">
        <f>IFERROR(Q13/$S$13,0)</f>
        <v>1</v>
      </c>
      <c r="S13" s="178">
        <f>SUM(Q13:Q17)</f>
        <v>107.78</v>
      </c>
    </row>
    <row r="14" spans="1:19" hidden="1" x14ac:dyDescent="0.25">
      <c r="A14" s="175"/>
      <c r="B14" s="175"/>
      <c r="C14" s="6">
        <v>0</v>
      </c>
      <c r="D14" s="6">
        <f t="shared" si="1"/>
        <v>0</v>
      </c>
      <c r="E14" s="6" t="e">
        <f t="array" aca="1" ref="E14" ca="1">SUMPRODUCT(Объекты!$E$3:$ACH$500*(Объекты!$ACI$3:$ACI$500=J14)*(ISNUMBER(Объекты!$E$1:$ACH$1))*(Объекты!$E$2:$ACH$2="Масса объекта"))</f>
        <v>#VALUE!</v>
      </c>
      <c r="F14" s="6" t="e">
        <f t="shared" ca="1" si="2"/>
        <v>#VALUE!</v>
      </c>
      <c r="G14" s="6" t="e">
        <f t="array" aca="1" ref="G14" ca="1">($C14-SUMPRODUCT(Объекты!$E$3:$ACH$500*(Объекты!$ACI$3:$ACI$500=J14)*(ISNUMBER(Объекты!$E$1:$ACH$1))*(Объекты!$E$2:$ACH$2="Масса объекта")))/(Объекты!$NN$1-'Распределение 1 полугодие'!$B$1)</f>
        <v>#VALUE!</v>
      </c>
      <c r="H14" s="87" t="e">
        <f t="shared" ca="1" si="0"/>
        <v>#VALUE!</v>
      </c>
      <c r="I14" s="81" t="s">
        <v>7</v>
      </c>
      <c r="J14" s="79" t="s">
        <v>143</v>
      </c>
      <c r="K14" s="79" t="s">
        <v>88</v>
      </c>
      <c r="L14" s="79" t="s">
        <v>2</v>
      </c>
      <c r="P14" s="82"/>
      <c r="Q14" s="6">
        <v>0</v>
      </c>
      <c r="R14" s="87">
        <f>IFERROR(Q14/$S$13,0)</f>
        <v>0</v>
      </c>
      <c r="S14" s="179"/>
    </row>
    <row r="15" spans="1:19" hidden="1" x14ac:dyDescent="0.25">
      <c r="A15" s="175"/>
      <c r="B15" s="175"/>
      <c r="C15" s="6">
        <v>0</v>
      </c>
      <c r="D15" s="6">
        <f t="shared" si="1"/>
        <v>0</v>
      </c>
      <c r="E15" s="6" t="e">
        <f t="array" aca="1" ref="E15" ca="1">SUMPRODUCT(Объекты!$E$3:$ACH$500*(Объекты!$ACI$3:$ACI$500=J15)*(ISNUMBER(Объекты!$E$1:$ACH$1))*(Объекты!$E$2:$ACH$2="Масса объекта"))</f>
        <v>#VALUE!</v>
      </c>
      <c r="F15" s="6" t="e">
        <f t="shared" ca="1" si="2"/>
        <v>#VALUE!</v>
      </c>
      <c r="G15" s="6" t="e">
        <f t="array" aca="1" ref="G15" ca="1">($C15-SUMPRODUCT(Объекты!$E$3:$ACH$500*(Объекты!$ACI$3:$ACI$500=J15)*(ISNUMBER(Объекты!$E$1:$ACH$1))*(Объекты!$E$2:$ACH$2="Масса объекта")))/(Объекты!$NN$1-'Распределение 1 полугодие'!$B$1)</f>
        <v>#VALUE!</v>
      </c>
      <c r="H15" s="87" t="e">
        <f t="shared" ca="1" si="0"/>
        <v>#VALUE!</v>
      </c>
      <c r="I15" s="81" t="s">
        <v>4</v>
      </c>
      <c r="J15" s="79" t="s">
        <v>144</v>
      </c>
      <c r="K15" s="79" t="s">
        <v>88</v>
      </c>
      <c r="L15" s="79" t="s">
        <v>2</v>
      </c>
      <c r="P15" s="82"/>
      <c r="Q15" s="6">
        <v>0</v>
      </c>
      <c r="R15" s="87">
        <f>IFERROR(Q15/$S$13,0)</f>
        <v>0</v>
      </c>
      <c r="S15" s="179"/>
    </row>
    <row r="16" spans="1:19" x14ac:dyDescent="0.25">
      <c r="A16" s="175"/>
      <c r="B16" s="175"/>
      <c r="C16" s="6">
        <v>0</v>
      </c>
      <c r="D16" s="6">
        <f t="shared" si="1"/>
        <v>0</v>
      </c>
      <c r="E16" s="6" t="e">
        <f t="array" aca="1" ref="E16" ca="1">SUMPRODUCT(Объекты!$E$3:$ACH$500*(Объекты!$ACI$3:$ACI$500=J16)*(ISNUMBER(Объекты!$E$1:$ACH$1))*(Объекты!$E$2:$ACH$2="Масса объекта"))</f>
        <v>#VALUE!</v>
      </c>
      <c r="F16" s="6" t="e">
        <f t="shared" ca="1" si="2"/>
        <v>#VALUE!</v>
      </c>
      <c r="G16" s="6" t="e">
        <f t="array" aca="1" ref="G16" ca="1">($C16-SUMPRODUCT(Объекты!$E$3:$ACH$500*(Объекты!$ACI$3:$ACI$500=J16)*(ISNUMBER(Объекты!$E$1:$ACH$1))*(Объекты!$E$2:$ACH$2="Масса объекта")))/(Объекты!$NN$1-'Распределение 1 полугодие'!$B$1)</f>
        <v>#VALUE!</v>
      </c>
      <c r="H16" s="87" t="e">
        <f t="shared" ca="1" si="0"/>
        <v>#VALUE!</v>
      </c>
      <c r="I16" s="81" t="s">
        <v>8</v>
      </c>
      <c r="J16" s="79" t="s">
        <v>145</v>
      </c>
      <c r="K16" s="79" t="s">
        <v>88</v>
      </c>
      <c r="L16" s="79" t="s">
        <v>2</v>
      </c>
      <c r="P16" s="82"/>
      <c r="Q16" s="6">
        <v>0</v>
      </c>
      <c r="R16" s="87">
        <f>IFERROR(Q16/$S$13,0)</f>
        <v>0</v>
      </c>
      <c r="S16" s="179"/>
    </row>
    <row r="17" spans="1:19" ht="45.75" hidden="1" thickBot="1" x14ac:dyDescent="0.3">
      <c r="A17" s="176"/>
      <c r="B17" s="176"/>
      <c r="C17" s="109">
        <v>0</v>
      </c>
      <c r="D17" s="109">
        <f t="shared" si="1"/>
        <v>0</v>
      </c>
      <c r="E17" s="109" t="e">
        <f t="array" aca="1" ref="E17" ca="1">SUMPRODUCT(Объекты!$E$3:$ACH$500*(Объекты!$ACI$3:$ACI$500=J17)*(ISNUMBER(Объекты!$E$1:$ACH$1))*(Объекты!$E$2:$ACH$2="Масса объекта"))</f>
        <v>#VALUE!</v>
      </c>
      <c r="F17" s="109" t="e">
        <f t="shared" ca="1" si="2"/>
        <v>#VALUE!</v>
      </c>
      <c r="G17" s="109" t="e">
        <f t="array" aca="1" ref="G17" ca="1">($C17-SUMPRODUCT(Объекты!$E$3:$ACH$500*(Объекты!$ACI$3:$ACI$500=J17)*(ISNUMBER(Объекты!$E$1:$ACH$1))*(Объекты!$E$2:$ACH$2="Масса объекта")))/(Объекты!$NN$1-'Распределение 1 полугодие'!$B$1)</f>
        <v>#VALUE!</v>
      </c>
      <c r="H17" s="110" t="e">
        <f t="shared" ca="1" si="0"/>
        <v>#VALUE!</v>
      </c>
      <c r="I17" s="111" t="s">
        <v>9</v>
      </c>
      <c r="J17" s="79" t="s">
        <v>146</v>
      </c>
      <c r="K17" s="79" t="s">
        <v>88</v>
      </c>
      <c r="L17" s="79" t="s">
        <v>2</v>
      </c>
      <c r="P17" s="82"/>
      <c r="Q17" s="6">
        <v>0</v>
      </c>
      <c r="R17" s="87">
        <f>IFERROR(Q17/$S$13,0)</f>
        <v>0</v>
      </c>
      <c r="S17" s="180"/>
    </row>
    <row r="18" spans="1:19" hidden="1" x14ac:dyDescent="0.25">
      <c r="A18" s="175" t="s">
        <v>89</v>
      </c>
      <c r="B18" s="175" t="s">
        <v>2</v>
      </c>
      <c r="C18" s="106">
        <v>0</v>
      </c>
      <c r="D18" s="106">
        <f t="shared" si="1"/>
        <v>0</v>
      </c>
      <c r="E18" s="106" t="e">
        <f t="array" aca="1" ref="E18" ca="1">SUMPRODUCT(Объекты!$E$3:$ACH$500*(Объекты!$ACI$3:$ACI$500=J18)*(ISNUMBER(Объекты!$E$1:$ACH$1))*(Объекты!$E$2:$ACH$2="Масса объекта"))</f>
        <v>#VALUE!</v>
      </c>
      <c r="F18" s="106" t="e">
        <f t="shared" ca="1" si="2"/>
        <v>#VALUE!</v>
      </c>
      <c r="G18" s="106" t="e">
        <f t="array" aca="1" ref="G18" ca="1">($C18-SUMPRODUCT(Объекты!$E$3:$ACH$500*(Объекты!$ACI$3:$ACI$500=J18)*(ISNUMBER(Объекты!$E$1:$ACH$1))*(Объекты!$E$2:$ACH$2="Масса объекта")))/(Объекты!$NN$1-'Распределение 1 полугодие'!$B$1)</f>
        <v>#VALUE!</v>
      </c>
      <c r="H18" s="107" t="e">
        <f t="shared" ca="1" si="0"/>
        <v>#VALUE!</v>
      </c>
      <c r="I18" s="108" t="s">
        <v>6</v>
      </c>
      <c r="J18" s="79" t="s">
        <v>147</v>
      </c>
      <c r="K18" s="79" t="s">
        <v>89</v>
      </c>
      <c r="L18" s="79" t="s">
        <v>2</v>
      </c>
      <c r="P18" s="82"/>
      <c r="Q18" s="6">
        <v>0</v>
      </c>
      <c r="R18" s="87">
        <f>IFERROR(Q18/$S$18,0)</f>
        <v>0</v>
      </c>
      <c r="S18" s="178">
        <f>SUM(Q18:Q22)</f>
        <v>0</v>
      </c>
    </row>
    <row r="19" spans="1:19" hidden="1" x14ac:dyDescent="0.25">
      <c r="A19" s="175"/>
      <c r="B19" s="175"/>
      <c r="C19" s="6">
        <v>0</v>
      </c>
      <c r="D19" s="6">
        <f t="shared" si="1"/>
        <v>0</v>
      </c>
      <c r="E19" s="6" t="e">
        <f t="array" aca="1" ref="E19" ca="1">SUMPRODUCT(Объекты!$E$3:$ACH$500*(Объекты!$ACI$3:$ACI$500=J19)*(ISNUMBER(Объекты!$E$1:$ACH$1))*(Объекты!$E$2:$ACH$2="Масса объекта"))</f>
        <v>#VALUE!</v>
      </c>
      <c r="F19" s="6" t="e">
        <f t="shared" ca="1" si="2"/>
        <v>#VALUE!</v>
      </c>
      <c r="G19" s="6" t="e">
        <f t="array" aca="1" ref="G19" ca="1">($C19-SUMPRODUCT(Объекты!$E$3:$ACH$500*(Объекты!$ACI$3:$ACI$500=J19)*(ISNUMBER(Объекты!$E$1:$ACH$1))*(Объекты!$E$2:$ACH$2="Масса объекта")))/(Объекты!$NN$1-'Распределение 1 полугодие'!$B$1)</f>
        <v>#VALUE!</v>
      </c>
      <c r="H19" s="87" t="e">
        <f t="shared" ca="1" si="0"/>
        <v>#VALUE!</v>
      </c>
      <c r="I19" s="81" t="s">
        <v>7</v>
      </c>
      <c r="J19" s="79" t="s">
        <v>148</v>
      </c>
      <c r="K19" s="79" t="s">
        <v>89</v>
      </c>
      <c r="L19" s="79" t="s">
        <v>2</v>
      </c>
      <c r="P19" s="82"/>
      <c r="Q19" s="6">
        <v>0</v>
      </c>
      <c r="R19" s="87">
        <f>IFERROR(Q19/$S$18,0)</f>
        <v>0</v>
      </c>
      <c r="S19" s="179"/>
    </row>
    <row r="20" spans="1:19" hidden="1" x14ac:dyDescent="0.25">
      <c r="A20" s="175"/>
      <c r="B20" s="175"/>
      <c r="C20" s="6">
        <v>45000</v>
      </c>
      <c r="D20" s="6">
        <f t="shared" si="1"/>
        <v>247.25274725274724</v>
      </c>
      <c r="E20" s="6" t="e">
        <f t="array" aca="1" ref="E20" ca="1">SUMPRODUCT(Объекты!$E$3:$ACH$500*(Объекты!$ACI$3:$ACI$500=J20)*(ISNUMBER(Объекты!$E$1:$ACH$1))*(Объекты!$E$2:$ACH$2="Масса объекта"))</f>
        <v>#VALUE!</v>
      </c>
      <c r="F20" s="6" t="e">
        <f t="shared" ca="1" si="2"/>
        <v>#VALUE!</v>
      </c>
      <c r="G20" s="6" t="e">
        <f t="array" aca="1" ref="G20" ca="1">($C20-SUMPRODUCT(Объекты!$E$3:$ACH$500*(Объекты!$ACI$3:$ACI$500=J20)*(ISNUMBER(Объекты!$E$1:$ACH$1))*(Объекты!$E$2:$ACH$2="Масса объекта")))/(Объекты!$NN$1-'Распределение 1 полугодие'!$B$1)</f>
        <v>#VALUE!</v>
      </c>
      <c r="H20" s="87" t="e">
        <f t="shared" ca="1" si="0"/>
        <v>#VALUE!</v>
      </c>
      <c r="I20" s="81" t="s">
        <v>4</v>
      </c>
      <c r="J20" s="79" t="s">
        <v>149</v>
      </c>
      <c r="K20" s="79" t="s">
        <v>89</v>
      </c>
      <c r="L20" s="79" t="s">
        <v>2</v>
      </c>
      <c r="P20" s="92"/>
      <c r="Q20" s="6">
        <v>0</v>
      </c>
      <c r="R20" s="87">
        <f>IFERROR(Q20/$S$18,0)</f>
        <v>0</v>
      </c>
      <c r="S20" s="179"/>
    </row>
    <row r="21" spans="1:19" x14ac:dyDescent="0.25">
      <c r="A21" s="175"/>
      <c r="B21" s="175"/>
      <c r="C21" s="6">
        <v>0</v>
      </c>
      <c r="D21" s="6">
        <f t="shared" si="1"/>
        <v>0</v>
      </c>
      <c r="E21" s="6" t="e">
        <f t="array" aca="1" ref="E21" ca="1">SUMPRODUCT(Объекты!$E$3:$ACH$500*(Объекты!$ACI$3:$ACI$500=J21)*(ISNUMBER(Объекты!$E$1:$ACH$1))*(Объекты!$E$2:$ACH$2="Масса объекта"))</f>
        <v>#VALUE!</v>
      </c>
      <c r="F21" s="6" t="e">
        <f t="shared" ca="1" si="2"/>
        <v>#VALUE!</v>
      </c>
      <c r="G21" s="6" t="e">
        <f t="array" aca="1" ref="G21" ca="1">($C21-SUMPRODUCT(Объекты!$E$3:$ACH$500*(Объекты!$ACI$3:$ACI$500=J21)*(ISNUMBER(Объекты!$E$1:$ACH$1))*(Объекты!$E$2:$ACH$2="Масса объекта")))/(Объекты!$NN$1-'Распределение 1 полугодие'!$B$1)</f>
        <v>#VALUE!</v>
      </c>
      <c r="H21" s="87" t="e">
        <f t="shared" ca="1" si="0"/>
        <v>#VALUE!</v>
      </c>
      <c r="I21" s="81" t="s">
        <v>8</v>
      </c>
      <c r="J21" s="79" t="s">
        <v>150</v>
      </c>
      <c r="K21" s="79" t="s">
        <v>89</v>
      </c>
      <c r="L21" s="79" t="s">
        <v>2</v>
      </c>
      <c r="P21" s="92"/>
      <c r="Q21" s="6">
        <v>0</v>
      </c>
      <c r="R21" s="87">
        <f>IFERROR(Q21/$S$18,0)</f>
        <v>0</v>
      </c>
      <c r="S21" s="179"/>
    </row>
    <row r="22" spans="1:19" ht="45" hidden="1" x14ac:dyDescent="0.25">
      <c r="A22" s="177"/>
      <c r="B22" s="177"/>
      <c r="C22" s="6">
        <v>0</v>
      </c>
      <c r="D22" s="6">
        <f t="shared" si="1"/>
        <v>0</v>
      </c>
      <c r="E22" s="6" t="e">
        <f t="array" aca="1" ref="E22" ca="1">SUMPRODUCT(Объекты!$E$3:$ACH$500*(Объекты!$ACI$3:$ACI$500=J22)*(ISNUMBER(Объекты!$E$1:$ACH$1))*(Объекты!$E$2:$ACH$2="Масса объекта"))</f>
        <v>#VALUE!</v>
      </c>
      <c r="F22" s="6" t="e">
        <f t="shared" ca="1" si="2"/>
        <v>#VALUE!</v>
      </c>
      <c r="G22" s="6" t="e">
        <f t="array" aca="1" ref="G22" ca="1">($C22-SUMPRODUCT(Объекты!$E$3:$ACH$500*(Объекты!$ACI$3:$ACI$500=J22)*(ISNUMBER(Объекты!$E$1:$ACH$1))*(Объекты!$E$2:$ACH$2="Масса объекта")))/(Объекты!$NN$1-'Распределение 1 полугодие'!$B$1)</f>
        <v>#VALUE!</v>
      </c>
      <c r="H22" s="87" t="e">
        <f t="shared" ca="1" si="0"/>
        <v>#VALUE!</v>
      </c>
      <c r="I22" s="81" t="s">
        <v>9</v>
      </c>
      <c r="J22" s="79" t="s">
        <v>151</v>
      </c>
      <c r="K22" s="79" t="s">
        <v>89</v>
      </c>
      <c r="L22" s="79" t="s">
        <v>2</v>
      </c>
      <c r="P22" s="82"/>
      <c r="Q22" s="6">
        <v>0</v>
      </c>
      <c r="R22" s="87">
        <f>IFERROR(Q22/$S$18,0)</f>
        <v>0</v>
      </c>
      <c r="S22" s="180"/>
    </row>
    <row r="23" spans="1:19" hidden="1" x14ac:dyDescent="0.25">
      <c r="A23" s="181" t="s">
        <v>89</v>
      </c>
      <c r="B23" s="181" t="s">
        <v>3</v>
      </c>
      <c r="C23" s="6">
        <v>0</v>
      </c>
      <c r="D23" s="6">
        <f>C23/182</f>
        <v>0</v>
      </c>
      <c r="E23" s="6" t="e">
        <f t="array" aca="1" ref="E23" ca="1">SUMPRODUCT(Объекты!$E$3:$ACH$500*(Объекты!$ACI$3:$ACI$500=J23)*(ISNUMBER(Объекты!$E$1:$ACH$1))*(Объекты!$E$2:$ACH$2="Масса объекта"))</f>
        <v>#VALUE!</v>
      </c>
      <c r="F23" s="6" t="e">
        <f t="shared" ca="1" si="2"/>
        <v>#VALUE!</v>
      </c>
      <c r="G23" s="6" t="e">
        <f t="array" aca="1" ref="G23" ca="1">($C23-SUMPRODUCT(Объекты!$E$3:$ACH$500*(Объекты!$ACI$3:$ACI$500=J23)*(ISNUMBER(Объекты!$E$1:$ACH$1))*(Объекты!$E$2:$ACH$2="Масса объекта")))/(Объекты!$NN$1-'Распределение 1 полугодие'!$B$1)</f>
        <v>#VALUE!</v>
      </c>
      <c r="H23" s="87" t="e">
        <f t="shared" ca="1" si="0"/>
        <v>#VALUE!</v>
      </c>
      <c r="I23" s="81" t="s">
        <v>6</v>
      </c>
      <c r="J23" s="79" t="s">
        <v>152</v>
      </c>
      <c r="K23" s="79" t="s">
        <v>89</v>
      </c>
      <c r="L23" s="79" t="s">
        <v>3</v>
      </c>
      <c r="P23" s="82"/>
      <c r="Q23" s="6">
        <v>0</v>
      </c>
      <c r="R23" s="87">
        <f>IFERROR(Q23/$S$23,0)</f>
        <v>0</v>
      </c>
      <c r="S23" s="178">
        <f>SUM(Q23:Q27)</f>
        <v>0</v>
      </c>
    </row>
    <row r="24" spans="1:19" hidden="1" x14ac:dyDescent="0.25">
      <c r="A24" s="175"/>
      <c r="B24" s="175"/>
      <c r="C24" s="6">
        <v>0</v>
      </c>
      <c r="D24" s="6">
        <f>C24/182</f>
        <v>0</v>
      </c>
      <c r="E24" s="6" t="e">
        <f t="array" aca="1" ref="E24" ca="1">SUMPRODUCT(Объекты!$E$3:$ACH$500*(Объекты!$ACI$3:$ACI$500=J24)*(ISNUMBER(Объекты!$E$1:$ACH$1))*(Объекты!$E$2:$ACH$2="Масса объекта"))</f>
        <v>#VALUE!</v>
      </c>
      <c r="F24" s="6" t="e">
        <f t="shared" ca="1" si="2"/>
        <v>#VALUE!</v>
      </c>
      <c r="G24" s="6" t="e">
        <f t="array" aca="1" ref="G24" ca="1">($C24-SUMPRODUCT(Объекты!$E$3:$ACH$500*(Объекты!$ACI$3:$ACI$500=J24)*(ISNUMBER(Объекты!$E$1:$ACH$1))*(Объекты!$E$2:$ACH$2="Масса объекта")))/(Объекты!$NN$1-'Распределение 1 полугодие'!$B$1)</f>
        <v>#VALUE!</v>
      </c>
      <c r="H24" s="87" t="e">
        <f t="shared" ca="1" si="0"/>
        <v>#VALUE!</v>
      </c>
      <c r="I24" s="81" t="s">
        <v>7</v>
      </c>
      <c r="J24" s="79" t="s">
        <v>153</v>
      </c>
      <c r="K24" s="79" t="s">
        <v>89</v>
      </c>
      <c r="L24" s="79" t="s">
        <v>3</v>
      </c>
      <c r="P24" s="82"/>
      <c r="Q24" s="6">
        <v>0</v>
      </c>
      <c r="R24" s="87">
        <f>IFERROR(Q24/$S$23,0)</f>
        <v>0</v>
      </c>
      <c r="S24" s="179"/>
    </row>
    <row r="25" spans="1:19" hidden="1" x14ac:dyDescent="0.25">
      <c r="A25" s="175"/>
      <c r="B25" s="175"/>
      <c r="C25" s="6">
        <v>0</v>
      </c>
      <c r="D25" s="6">
        <f>C25/182</f>
        <v>0</v>
      </c>
      <c r="E25" s="6" t="e">
        <f t="array" aca="1" ref="E25" ca="1">SUMPRODUCT(Объекты!$E$3:$ACH$500*(Объекты!$ACI$3:$ACI$500=J25)*(ISNUMBER(Объекты!$E$1:$ACH$1))*(Объекты!$E$2:$ACH$2="Масса объекта"))</f>
        <v>#VALUE!</v>
      </c>
      <c r="F25" s="6" t="e">
        <f t="shared" ca="1" si="2"/>
        <v>#VALUE!</v>
      </c>
      <c r="G25" s="6" t="e">
        <f t="array" aca="1" ref="G25" ca="1">($C25-SUMPRODUCT(Объекты!$E$3:$ACH$500*(Объекты!$ACI$3:$ACI$500=J25)*(ISNUMBER(Объекты!$E$1:$ACH$1))*(Объекты!$E$2:$ACH$2="Масса объекта")))/(Объекты!$NN$1-'Распределение 1 полугодие'!$B$1)</f>
        <v>#VALUE!</v>
      </c>
      <c r="H25" s="87" t="e">
        <f t="shared" ca="1" si="0"/>
        <v>#VALUE!</v>
      </c>
      <c r="I25" s="81" t="s">
        <v>4</v>
      </c>
      <c r="J25" s="79" t="s">
        <v>154</v>
      </c>
      <c r="K25" s="79" t="s">
        <v>89</v>
      </c>
      <c r="L25" s="79" t="s">
        <v>3</v>
      </c>
      <c r="P25" s="92"/>
      <c r="Q25" s="6">
        <v>0</v>
      </c>
      <c r="R25" s="87">
        <f>IFERROR(Q25/$S$23,0)</f>
        <v>0</v>
      </c>
      <c r="S25" s="179"/>
    </row>
    <row r="26" spans="1:19" x14ac:dyDescent="0.25">
      <c r="A26" s="175"/>
      <c r="B26" s="175"/>
      <c r="C26" s="6">
        <v>8243.8986913023255</v>
      </c>
      <c r="D26" s="6">
        <f>C26/182</f>
        <v>45.296146655507286</v>
      </c>
      <c r="E26" s="6" t="e">
        <f t="array" aca="1" ref="E26" ca="1">SUMPRODUCT(Объекты!$E$3:$ACH$500*(Объекты!$ACI$3:$ACI$500=J26)*(ISNUMBER(Объекты!$E$1:$ACH$1))*(Объекты!$E$2:$ACH$2="Масса объекта"))</f>
        <v>#VALUE!</v>
      </c>
      <c r="F26" s="6" t="e">
        <f t="shared" ca="1" si="2"/>
        <v>#VALUE!</v>
      </c>
      <c r="G26" s="6" t="e">
        <f t="array" aca="1" ref="G26" ca="1">($C26-SUMPRODUCT(Объекты!$E$3:$ACH$500*(Объекты!$ACI$3:$ACI$500=J26)*(ISNUMBER(Объекты!$E$1:$ACH$1))*(Объекты!$E$2:$ACH$2="Масса объекта")))/(Объекты!$NN$1-'Распределение 1 полугодие'!$B$1)</f>
        <v>#VALUE!</v>
      </c>
      <c r="H26" s="87" t="e">
        <f t="shared" ca="1" si="0"/>
        <v>#VALUE!</v>
      </c>
      <c r="I26" s="81" t="s">
        <v>8</v>
      </c>
      <c r="J26" s="79" t="s">
        <v>155</v>
      </c>
      <c r="K26" s="79" t="s">
        <v>89</v>
      </c>
      <c r="L26" s="79" t="s">
        <v>3</v>
      </c>
      <c r="P26" s="92"/>
      <c r="Q26" s="6">
        <v>0</v>
      </c>
      <c r="R26" s="87">
        <f>IFERROR(Q26/$S$23,0)</f>
        <v>0</v>
      </c>
      <c r="S26" s="179"/>
    </row>
    <row r="27" spans="1:19" ht="45.75" hidden="1" thickBot="1" x14ac:dyDescent="0.3">
      <c r="A27" s="176"/>
      <c r="B27" s="176"/>
      <c r="C27" s="109">
        <v>0</v>
      </c>
      <c r="D27" s="109">
        <f>C27/182</f>
        <v>0</v>
      </c>
      <c r="E27" s="109" t="e">
        <f t="array" aca="1" ref="E27" ca="1">SUMPRODUCT(Объекты!$E$3:$ACH$500*(Объекты!$ACI$3:$ACI$500=J27)*(ISNUMBER(Объекты!$E$1:$ACH$1))*(Объекты!$E$2:$ACH$2="Масса объекта"))</f>
        <v>#VALUE!</v>
      </c>
      <c r="F27" s="109" t="e">
        <f t="shared" ca="1" si="2"/>
        <v>#VALUE!</v>
      </c>
      <c r="G27" s="109" t="e">
        <f t="array" aca="1" ref="G27" ca="1">($C27-SUMPRODUCT(Объекты!$E$3:$ACH$500*(Объекты!$ACI$3:$ACI$500=J27)*(ISNUMBER(Объекты!$E$1:$ACH$1))*(Объекты!$E$2:$ACH$2="Масса объекта")))/(Объекты!$NN$1-'Распределение 1 полугодие'!$B$1)</f>
        <v>#VALUE!</v>
      </c>
      <c r="H27" s="110" t="e">
        <f t="shared" ca="1" si="0"/>
        <v>#VALUE!</v>
      </c>
      <c r="I27" s="111" t="s">
        <v>9</v>
      </c>
      <c r="J27" s="79" t="s">
        <v>156</v>
      </c>
      <c r="K27" s="79" t="s">
        <v>89</v>
      </c>
      <c r="L27" s="79" t="s">
        <v>3</v>
      </c>
      <c r="P27" s="82"/>
      <c r="Q27" s="6">
        <v>0</v>
      </c>
      <c r="R27" s="87">
        <f>IFERROR(Q27/$S$23,0)</f>
        <v>0</v>
      </c>
      <c r="S27" s="180"/>
    </row>
    <row r="28" spans="1:19" hidden="1" x14ac:dyDescent="0.25">
      <c r="A28" s="175" t="s">
        <v>90</v>
      </c>
      <c r="B28" s="175" t="s">
        <v>2</v>
      </c>
      <c r="C28" s="106">
        <v>17999.55</v>
      </c>
      <c r="D28" s="106">
        <f t="shared" si="1"/>
        <v>98.898626373626371</v>
      </c>
      <c r="E28" s="106" t="e">
        <f t="array" aca="1" ref="E28" ca="1">SUMPRODUCT(Объекты!$E$3:$ACH$500*(Объекты!$ACI$3:$ACI$500=J28)*(ISNUMBER(Объекты!$E$1:$ACH$1))*(Объекты!$E$2:$ACH$2="Масса объекта"))</f>
        <v>#VALUE!</v>
      </c>
      <c r="F28" s="106" t="e">
        <f t="shared" ca="1" si="2"/>
        <v>#VALUE!</v>
      </c>
      <c r="G28" s="106" t="e">
        <f t="array" aca="1" ref="G28" ca="1">($C28-SUMPRODUCT(Объекты!$E$3:$ACH$500*(Объекты!$ACI$3:$ACI$500=J28)*(ISNUMBER(Объекты!$E$1:$ACH$1))*(Объекты!$E$2:$ACH$2="Масса объекта")))/(Объекты!$NN$1-'Распределение 1 полугодие'!$B$1)</f>
        <v>#VALUE!</v>
      </c>
      <c r="H28" s="107" t="e">
        <f t="shared" ca="1" si="0"/>
        <v>#VALUE!</v>
      </c>
      <c r="I28" s="108" t="s">
        <v>6</v>
      </c>
      <c r="J28" s="79" t="s">
        <v>157</v>
      </c>
      <c r="K28" s="79" t="s">
        <v>90</v>
      </c>
      <c r="L28" s="79" t="s">
        <v>2</v>
      </c>
      <c r="P28" s="92"/>
      <c r="Q28" s="6">
        <v>0</v>
      </c>
      <c r="R28" s="87">
        <f>IFERROR(Q28/$S$28,0)</f>
        <v>0</v>
      </c>
      <c r="S28" s="178">
        <f>SUM(Q28:Q32)</f>
        <v>91.12</v>
      </c>
    </row>
    <row r="29" spans="1:19" hidden="1" x14ac:dyDescent="0.25">
      <c r="A29" s="175"/>
      <c r="B29" s="175"/>
      <c r="C29" s="6">
        <v>0</v>
      </c>
      <c r="D29" s="6">
        <f t="shared" si="1"/>
        <v>0</v>
      </c>
      <c r="E29" s="6" t="e">
        <f t="array" aca="1" ref="E29" ca="1">SUMPRODUCT(Объекты!$E$3:$ACH$500*(Объекты!$ACI$3:$ACI$500=J29)*(ISNUMBER(Объекты!$E$1:$ACH$1))*(Объекты!$E$2:$ACH$2="Масса объекта"))</f>
        <v>#VALUE!</v>
      </c>
      <c r="F29" s="6" t="e">
        <f t="shared" ca="1" si="2"/>
        <v>#VALUE!</v>
      </c>
      <c r="G29" s="6" t="e">
        <f t="array" aca="1" ref="G29" ca="1">($C29-SUMPRODUCT(Объекты!$E$3:$ACH$500*(Объекты!$ACI$3:$ACI$500=J29)*(ISNUMBER(Объекты!$E$1:$ACH$1))*(Объекты!$E$2:$ACH$2="Масса объекта")))/(Объекты!$NN$1-'Распределение 1 полугодие'!$B$1)</f>
        <v>#VALUE!</v>
      </c>
      <c r="H29" s="87" t="e">
        <f t="shared" ca="1" si="0"/>
        <v>#VALUE!</v>
      </c>
      <c r="I29" s="81" t="s">
        <v>7</v>
      </c>
      <c r="J29" s="79" t="s">
        <v>158</v>
      </c>
      <c r="K29" s="79" t="s">
        <v>90</v>
      </c>
      <c r="L29" s="79" t="s">
        <v>2</v>
      </c>
      <c r="P29" s="92"/>
      <c r="Q29" s="6">
        <v>0</v>
      </c>
      <c r="R29" s="87">
        <f>IFERROR(Q29/$S$28,0)</f>
        <v>0</v>
      </c>
      <c r="S29" s="179"/>
    </row>
    <row r="30" spans="1:19" hidden="1" x14ac:dyDescent="0.25">
      <c r="A30" s="175"/>
      <c r="B30" s="175"/>
      <c r="C30" s="6">
        <v>0</v>
      </c>
      <c r="D30" s="6">
        <f t="shared" si="1"/>
        <v>0</v>
      </c>
      <c r="E30" s="6" t="e">
        <f t="array" aca="1" ref="E30" ca="1">SUMPRODUCT(Объекты!$E$3:$ACH$500*(Объекты!$ACI$3:$ACI$500=J30)*(ISNUMBER(Объекты!$E$1:$ACH$1))*(Объекты!$E$2:$ACH$2="Масса объекта"))</f>
        <v>#VALUE!</v>
      </c>
      <c r="F30" s="6" t="e">
        <f t="shared" ca="1" si="2"/>
        <v>#VALUE!</v>
      </c>
      <c r="G30" s="6" t="e">
        <f t="array" aca="1" ref="G30" ca="1">($C30-SUMPRODUCT(Объекты!$E$3:$ACH$500*(Объекты!$ACI$3:$ACI$500=J30)*(ISNUMBER(Объекты!$E$1:$ACH$1))*(Объекты!$E$2:$ACH$2="Масса объекта")))/(Объекты!$NN$1-'Распределение 1 полугодие'!$B$1)</f>
        <v>#VALUE!</v>
      </c>
      <c r="H30" s="87" t="e">
        <f t="shared" ca="1" si="0"/>
        <v>#VALUE!</v>
      </c>
      <c r="I30" s="81" t="s">
        <v>4</v>
      </c>
      <c r="J30" s="79" t="s">
        <v>159</v>
      </c>
      <c r="K30" s="79" t="s">
        <v>90</v>
      </c>
      <c r="L30" s="79" t="s">
        <v>2</v>
      </c>
      <c r="P30" s="82"/>
      <c r="Q30" s="6">
        <v>0</v>
      </c>
      <c r="R30" s="87">
        <f>IFERROR(Q30/$S$28,0)</f>
        <v>0</v>
      </c>
      <c r="S30" s="179"/>
    </row>
    <row r="31" spans="1:19" x14ac:dyDescent="0.25">
      <c r="A31" s="175"/>
      <c r="B31" s="175"/>
      <c r="C31" s="6">
        <v>0</v>
      </c>
      <c r="D31" s="6">
        <f t="shared" si="1"/>
        <v>0</v>
      </c>
      <c r="E31" s="6" t="e">
        <f t="array" aca="1" ref="E31" ca="1">SUMPRODUCT(Объекты!$E$3:$ACH$500*(Объекты!$ACI$3:$ACI$500=J31)*(ISNUMBER(Объекты!$E$1:$ACH$1))*(Объекты!$E$2:$ACH$2="Масса объекта"))</f>
        <v>#VALUE!</v>
      </c>
      <c r="F31" s="6" t="e">
        <f t="shared" ca="1" si="2"/>
        <v>#VALUE!</v>
      </c>
      <c r="G31" s="6" t="e">
        <f t="array" aca="1" ref="G31" ca="1">($C31-SUMPRODUCT(Объекты!$E$3:$ACH$500*(Объекты!$ACI$3:$ACI$500=J31)*(ISNUMBER(Объекты!$E$1:$ACH$1))*(Объекты!$E$2:$ACH$2="Масса объекта")))/(Объекты!$NN$1-'Распределение 1 полугодие'!$B$1)</f>
        <v>#VALUE!</v>
      </c>
      <c r="H31" s="87" t="e">
        <f t="shared" ca="1" si="0"/>
        <v>#VALUE!</v>
      </c>
      <c r="I31" s="81" t="s">
        <v>8</v>
      </c>
      <c r="J31" s="79" t="s">
        <v>160</v>
      </c>
      <c r="K31" s="79" t="s">
        <v>90</v>
      </c>
      <c r="L31" s="79" t="s">
        <v>2</v>
      </c>
      <c r="P31" s="82"/>
      <c r="Q31" s="6">
        <v>91.12</v>
      </c>
      <c r="R31" s="87">
        <f>IFERROR(Q31/$S$28,0)</f>
        <v>1</v>
      </c>
      <c r="S31" s="179"/>
    </row>
    <row r="32" spans="1:19" ht="45" hidden="1" x14ac:dyDescent="0.25">
      <c r="A32" s="177"/>
      <c r="B32" s="177"/>
      <c r="C32" s="6">
        <v>0</v>
      </c>
      <c r="D32" s="6">
        <f t="shared" si="1"/>
        <v>0</v>
      </c>
      <c r="E32" s="6" t="e">
        <f t="array" aca="1" ref="E32" ca="1">SUMPRODUCT(Объекты!$E$3:$ACH$500*(Объекты!$ACI$3:$ACI$500=J32)*(ISNUMBER(Объекты!$E$1:$ACH$1))*(Объекты!$E$2:$ACH$2="Масса объекта"))</f>
        <v>#VALUE!</v>
      </c>
      <c r="F32" s="6" t="e">
        <f t="shared" ca="1" si="2"/>
        <v>#VALUE!</v>
      </c>
      <c r="G32" s="6" t="e">
        <f t="array" aca="1" ref="G32" ca="1">($C32-SUMPRODUCT(Объекты!$E$3:$ACH$500*(Объекты!$ACI$3:$ACI$500=J32)*(ISNUMBER(Объекты!$E$1:$ACH$1))*(Объекты!$E$2:$ACH$2="Масса объекта")))/(Объекты!$NN$1-'Распределение 1 полугодие'!$B$1)</f>
        <v>#VALUE!</v>
      </c>
      <c r="H32" s="87" t="e">
        <f t="shared" ca="1" si="0"/>
        <v>#VALUE!</v>
      </c>
      <c r="I32" s="81" t="s">
        <v>9</v>
      </c>
      <c r="J32" s="79" t="s">
        <v>161</v>
      </c>
      <c r="K32" s="79" t="s">
        <v>90</v>
      </c>
      <c r="L32" s="79" t="s">
        <v>2</v>
      </c>
      <c r="P32" s="82"/>
      <c r="Q32" s="6">
        <v>0</v>
      </c>
      <c r="R32" s="87">
        <f>IFERROR(Q32/$S$28,0)</f>
        <v>0</v>
      </c>
      <c r="S32" s="180"/>
    </row>
    <row r="33" spans="1:19" hidden="1" x14ac:dyDescent="0.25">
      <c r="A33" s="181" t="s">
        <v>90</v>
      </c>
      <c r="B33" s="181" t="s">
        <v>3</v>
      </c>
      <c r="C33" s="6">
        <v>0</v>
      </c>
      <c r="D33" s="6">
        <f>C33/182</f>
        <v>0</v>
      </c>
      <c r="E33" s="6" t="e">
        <f t="array" aca="1" ref="E33" ca="1">SUMPRODUCT(Объекты!$E$3:$ACH$500*(Объекты!$ACI$3:$ACI$500=J33)*(ISNUMBER(Объекты!$E$1:$ACH$1))*(Объекты!$E$2:$ACH$2="Масса объекта"))</f>
        <v>#VALUE!</v>
      </c>
      <c r="F33" s="6" t="e">
        <f t="shared" ca="1" si="2"/>
        <v>#VALUE!</v>
      </c>
      <c r="G33" s="6" t="e">
        <f t="array" aca="1" ref="G33" ca="1">($C33-SUMPRODUCT(Объекты!$E$3:$ACH$500*(Объекты!$ACI$3:$ACI$500=J33)*(ISNUMBER(Объекты!$E$1:$ACH$1))*(Объекты!$E$2:$ACH$2="Масса объекта")))/(Объекты!$NN$1-'Распределение 1 полугодие'!$B$1)</f>
        <v>#VALUE!</v>
      </c>
      <c r="H33" s="87" t="e">
        <f t="shared" ca="1" si="0"/>
        <v>#VALUE!</v>
      </c>
      <c r="I33" s="81" t="s">
        <v>6</v>
      </c>
      <c r="J33" s="79" t="s">
        <v>162</v>
      </c>
      <c r="K33" s="79" t="s">
        <v>90</v>
      </c>
      <c r="L33" s="79" t="s">
        <v>3</v>
      </c>
      <c r="P33" s="92"/>
      <c r="Q33" s="6">
        <v>0</v>
      </c>
      <c r="R33" s="87">
        <f>IFERROR(Q33/$S$33,0)</f>
        <v>0</v>
      </c>
      <c r="S33" s="178">
        <f>SUM(Q33:Q37)</f>
        <v>76.94</v>
      </c>
    </row>
    <row r="34" spans="1:19" hidden="1" x14ac:dyDescent="0.25">
      <c r="A34" s="175"/>
      <c r="B34" s="175"/>
      <c r="C34" s="6">
        <v>19256.37</v>
      </c>
      <c r="D34" s="6">
        <f>C34/182</f>
        <v>105.80423076923077</v>
      </c>
      <c r="E34" s="6" t="e">
        <f t="array" aca="1" ref="E34" ca="1">SUMPRODUCT(Объекты!$E$3:$ACH$500*(Объекты!$ACI$3:$ACI$500=J34)*(ISNUMBER(Объекты!$E$1:$ACH$1))*(Объекты!$E$2:$ACH$2="Масса объекта"))</f>
        <v>#VALUE!</v>
      </c>
      <c r="F34" s="6" t="e">
        <f t="shared" ca="1" si="2"/>
        <v>#VALUE!</v>
      </c>
      <c r="G34" s="6" t="e">
        <f t="array" aca="1" ref="G34" ca="1">($C34-SUMPRODUCT(Объекты!$E$3:$ACH$500*(Объекты!$ACI$3:$ACI$500=J34)*(ISNUMBER(Объекты!$E$1:$ACH$1))*(Объекты!$E$2:$ACH$2="Масса объекта")))/(Объекты!$NN$1-'Распределение 1 полугодие'!$B$1)</f>
        <v>#VALUE!</v>
      </c>
      <c r="H34" s="87" t="e">
        <f t="shared" ca="1" si="0"/>
        <v>#VALUE!</v>
      </c>
      <c r="I34" s="81" t="s">
        <v>7</v>
      </c>
      <c r="J34" s="79" t="s">
        <v>163</v>
      </c>
      <c r="K34" s="79" t="s">
        <v>90</v>
      </c>
      <c r="L34" s="79" t="s">
        <v>3</v>
      </c>
      <c r="P34" s="92"/>
      <c r="Q34" s="6">
        <v>0</v>
      </c>
      <c r="R34" s="87">
        <f>IFERROR(Q34/$S$33,0)</f>
        <v>0</v>
      </c>
      <c r="S34" s="179"/>
    </row>
    <row r="35" spans="1:19" hidden="1" x14ac:dyDescent="0.25">
      <c r="A35" s="175"/>
      <c r="B35" s="175"/>
      <c r="C35" s="6">
        <v>0</v>
      </c>
      <c r="D35" s="6">
        <f>C35/182</f>
        <v>0</v>
      </c>
      <c r="E35" s="6" t="e">
        <f t="array" aca="1" ref="E35" ca="1">SUMPRODUCT(Объекты!$E$3:$ACH$500*(Объекты!$ACI$3:$ACI$500=J35)*(ISNUMBER(Объекты!$E$1:$ACH$1))*(Объекты!$E$2:$ACH$2="Масса объекта"))</f>
        <v>#VALUE!</v>
      </c>
      <c r="F35" s="6" t="e">
        <f t="shared" ca="1" si="2"/>
        <v>#VALUE!</v>
      </c>
      <c r="G35" s="6" t="e">
        <f t="array" aca="1" ref="G35" ca="1">($C35-SUMPRODUCT(Объекты!$E$3:$ACH$500*(Объекты!$ACI$3:$ACI$500=J35)*(ISNUMBER(Объекты!$E$1:$ACH$1))*(Объекты!$E$2:$ACH$2="Масса объекта")))/(Объекты!$NN$1-'Распределение 1 полугодие'!$B$1)</f>
        <v>#VALUE!</v>
      </c>
      <c r="H35" s="87" t="e">
        <f t="shared" ref="H35:H66" ca="1" si="3">G35/SUMIF(K:K,K35,G:G)</f>
        <v>#VALUE!</v>
      </c>
      <c r="I35" s="81" t="s">
        <v>4</v>
      </c>
      <c r="J35" s="79" t="s">
        <v>164</v>
      </c>
      <c r="K35" s="79" t="s">
        <v>90</v>
      </c>
      <c r="L35" s="79" t="s">
        <v>3</v>
      </c>
      <c r="P35" s="82"/>
      <c r="Q35" s="6">
        <v>0</v>
      </c>
      <c r="R35" s="87">
        <f>IFERROR(Q35/$S$33,0)</f>
        <v>0</v>
      </c>
      <c r="S35" s="179"/>
    </row>
    <row r="36" spans="1:19" x14ac:dyDescent="0.25">
      <c r="A36" s="175"/>
      <c r="B36" s="175"/>
      <c r="C36" s="6">
        <v>0</v>
      </c>
      <c r="D36" s="6">
        <f>C36/182</f>
        <v>0</v>
      </c>
      <c r="E36" s="6" t="e">
        <f t="array" aca="1" ref="E36" ca="1">SUMPRODUCT(Объекты!$E$3:$ACH$500*(Объекты!$ACI$3:$ACI$500=J36)*(ISNUMBER(Объекты!$E$1:$ACH$1))*(Объекты!$E$2:$ACH$2="Масса объекта"))</f>
        <v>#VALUE!</v>
      </c>
      <c r="F36" s="6" t="e">
        <f t="shared" ca="1" si="2"/>
        <v>#VALUE!</v>
      </c>
      <c r="G36" s="6" t="e">
        <f t="array" aca="1" ref="G36" ca="1">($C36-SUMPRODUCT(Объекты!$E$3:$ACH$500*(Объекты!$ACI$3:$ACI$500=J36)*(ISNUMBER(Объекты!$E$1:$ACH$1))*(Объекты!$E$2:$ACH$2="Масса объекта")))/(Объекты!$NN$1-'Распределение 1 полугодие'!$B$1)</f>
        <v>#VALUE!</v>
      </c>
      <c r="H36" s="87" t="e">
        <f t="shared" ca="1" si="3"/>
        <v>#VALUE!</v>
      </c>
      <c r="I36" s="81" t="s">
        <v>8</v>
      </c>
      <c r="J36" s="79" t="s">
        <v>165</v>
      </c>
      <c r="K36" s="79" t="s">
        <v>90</v>
      </c>
      <c r="L36" s="79" t="s">
        <v>3</v>
      </c>
      <c r="P36" s="82"/>
      <c r="Q36" s="6">
        <v>76.94</v>
      </c>
      <c r="R36" s="87">
        <f>IFERROR(Q36/$S$33,0)</f>
        <v>1</v>
      </c>
      <c r="S36" s="179"/>
    </row>
    <row r="37" spans="1:19" ht="45.75" hidden="1" thickBot="1" x14ac:dyDescent="0.3">
      <c r="A37" s="176"/>
      <c r="B37" s="176"/>
      <c r="C37" s="109">
        <v>0</v>
      </c>
      <c r="D37" s="109">
        <f>C37/182</f>
        <v>0</v>
      </c>
      <c r="E37" s="109" t="e">
        <f t="array" aca="1" ref="E37" ca="1">SUMPRODUCT(Объекты!$E$3:$ACH$500*(Объекты!$ACI$3:$ACI$500=J37)*(ISNUMBER(Объекты!$E$1:$ACH$1))*(Объекты!$E$2:$ACH$2="Масса объекта"))</f>
        <v>#VALUE!</v>
      </c>
      <c r="F37" s="109" t="e">
        <f t="shared" ca="1" si="2"/>
        <v>#VALUE!</v>
      </c>
      <c r="G37" s="109" t="e">
        <f t="array" aca="1" ref="G37" ca="1">($C37-SUMPRODUCT(Объекты!$E$3:$ACH$500*(Объекты!$ACI$3:$ACI$500=J37)*(ISNUMBER(Объекты!$E$1:$ACH$1))*(Объекты!$E$2:$ACH$2="Масса объекта")))/(Объекты!$NN$1-'Распределение 1 полугодие'!$B$1)</f>
        <v>#VALUE!</v>
      </c>
      <c r="H37" s="110" t="e">
        <f t="shared" ca="1" si="3"/>
        <v>#VALUE!</v>
      </c>
      <c r="I37" s="111" t="s">
        <v>9</v>
      </c>
      <c r="J37" s="79" t="s">
        <v>166</v>
      </c>
      <c r="K37" s="79" t="s">
        <v>90</v>
      </c>
      <c r="L37" s="79" t="s">
        <v>3</v>
      </c>
      <c r="P37" s="82"/>
      <c r="Q37" s="6">
        <v>0</v>
      </c>
      <c r="R37" s="87">
        <f>IFERROR(Q37/$S$33,0)</f>
        <v>0</v>
      </c>
      <c r="S37" s="180"/>
    </row>
    <row r="38" spans="1:19" hidden="1" x14ac:dyDescent="0.25">
      <c r="A38" s="175" t="s">
        <v>91</v>
      </c>
      <c r="B38" s="175" t="s">
        <v>2</v>
      </c>
      <c r="C38" s="106">
        <v>47500</v>
      </c>
      <c r="D38" s="106">
        <f t="shared" si="1"/>
        <v>260.98901098901098</v>
      </c>
      <c r="E38" s="106" t="e">
        <f t="array" aca="1" ref="E38" ca="1">SUMPRODUCT(Объекты!$E$3:$ACH$500*(Объекты!$ACI$3:$ACI$500=J38)*(ISNUMBER(Объекты!$E$1:$ACH$1))*(Объекты!$E$2:$ACH$2="Масса объекта"))</f>
        <v>#VALUE!</v>
      </c>
      <c r="F38" s="106" t="e">
        <f t="shared" ca="1" si="2"/>
        <v>#VALUE!</v>
      </c>
      <c r="G38" s="106" t="e">
        <f t="array" aca="1" ref="G38" ca="1">($C38-SUMPRODUCT(Объекты!$E$3:$ACH$500*(Объекты!$ACI$3:$ACI$500=J38)*(ISNUMBER(Объекты!$E$1:$ACH$1))*(Объекты!$E$2:$ACH$2="Масса объекта")))/(Объекты!$NN$1-'Распределение 1 полугодие'!$B$1)</f>
        <v>#VALUE!</v>
      </c>
      <c r="H38" s="107" t="e">
        <f t="shared" ca="1" si="3"/>
        <v>#VALUE!</v>
      </c>
      <c r="I38" s="108" t="s">
        <v>6</v>
      </c>
      <c r="J38" s="79" t="s">
        <v>167</v>
      </c>
      <c r="K38" s="79" t="s">
        <v>91</v>
      </c>
      <c r="L38" s="79" t="s">
        <v>2</v>
      </c>
      <c r="P38" s="82"/>
      <c r="Q38" s="6">
        <v>0</v>
      </c>
      <c r="R38" s="87">
        <f>IFERROR(Q38/$S$38,0)</f>
        <v>0</v>
      </c>
      <c r="S38" s="178">
        <f>SUM(Q38:Q42)</f>
        <v>0</v>
      </c>
    </row>
    <row r="39" spans="1:19" hidden="1" x14ac:dyDescent="0.25">
      <c r="A39" s="175"/>
      <c r="B39" s="175"/>
      <c r="C39" s="6">
        <v>0</v>
      </c>
      <c r="D39" s="6">
        <f t="shared" si="1"/>
        <v>0</v>
      </c>
      <c r="E39" s="6" t="e">
        <f t="array" aca="1" ref="E39" ca="1">SUMPRODUCT(Объекты!$E$3:$ACH$500*(Объекты!$ACI$3:$ACI$500=J39)*(ISNUMBER(Объекты!$E$1:$ACH$1))*(Объекты!$E$2:$ACH$2="Масса объекта"))</f>
        <v>#VALUE!</v>
      </c>
      <c r="F39" s="6" t="e">
        <f t="shared" ca="1" si="2"/>
        <v>#VALUE!</v>
      </c>
      <c r="G39" s="6" t="e">
        <f t="array" aca="1" ref="G39" ca="1">($C39-SUMPRODUCT(Объекты!$E$3:$ACH$500*(Объекты!$ACI$3:$ACI$500=J39)*(ISNUMBER(Объекты!$E$1:$ACH$1))*(Объекты!$E$2:$ACH$2="Масса объекта")))/(Объекты!$NN$1-'Распределение 1 полугодие'!$B$1)</f>
        <v>#VALUE!</v>
      </c>
      <c r="H39" s="87" t="e">
        <f t="shared" ca="1" si="3"/>
        <v>#VALUE!</v>
      </c>
      <c r="I39" s="81" t="s">
        <v>7</v>
      </c>
      <c r="J39" s="79" t="s">
        <v>168</v>
      </c>
      <c r="K39" s="79" t="s">
        <v>91</v>
      </c>
      <c r="L39" s="79" t="s">
        <v>2</v>
      </c>
      <c r="P39" s="82"/>
      <c r="Q39" s="6">
        <v>0</v>
      </c>
      <c r="R39" s="87">
        <f>IFERROR(Q39/$S$38,0)</f>
        <v>0</v>
      </c>
      <c r="S39" s="179"/>
    </row>
    <row r="40" spans="1:19" hidden="1" x14ac:dyDescent="0.25">
      <c r="A40" s="175"/>
      <c r="B40" s="175"/>
      <c r="C40" s="6">
        <v>0</v>
      </c>
      <c r="D40" s="6">
        <f t="shared" si="1"/>
        <v>0</v>
      </c>
      <c r="E40" s="6" t="e">
        <f t="array" aca="1" ref="E40" ca="1">SUMPRODUCT(Объекты!$E$3:$ACH$500*(Объекты!$ACI$3:$ACI$500=J40)*(ISNUMBER(Объекты!$E$1:$ACH$1))*(Объекты!$E$2:$ACH$2="Масса объекта"))</f>
        <v>#VALUE!</v>
      </c>
      <c r="F40" s="6" t="e">
        <f t="shared" ca="1" si="2"/>
        <v>#VALUE!</v>
      </c>
      <c r="G40" s="6" t="e">
        <f t="array" aca="1" ref="G40" ca="1">($C40-SUMPRODUCT(Объекты!$E$3:$ACH$500*(Объекты!$ACI$3:$ACI$500=J40)*(ISNUMBER(Объекты!$E$1:$ACH$1))*(Объекты!$E$2:$ACH$2="Масса объекта")))/(Объекты!$NN$1-'Распределение 1 полугодие'!$B$1)</f>
        <v>#VALUE!</v>
      </c>
      <c r="H40" s="87" t="e">
        <f t="shared" ca="1" si="3"/>
        <v>#VALUE!</v>
      </c>
      <c r="I40" s="81" t="s">
        <v>4</v>
      </c>
      <c r="J40" s="79" t="s">
        <v>169</v>
      </c>
      <c r="K40" s="79" t="s">
        <v>91</v>
      </c>
      <c r="L40" s="79" t="s">
        <v>2</v>
      </c>
      <c r="P40" s="82"/>
      <c r="Q40" s="6">
        <v>0</v>
      </c>
      <c r="R40" s="87">
        <f>IFERROR(Q40/$S$38,0)</f>
        <v>0</v>
      </c>
      <c r="S40" s="179"/>
    </row>
    <row r="41" spans="1:19" x14ac:dyDescent="0.25">
      <c r="A41" s="175"/>
      <c r="B41" s="175"/>
      <c r="C41" s="6">
        <v>0</v>
      </c>
      <c r="D41" s="6">
        <f t="shared" si="1"/>
        <v>0</v>
      </c>
      <c r="E41" s="6" t="e">
        <f t="array" aca="1" ref="E41" ca="1">SUMPRODUCT(Объекты!$E$3:$ACH$500*(Объекты!$ACI$3:$ACI$500=J41)*(ISNUMBER(Объекты!$E$1:$ACH$1))*(Объекты!$E$2:$ACH$2="Масса объекта"))</f>
        <v>#VALUE!</v>
      </c>
      <c r="F41" s="6" t="e">
        <f t="shared" ca="1" si="2"/>
        <v>#VALUE!</v>
      </c>
      <c r="G41" s="6" t="e">
        <f t="array" aca="1" ref="G41" ca="1">($C41-SUMPRODUCT(Объекты!$E$3:$ACH$500*(Объекты!$ACI$3:$ACI$500=J41)*(ISNUMBER(Объекты!$E$1:$ACH$1))*(Объекты!$E$2:$ACH$2="Масса объекта")))/(Объекты!$NN$1-'Распределение 1 полугодие'!$B$1)</f>
        <v>#VALUE!</v>
      </c>
      <c r="H41" s="87" t="e">
        <f t="shared" ca="1" si="3"/>
        <v>#VALUE!</v>
      </c>
      <c r="I41" s="81" t="s">
        <v>8</v>
      </c>
      <c r="J41" s="79" t="s">
        <v>170</v>
      </c>
      <c r="K41" s="79" t="s">
        <v>91</v>
      </c>
      <c r="L41" s="79" t="s">
        <v>2</v>
      </c>
      <c r="P41" s="82"/>
      <c r="Q41" s="6">
        <v>0</v>
      </c>
      <c r="R41" s="87">
        <f>IFERROR(Q41/$S$38,0)</f>
        <v>0</v>
      </c>
      <c r="S41" s="179"/>
    </row>
    <row r="42" spans="1:19" ht="45" hidden="1" x14ac:dyDescent="0.25">
      <c r="A42" s="177"/>
      <c r="B42" s="177"/>
      <c r="C42" s="6">
        <v>0</v>
      </c>
      <c r="D42" s="6">
        <f t="shared" si="1"/>
        <v>0</v>
      </c>
      <c r="E42" s="6" t="e">
        <f t="array" aca="1" ref="E42" ca="1">SUMPRODUCT(Объекты!$E$3:$ACH$500*(Объекты!$ACI$3:$ACI$500=J42)*(ISNUMBER(Объекты!$E$1:$ACH$1))*(Объекты!$E$2:$ACH$2="Масса объекта"))</f>
        <v>#VALUE!</v>
      </c>
      <c r="F42" s="6" t="e">
        <f t="shared" ca="1" si="2"/>
        <v>#VALUE!</v>
      </c>
      <c r="G42" s="6" t="e">
        <f t="array" aca="1" ref="G42" ca="1">($C42-SUMPRODUCT(Объекты!$E$3:$ACH$500*(Объекты!$ACI$3:$ACI$500=J42)*(ISNUMBER(Объекты!$E$1:$ACH$1))*(Объекты!$E$2:$ACH$2="Масса объекта")))/(Объекты!$NN$1-'Распределение 1 полугодие'!$B$1)</f>
        <v>#VALUE!</v>
      </c>
      <c r="H42" s="87" t="e">
        <f t="shared" ca="1" si="3"/>
        <v>#VALUE!</v>
      </c>
      <c r="I42" s="81" t="s">
        <v>9</v>
      </c>
      <c r="J42" s="79" t="s">
        <v>171</v>
      </c>
      <c r="K42" s="79" t="s">
        <v>91</v>
      </c>
      <c r="L42" s="79" t="s">
        <v>2</v>
      </c>
      <c r="P42" s="82"/>
      <c r="Q42" s="6">
        <v>0</v>
      </c>
      <c r="R42" s="87">
        <f>IFERROR(Q42/$S$38,0)</f>
        <v>0</v>
      </c>
      <c r="S42" s="180"/>
    </row>
    <row r="43" spans="1:19" hidden="1" x14ac:dyDescent="0.25">
      <c r="A43" s="181" t="s">
        <v>91</v>
      </c>
      <c r="B43" s="181" t="s">
        <v>3</v>
      </c>
      <c r="C43" s="6">
        <v>11373.592011406377</v>
      </c>
      <c r="D43" s="6">
        <f>C43/182</f>
        <v>62.492263798936136</v>
      </c>
      <c r="E43" s="6" t="e">
        <f t="array" aca="1" ref="E43" ca="1">SUMPRODUCT(Объекты!$E$3:$ACH$500*(Объекты!$ACI$3:$ACI$500=J43)*(ISNUMBER(Объекты!$E$1:$ACH$1))*(Объекты!$E$2:$ACH$2="Масса объекта"))</f>
        <v>#VALUE!</v>
      </c>
      <c r="F43" s="6" t="e">
        <f t="shared" ca="1" si="2"/>
        <v>#VALUE!</v>
      </c>
      <c r="G43" s="6" t="e">
        <f t="array" aca="1" ref="G43" ca="1">($C43-SUMPRODUCT(Объекты!$E$3:$ACH$500*(Объекты!$ACI$3:$ACI$500=J43)*(ISNUMBER(Объекты!$E$1:$ACH$1))*(Объекты!$E$2:$ACH$2="Масса объекта")))/(Объекты!$NN$1-'Распределение 1 полугодие'!$B$1)</f>
        <v>#VALUE!</v>
      </c>
      <c r="H43" s="87" t="e">
        <f t="shared" ca="1" si="3"/>
        <v>#VALUE!</v>
      </c>
      <c r="I43" s="81" t="s">
        <v>6</v>
      </c>
      <c r="J43" s="79" t="s">
        <v>172</v>
      </c>
      <c r="K43" s="79" t="s">
        <v>91</v>
      </c>
      <c r="L43" s="79" t="s">
        <v>3</v>
      </c>
      <c r="P43" s="82"/>
      <c r="Q43" s="6">
        <v>0</v>
      </c>
      <c r="R43" s="87">
        <f>IFERROR(Q43/$S$43,0)</f>
        <v>0</v>
      </c>
      <c r="S43" s="178">
        <f>SUM(Q43:Q47)</f>
        <v>0</v>
      </c>
    </row>
    <row r="44" spans="1:19" hidden="1" x14ac:dyDescent="0.25">
      <c r="A44" s="175"/>
      <c r="B44" s="175"/>
      <c r="C44" s="6">
        <v>0</v>
      </c>
      <c r="D44" s="6">
        <f>C44/182</f>
        <v>0</v>
      </c>
      <c r="E44" s="6" t="e">
        <f t="array" aca="1" ref="E44" ca="1">SUMPRODUCT(Объекты!$E$3:$ACH$500*(Объекты!$ACI$3:$ACI$500=J44)*(ISNUMBER(Объекты!$E$1:$ACH$1))*(Объекты!$E$2:$ACH$2="Масса объекта"))</f>
        <v>#VALUE!</v>
      </c>
      <c r="F44" s="6" t="e">
        <f t="shared" ca="1" si="2"/>
        <v>#VALUE!</v>
      </c>
      <c r="G44" s="6" t="e">
        <f t="array" aca="1" ref="G44" ca="1">($C44-SUMPRODUCT(Объекты!$E$3:$ACH$500*(Объекты!$ACI$3:$ACI$500=J44)*(ISNUMBER(Объекты!$E$1:$ACH$1))*(Объекты!$E$2:$ACH$2="Масса объекта")))/(Объекты!$NN$1-'Распределение 1 полугодие'!$B$1)</f>
        <v>#VALUE!</v>
      </c>
      <c r="H44" s="87" t="e">
        <f t="shared" ca="1" si="3"/>
        <v>#VALUE!</v>
      </c>
      <c r="I44" s="81" t="s">
        <v>7</v>
      </c>
      <c r="J44" s="79" t="s">
        <v>173</v>
      </c>
      <c r="K44" s="79" t="s">
        <v>91</v>
      </c>
      <c r="L44" s="79" t="s">
        <v>3</v>
      </c>
      <c r="P44" s="82"/>
      <c r="Q44" s="6">
        <v>0</v>
      </c>
      <c r="R44" s="87">
        <f>IFERROR(Q44/$S$43,0)</f>
        <v>0</v>
      </c>
      <c r="S44" s="179"/>
    </row>
    <row r="45" spans="1:19" hidden="1" x14ac:dyDescent="0.25">
      <c r="A45" s="175"/>
      <c r="B45" s="175"/>
      <c r="C45" s="6">
        <v>0</v>
      </c>
      <c r="D45" s="6">
        <f>C45/182</f>
        <v>0</v>
      </c>
      <c r="E45" s="6" t="e">
        <f t="array" aca="1" ref="E45" ca="1">SUMPRODUCT(Объекты!$E$3:$ACH$500*(Объекты!$ACI$3:$ACI$500=J45)*(ISNUMBER(Объекты!$E$1:$ACH$1))*(Объекты!$E$2:$ACH$2="Масса объекта"))</f>
        <v>#VALUE!</v>
      </c>
      <c r="F45" s="6" t="e">
        <f t="shared" ca="1" si="2"/>
        <v>#VALUE!</v>
      </c>
      <c r="G45" s="6" t="e">
        <f t="array" aca="1" ref="G45" ca="1">($C45-SUMPRODUCT(Объекты!$E$3:$ACH$500*(Объекты!$ACI$3:$ACI$500=J45)*(ISNUMBER(Объекты!$E$1:$ACH$1))*(Объекты!$E$2:$ACH$2="Масса объекта")))/(Объекты!$NN$1-'Распределение 1 полугодие'!$B$1)</f>
        <v>#VALUE!</v>
      </c>
      <c r="H45" s="87" t="e">
        <f t="shared" ca="1" si="3"/>
        <v>#VALUE!</v>
      </c>
      <c r="I45" s="81" t="s">
        <v>4</v>
      </c>
      <c r="J45" s="79" t="s">
        <v>174</v>
      </c>
      <c r="K45" s="79" t="s">
        <v>91</v>
      </c>
      <c r="L45" s="79" t="s">
        <v>3</v>
      </c>
      <c r="P45" s="82"/>
      <c r="Q45" s="6">
        <v>0</v>
      </c>
      <c r="R45" s="87">
        <f>IFERROR(Q45/$S$43,0)</f>
        <v>0</v>
      </c>
      <c r="S45" s="179"/>
    </row>
    <row r="46" spans="1:19" x14ac:dyDescent="0.25">
      <c r="A46" s="175"/>
      <c r="B46" s="175"/>
      <c r="C46" s="6">
        <v>0</v>
      </c>
      <c r="D46" s="6">
        <f>C46/182</f>
        <v>0</v>
      </c>
      <c r="E46" s="6" t="e">
        <f t="array" aca="1" ref="E46" ca="1">SUMPRODUCT(Объекты!$E$3:$ACH$500*(Объекты!$ACI$3:$ACI$500=J46)*(ISNUMBER(Объекты!$E$1:$ACH$1))*(Объекты!$E$2:$ACH$2="Масса объекта"))</f>
        <v>#VALUE!</v>
      </c>
      <c r="F46" s="6" t="e">
        <f t="shared" ca="1" si="2"/>
        <v>#VALUE!</v>
      </c>
      <c r="G46" s="6" t="e">
        <f t="array" aca="1" ref="G46" ca="1">($C46-SUMPRODUCT(Объекты!$E$3:$ACH$500*(Объекты!$ACI$3:$ACI$500=J46)*(ISNUMBER(Объекты!$E$1:$ACH$1))*(Объекты!$E$2:$ACH$2="Масса объекта")))/(Объекты!$NN$1-'Распределение 1 полугодие'!$B$1)</f>
        <v>#VALUE!</v>
      </c>
      <c r="H46" s="87" t="e">
        <f t="shared" ca="1" si="3"/>
        <v>#VALUE!</v>
      </c>
      <c r="I46" s="81" t="s">
        <v>8</v>
      </c>
      <c r="J46" s="79" t="s">
        <v>175</v>
      </c>
      <c r="K46" s="79" t="s">
        <v>91</v>
      </c>
      <c r="L46" s="79" t="s">
        <v>3</v>
      </c>
      <c r="P46" s="82"/>
      <c r="Q46" s="6">
        <v>0</v>
      </c>
      <c r="R46" s="87">
        <f>IFERROR(Q46/$S$43,0)</f>
        <v>0</v>
      </c>
      <c r="S46" s="179"/>
    </row>
    <row r="47" spans="1:19" ht="45.75" hidden="1" thickBot="1" x14ac:dyDescent="0.3">
      <c r="A47" s="176"/>
      <c r="B47" s="176"/>
      <c r="C47" s="109">
        <v>0</v>
      </c>
      <c r="D47" s="109">
        <f>C47/182</f>
        <v>0</v>
      </c>
      <c r="E47" s="109" t="e">
        <f t="array" aca="1" ref="E47" ca="1">SUMPRODUCT(Объекты!$E$3:$ACH$500*(Объекты!$ACI$3:$ACI$500=J47)*(ISNUMBER(Объекты!$E$1:$ACH$1))*(Объекты!$E$2:$ACH$2="Масса объекта"))</f>
        <v>#VALUE!</v>
      </c>
      <c r="F47" s="109" t="e">
        <f t="shared" ca="1" si="2"/>
        <v>#VALUE!</v>
      </c>
      <c r="G47" s="109" t="e">
        <f t="array" aca="1" ref="G47" ca="1">($C47-SUMPRODUCT(Объекты!$E$3:$ACH$500*(Объекты!$ACI$3:$ACI$500=J47)*(ISNUMBER(Объекты!$E$1:$ACH$1))*(Объекты!$E$2:$ACH$2="Масса объекта")))/(Объекты!$NN$1-'Распределение 1 полугодие'!$B$1)</f>
        <v>#VALUE!</v>
      </c>
      <c r="H47" s="110" t="e">
        <f t="shared" ca="1" si="3"/>
        <v>#VALUE!</v>
      </c>
      <c r="I47" s="111" t="s">
        <v>9</v>
      </c>
      <c r="J47" s="79" t="s">
        <v>176</v>
      </c>
      <c r="K47" s="79" t="s">
        <v>91</v>
      </c>
      <c r="L47" s="79" t="s">
        <v>3</v>
      </c>
      <c r="P47" s="82"/>
      <c r="Q47" s="6">
        <v>0</v>
      </c>
      <c r="R47" s="87">
        <f>IFERROR(Q47/$S$43,0)</f>
        <v>0</v>
      </c>
      <c r="S47" s="180"/>
    </row>
    <row r="48" spans="1:19" hidden="1" x14ac:dyDescent="0.25">
      <c r="A48" s="175" t="s">
        <v>99</v>
      </c>
      <c r="B48" s="175" t="s">
        <v>2</v>
      </c>
      <c r="C48" s="106">
        <v>9858.9064807797677</v>
      </c>
      <c r="D48" s="106">
        <f t="shared" si="1"/>
        <v>54.169815828460258</v>
      </c>
      <c r="E48" s="106" t="e">
        <f t="array" aca="1" ref="E48" ca="1">SUMPRODUCT(Объекты!$E$3:$ACH$500*(Объекты!$ACI$3:$ACI$500=J48)*(ISNUMBER(Объекты!$E$1:$ACH$1))*(Объекты!$E$2:$ACH$2="Масса объекта"))</f>
        <v>#VALUE!</v>
      </c>
      <c r="F48" s="106" t="e">
        <f t="shared" ca="1" si="2"/>
        <v>#VALUE!</v>
      </c>
      <c r="G48" s="106" t="e">
        <f t="array" aca="1" ref="G48" ca="1">($C48-SUMPRODUCT(Объекты!$E$3:$ACH$500*(Объекты!$ACI$3:$ACI$500=J48)*(ISNUMBER(Объекты!$E$1:$ACH$1))*(Объекты!$E$2:$ACH$2="Масса объекта")))/(Объекты!$NN$1-'Распределение 1 полугодие'!$B$1)</f>
        <v>#VALUE!</v>
      </c>
      <c r="H48" s="107" t="e">
        <f t="shared" ca="1" si="3"/>
        <v>#VALUE!</v>
      </c>
      <c r="I48" s="108" t="s">
        <v>6</v>
      </c>
      <c r="J48" s="79" t="s">
        <v>177</v>
      </c>
      <c r="K48" s="79" t="s">
        <v>99</v>
      </c>
      <c r="L48" s="79" t="s">
        <v>2</v>
      </c>
      <c r="P48" s="82"/>
      <c r="Q48" s="6">
        <v>0</v>
      </c>
      <c r="R48" s="87">
        <f>IFERROR(Q48/$S$48,0)</f>
        <v>0</v>
      </c>
      <c r="S48" s="178">
        <f>SUM(Q48:Q52)</f>
        <v>0</v>
      </c>
    </row>
    <row r="49" spans="1:19" hidden="1" x14ac:dyDescent="0.25">
      <c r="A49" s="175"/>
      <c r="B49" s="175"/>
      <c r="C49" s="6">
        <v>0</v>
      </c>
      <c r="D49" s="6">
        <f t="shared" si="1"/>
        <v>0</v>
      </c>
      <c r="E49" s="6" t="e">
        <f t="array" aca="1" ref="E49" ca="1">SUMPRODUCT(Объекты!$E$3:$ACH$500*(Объекты!$ACI$3:$ACI$500=J49)*(ISNUMBER(Объекты!$E$1:$ACH$1))*(Объекты!$E$2:$ACH$2="Масса объекта"))</f>
        <v>#VALUE!</v>
      </c>
      <c r="F49" s="6" t="e">
        <f t="shared" ca="1" si="2"/>
        <v>#VALUE!</v>
      </c>
      <c r="G49" s="6" t="e">
        <f t="array" aca="1" ref="G49" ca="1">($C49-SUMPRODUCT(Объекты!$E$3:$ACH$500*(Объекты!$ACI$3:$ACI$500=J49)*(ISNUMBER(Объекты!$E$1:$ACH$1))*(Объекты!$E$2:$ACH$2="Масса объекта")))/(Объекты!$NN$1-'Распределение 1 полугодие'!$B$1)</f>
        <v>#VALUE!</v>
      </c>
      <c r="H49" s="87" t="e">
        <f t="shared" ca="1" si="3"/>
        <v>#VALUE!</v>
      </c>
      <c r="I49" s="81" t="s">
        <v>7</v>
      </c>
      <c r="J49" s="79" t="s">
        <v>178</v>
      </c>
      <c r="K49" s="79" t="s">
        <v>99</v>
      </c>
      <c r="L49" s="79" t="s">
        <v>2</v>
      </c>
      <c r="P49" s="82"/>
      <c r="Q49" s="6">
        <v>0</v>
      </c>
      <c r="R49" s="87">
        <f>IFERROR(Q49/$S$48,0)</f>
        <v>0</v>
      </c>
      <c r="S49" s="179"/>
    </row>
    <row r="50" spans="1:19" hidden="1" x14ac:dyDescent="0.25">
      <c r="A50" s="175"/>
      <c r="B50" s="175"/>
      <c r="C50" s="6">
        <v>0</v>
      </c>
      <c r="D50" s="6">
        <f t="shared" si="1"/>
        <v>0</v>
      </c>
      <c r="E50" s="6" t="e">
        <f t="array" aca="1" ref="E50" ca="1">SUMPRODUCT(Объекты!$E$3:$ACH$500*(Объекты!$ACI$3:$ACI$500=J50)*(ISNUMBER(Объекты!$E$1:$ACH$1))*(Объекты!$E$2:$ACH$2="Масса объекта"))</f>
        <v>#VALUE!</v>
      </c>
      <c r="F50" s="6" t="e">
        <f t="shared" ca="1" si="2"/>
        <v>#VALUE!</v>
      </c>
      <c r="G50" s="6" t="e">
        <f t="array" aca="1" ref="G50" ca="1">($C50-SUMPRODUCT(Объекты!$E$3:$ACH$500*(Объекты!$ACI$3:$ACI$500=J50)*(ISNUMBER(Объекты!$E$1:$ACH$1))*(Объекты!$E$2:$ACH$2="Масса объекта")))/(Объекты!$NN$1-'Распределение 1 полугодие'!$B$1)</f>
        <v>#VALUE!</v>
      </c>
      <c r="H50" s="87" t="e">
        <f t="shared" ca="1" si="3"/>
        <v>#VALUE!</v>
      </c>
      <c r="I50" s="81" t="s">
        <v>4</v>
      </c>
      <c r="J50" s="79" t="s">
        <v>179</v>
      </c>
      <c r="K50" s="79" t="s">
        <v>99</v>
      </c>
      <c r="L50" s="79" t="s">
        <v>2</v>
      </c>
      <c r="P50" s="82"/>
      <c r="Q50" s="6">
        <v>0</v>
      </c>
      <c r="R50" s="87">
        <f>IFERROR(Q50/$S$48,0)</f>
        <v>0</v>
      </c>
      <c r="S50" s="179"/>
    </row>
    <row r="51" spans="1:19" x14ac:dyDescent="0.25">
      <c r="A51" s="175"/>
      <c r="B51" s="175"/>
      <c r="C51" s="6">
        <v>8140.6435192202307</v>
      </c>
      <c r="D51" s="6">
        <f t="shared" si="1"/>
        <v>44.728810545166105</v>
      </c>
      <c r="E51" s="6" t="e">
        <f t="array" aca="1" ref="E51" ca="1">SUMPRODUCT(Объекты!$E$3:$ACH$500*(Объекты!$ACI$3:$ACI$500=J51)*(ISNUMBER(Объекты!$E$1:$ACH$1))*(Объекты!$E$2:$ACH$2="Масса объекта"))</f>
        <v>#VALUE!</v>
      </c>
      <c r="F51" s="6" t="e">
        <f t="shared" ca="1" si="2"/>
        <v>#VALUE!</v>
      </c>
      <c r="G51" s="6" t="e">
        <f t="array" aca="1" ref="G51" ca="1">($C51-SUMPRODUCT(Объекты!$E$3:$ACH$500*(Объекты!$ACI$3:$ACI$500=J51)*(ISNUMBER(Объекты!$E$1:$ACH$1))*(Объекты!$E$2:$ACH$2="Масса объекта")))/(Объекты!$NN$1-'Распределение 1 полугодие'!$B$1)</f>
        <v>#VALUE!</v>
      </c>
      <c r="H51" s="87" t="e">
        <f t="shared" ca="1" si="3"/>
        <v>#VALUE!</v>
      </c>
      <c r="I51" s="81" t="s">
        <v>8</v>
      </c>
      <c r="J51" s="79" t="s">
        <v>180</v>
      </c>
      <c r="K51" s="79" t="s">
        <v>99</v>
      </c>
      <c r="L51" s="79" t="s">
        <v>2</v>
      </c>
      <c r="P51" s="82"/>
      <c r="Q51" s="6">
        <v>0</v>
      </c>
      <c r="R51" s="87">
        <f>IFERROR(Q51/$S$48,0)</f>
        <v>0</v>
      </c>
      <c r="S51" s="179"/>
    </row>
    <row r="52" spans="1:19" ht="45" hidden="1" x14ac:dyDescent="0.25">
      <c r="A52" s="177"/>
      <c r="B52" s="177"/>
      <c r="C52" s="6">
        <v>0</v>
      </c>
      <c r="D52" s="6">
        <f t="shared" si="1"/>
        <v>0</v>
      </c>
      <c r="E52" s="6" t="e">
        <f t="array" aca="1" ref="E52" ca="1">SUMPRODUCT(Объекты!$E$3:$ACH$500*(Объекты!$ACI$3:$ACI$500=J52)*(ISNUMBER(Объекты!$E$1:$ACH$1))*(Объекты!$E$2:$ACH$2="Масса объекта"))</f>
        <v>#VALUE!</v>
      </c>
      <c r="F52" s="6" t="e">
        <f t="shared" ca="1" si="2"/>
        <v>#VALUE!</v>
      </c>
      <c r="G52" s="6" t="e">
        <f t="array" aca="1" ref="G52" ca="1">($C52-SUMPRODUCT(Объекты!$E$3:$ACH$500*(Объекты!$ACI$3:$ACI$500=J52)*(ISNUMBER(Объекты!$E$1:$ACH$1))*(Объекты!$E$2:$ACH$2="Масса объекта")))/(Объекты!$NN$1-'Распределение 1 полугодие'!$B$1)</f>
        <v>#VALUE!</v>
      </c>
      <c r="H52" s="87" t="e">
        <f t="shared" ca="1" si="3"/>
        <v>#VALUE!</v>
      </c>
      <c r="I52" s="81" t="s">
        <v>9</v>
      </c>
      <c r="J52" s="79" t="s">
        <v>181</v>
      </c>
      <c r="K52" s="79" t="s">
        <v>99</v>
      </c>
      <c r="L52" s="79" t="s">
        <v>2</v>
      </c>
      <c r="P52" s="82"/>
      <c r="Q52" s="6">
        <v>0</v>
      </c>
      <c r="R52" s="87">
        <f>IFERROR(Q52/$S$48,0)</f>
        <v>0</v>
      </c>
      <c r="S52" s="180"/>
    </row>
    <row r="53" spans="1:19" hidden="1" x14ac:dyDescent="0.25">
      <c r="A53" s="181" t="s">
        <v>99</v>
      </c>
      <c r="B53" s="181" t="s">
        <v>3</v>
      </c>
      <c r="C53" s="6">
        <v>1140.3359684699999</v>
      </c>
      <c r="D53" s="6">
        <f>C53/182</f>
        <v>6.265582244340659</v>
      </c>
      <c r="E53" s="6" t="e">
        <f t="array" aca="1" ref="E53" ca="1">SUMPRODUCT(Объекты!$E$3:$ACH$500*(Объекты!$ACI$3:$ACI$500=J53)*(ISNUMBER(Объекты!$E$1:$ACH$1))*(Объекты!$E$2:$ACH$2="Масса объекта"))</f>
        <v>#VALUE!</v>
      </c>
      <c r="F53" s="6" t="e">
        <f t="shared" ca="1" si="2"/>
        <v>#VALUE!</v>
      </c>
      <c r="G53" s="6" t="e">
        <f t="array" aca="1" ref="G53" ca="1">($C53-SUMPRODUCT(Объекты!$E$3:$ACH$500*(Объекты!$ACI$3:$ACI$500=J53)*(ISNUMBER(Объекты!$E$1:$ACH$1))*(Объекты!$E$2:$ACH$2="Масса объекта")))/(Объекты!$NN$1-'Распределение 1 полугодие'!$B$1)</f>
        <v>#VALUE!</v>
      </c>
      <c r="H53" s="87" t="e">
        <f t="shared" ca="1" si="3"/>
        <v>#VALUE!</v>
      </c>
      <c r="I53" s="81" t="s">
        <v>6</v>
      </c>
      <c r="J53" s="79" t="s">
        <v>224</v>
      </c>
      <c r="K53" s="79" t="s">
        <v>99</v>
      </c>
      <c r="L53" s="79" t="s">
        <v>3</v>
      </c>
      <c r="P53" s="82"/>
      <c r="Q53" s="6">
        <v>0</v>
      </c>
      <c r="R53" s="87">
        <f>IFERROR(Q53/$S$53,0)</f>
        <v>0</v>
      </c>
      <c r="S53" s="178">
        <f>SUM(Q53:Q57)</f>
        <v>0</v>
      </c>
    </row>
    <row r="54" spans="1:19" hidden="1" x14ac:dyDescent="0.25">
      <c r="A54" s="175"/>
      <c r="B54" s="175"/>
      <c r="C54" s="6">
        <v>0</v>
      </c>
      <c r="D54" s="6">
        <f>C54/182</f>
        <v>0</v>
      </c>
      <c r="E54" s="6" t="e">
        <f t="array" aca="1" ref="E54" ca="1">SUMPRODUCT(Объекты!$E$3:$ACH$500*(Объекты!$ACI$3:$ACI$500=J54)*(ISNUMBER(Объекты!$E$1:$ACH$1))*(Объекты!$E$2:$ACH$2="Масса объекта"))</f>
        <v>#VALUE!</v>
      </c>
      <c r="F54" s="6" t="e">
        <f t="shared" ca="1" si="2"/>
        <v>#VALUE!</v>
      </c>
      <c r="G54" s="6" t="e">
        <f t="array" aca="1" ref="G54" ca="1">($C54-SUMPRODUCT(Объекты!$E$3:$ACH$500*(Объекты!$ACI$3:$ACI$500=J54)*(ISNUMBER(Объекты!$E$1:$ACH$1))*(Объекты!$E$2:$ACH$2="Масса объекта")))/(Объекты!$NN$1-'Распределение 1 полугодие'!$B$1)</f>
        <v>#VALUE!</v>
      </c>
      <c r="H54" s="87" t="e">
        <f t="shared" ca="1" si="3"/>
        <v>#VALUE!</v>
      </c>
      <c r="I54" s="81" t="s">
        <v>7</v>
      </c>
      <c r="J54" s="79" t="s">
        <v>225</v>
      </c>
      <c r="K54" s="79" t="s">
        <v>99</v>
      </c>
      <c r="L54" s="79" t="s">
        <v>3</v>
      </c>
      <c r="P54" s="82"/>
      <c r="Q54" s="6">
        <v>0</v>
      </c>
      <c r="R54" s="87">
        <f>IFERROR(Q54/$S$53,0)</f>
        <v>0</v>
      </c>
      <c r="S54" s="179"/>
    </row>
    <row r="55" spans="1:19" hidden="1" x14ac:dyDescent="0.25">
      <c r="A55" s="175"/>
      <c r="B55" s="175"/>
      <c r="C55" s="6">
        <v>0</v>
      </c>
      <c r="D55" s="6">
        <f>C55/182</f>
        <v>0</v>
      </c>
      <c r="E55" s="6" t="e">
        <f t="array" aca="1" ref="E55" ca="1">SUMPRODUCT(Объекты!$E$3:$ACH$500*(Объекты!$ACI$3:$ACI$500=J55)*(ISNUMBER(Объекты!$E$1:$ACH$1))*(Объекты!$E$2:$ACH$2="Масса объекта"))</f>
        <v>#VALUE!</v>
      </c>
      <c r="F55" s="6" t="e">
        <f t="shared" ca="1" si="2"/>
        <v>#VALUE!</v>
      </c>
      <c r="G55" s="6" t="e">
        <f t="array" aca="1" ref="G55" ca="1">($C55-SUMPRODUCT(Объекты!$E$3:$ACH$500*(Объекты!$ACI$3:$ACI$500=J55)*(ISNUMBER(Объекты!$E$1:$ACH$1))*(Объекты!$E$2:$ACH$2="Масса объекта")))/(Объекты!$NN$1-'Распределение 1 полугодие'!$B$1)</f>
        <v>#VALUE!</v>
      </c>
      <c r="H55" s="87" t="e">
        <f t="shared" ca="1" si="3"/>
        <v>#VALUE!</v>
      </c>
      <c r="I55" s="81" t="s">
        <v>4</v>
      </c>
      <c r="J55" s="79" t="s">
        <v>226</v>
      </c>
      <c r="K55" s="79" t="s">
        <v>99</v>
      </c>
      <c r="L55" s="79" t="s">
        <v>3</v>
      </c>
      <c r="P55" s="82"/>
      <c r="Q55" s="6">
        <v>0</v>
      </c>
      <c r="R55" s="87">
        <f>IFERROR(Q55/$S$53,0)</f>
        <v>0</v>
      </c>
      <c r="S55" s="179"/>
    </row>
    <row r="56" spans="1:19" x14ac:dyDescent="0.25">
      <c r="A56" s="175"/>
      <c r="B56" s="175"/>
      <c r="C56" s="6">
        <v>941.59211567</v>
      </c>
      <c r="D56" s="6">
        <f>C56/182</f>
        <v>5.1735830531318685</v>
      </c>
      <c r="E56" s="6" t="e">
        <f t="array" aca="1" ref="E56" ca="1">SUMPRODUCT(Объекты!$E$3:$ACH$500*(Объекты!$ACI$3:$ACI$500=J56)*(ISNUMBER(Объекты!$E$1:$ACH$1))*(Объекты!$E$2:$ACH$2="Масса объекта"))</f>
        <v>#VALUE!</v>
      </c>
      <c r="F56" s="6" t="e">
        <f t="shared" ca="1" si="2"/>
        <v>#VALUE!</v>
      </c>
      <c r="G56" s="6" t="e">
        <f t="array" aca="1" ref="G56" ca="1">($C56-SUMPRODUCT(Объекты!$E$3:$ACH$500*(Объекты!$ACI$3:$ACI$500=J56)*(ISNUMBER(Объекты!$E$1:$ACH$1))*(Объекты!$E$2:$ACH$2="Масса объекта")))/(Объекты!$NN$1-'Распределение 1 полугодие'!$B$1)</f>
        <v>#VALUE!</v>
      </c>
      <c r="H56" s="87" t="e">
        <f t="shared" ca="1" si="3"/>
        <v>#VALUE!</v>
      </c>
      <c r="I56" s="81" t="s">
        <v>8</v>
      </c>
      <c r="J56" s="79" t="s">
        <v>227</v>
      </c>
      <c r="K56" s="79" t="s">
        <v>99</v>
      </c>
      <c r="L56" s="79" t="s">
        <v>3</v>
      </c>
      <c r="P56" s="82"/>
      <c r="Q56" s="6">
        <v>0</v>
      </c>
      <c r="R56" s="87">
        <f>IFERROR(Q56/$S$53,0)</f>
        <v>0</v>
      </c>
      <c r="S56" s="179"/>
    </row>
    <row r="57" spans="1:19" ht="45.75" hidden="1" thickBot="1" x14ac:dyDescent="0.3">
      <c r="A57" s="176"/>
      <c r="B57" s="176"/>
      <c r="C57" s="109">
        <v>0</v>
      </c>
      <c r="D57" s="109">
        <f>C57/182</f>
        <v>0</v>
      </c>
      <c r="E57" s="109" t="e">
        <f t="array" aca="1" ref="E57" ca="1">SUMPRODUCT(Объекты!$E$3:$ACH$500*(Объекты!$ACI$3:$ACI$500=J57)*(ISNUMBER(Объекты!$E$1:$ACH$1))*(Объекты!$E$2:$ACH$2="Масса объекта"))</f>
        <v>#VALUE!</v>
      </c>
      <c r="F57" s="109" t="e">
        <f t="shared" ca="1" si="2"/>
        <v>#VALUE!</v>
      </c>
      <c r="G57" s="109" t="e">
        <f t="array" aca="1" ref="G57" ca="1">($C57-SUMPRODUCT(Объекты!$E$3:$ACH$500*(Объекты!$ACI$3:$ACI$500=J57)*(ISNUMBER(Объекты!$E$1:$ACH$1))*(Объекты!$E$2:$ACH$2="Масса объекта")))/(Объекты!$NN$1-'Распределение 1 полугодие'!$B$1)</f>
        <v>#VALUE!</v>
      </c>
      <c r="H57" s="110" t="e">
        <f t="shared" ca="1" si="3"/>
        <v>#VALUE!</v>
      </c>
      <c r="I57" s="111" t="s">
        <v>9</v>
      </c>
      <c r="J57" s="79" t="s">
        <v>228</v>
      </c>
      <c r="K57" s="79" t="s">
        <v>99</v>
      </c>
      <c r="L57" s="79" t="s">
        <v>3</v>
      </c>
      <c r="P57" s="82"/>
      <c r="Q57" s="6">
        <v>0</v>
      </c>
      <c r="R57" s="87">
        <f>IFERROR(Q57/$S$53,0)</f>
        <v>0</v>
      </c>
      <c r="S57" s="180"/>
    </row>
    <row r="58" spans="1:19" hidden="1" x14ac:dyDescent="0.25">
      <c r="A58" s="175" t="s">
        <v>100</v>
      </c>
      <c r="B58" s="175" t="s">
        <v>2</v>
      </c>
      <c r="C58" s="106">
        <v>9658.1150039950135</v>
      </c>
      <c r="D58" s="106">
        <f t="shared" si="1"/>
        <v>53.066565956016561</v>
      </c>
      <c r="E58" s="106" t="e">
        <f t="array" aca="1" ref="E58" ca="1">SUMPRODUCT(Объекты!$E$3:$ACH$500*(Объекты!$ACI$3:$ACI$500=J58)*(ISNUMBER(Объекты!$E$1:$ACH$1))*(Объекты!$E$2:$ACH$2="Масса объекта"))</f>
        <v>#VALUE!</v>
      </c>
      <c r="F58" s="106" t="e">
        <f t="shared" ca="1" si="2"/>
        <v>#VALUE!</v>
      </c>
      <c r="G58" s="106" t="e">
        <f t="array" aca="1" ref="G58" ca="1">($C58-SUMPRODUCT(Объекты!$E$3:$ACH$500*(Объекты!$ACI$3:$ACI$500=J58)*(ISNUMBER(Объекты!$E$1:$ACH$1))*(Объекты!$E$2:$ACH$2="Масса объекта")))/(Объекты!$NN$1-'Распределение 1 полугодие'!$B$1)</f>
        <v>#VALUE!</v>
      </c>
      <c r="H58" s="107" t="e">
        <f t="shared" ca="1" si="3"/>
        <v>#VALUE!</v>
      </c>
      <c r="I58" s="108" t="s">
        <v>6</v>
      </c>
      <c r="J58" s="79" t="s">
        <v>182</v>
      </c>
      <c r="K58" s="79" t="s">
        <v>100</v>
      </c>
      <c r="L58" s="79" t="s">
        <v>2</v>
      </c>
      <c r="P58" s="82"/>
      <c r="Q58" s="6">
        <v>0</v>
      </c>
      <c r="R58" s="87">
        <f>IFERROR(Q58/$S$58,0)</f>
        <v>0</v>
      </c>
      <c r="S58" s="178">
        <f>SUM(Q58:Q62)</f>
        <v>0</v>
      </c>
    </row>
    <row r="59" spans="1:19" hidden="1" x14ac:dyDescent="0.25">
      <c r="A59" s="175"/>
      <c r="B59" s="175"/>
      <c r="C59" s="6">
        <v>0</v>
      </c>
      <c r="D59" s="6">
        <f t="shared" si="1"/>
        <v>0</v>
      </c>
      <c r="E59" s="6" t="e">
        <f t="array" aca="1" ref="E59" ca="1">SUMPRODUCT(Объекты!$E$3:$ACH$500*(Объекты!$ACI$3:$ACI$500=J59)*(ISNUMBER(Объекты!$E$1:$ACH$1))*(Объекты!$E$2:$ACH$2="Масса объекта"))</f>
        <v>#VALUE!</v>
      </c>
      <c r="F59" s="6" t="e">
        <f t="shared" ca="1" si="2"/>
        <v>#VALUE!</v>
      </c>
      <c r="G59" s="6" t="e">
        <f t="array" aca="1" ref="G59" ca="1">($C59-SUMPRODUCT(Объекты!$E$3:$ACH$500*(Объекты!$ACI$3:$ACI$500=J59)*(ISNUMBER(Объекты!$E$1:$ACH$1))*(Объекты!$E$2:$ACH$2="Масса объекта")))/(Объекты!$NN$1-'Распределение 1 полугодие'!$B$1)</f>
        <v>#VALUE!</v>
      </c>
      <c r="H59" s="87" t="e">
        <f t="shared" ca="1" si="3"/>
        <v>#VALUE!</v>
      </c>
      <c r="I59" s="81" t="s">
        <v>7</v>
      </c>
      <c r="J59" s="79" t="s">
        <v>183</v>
      </c>
      <c r="K59" s="79" t="s">
        <v>100</v>
      </c>
      <c r="L59" s="79" t="s">
        <v>2</v>
      </c>
      <c r="P59" s="82"/>
      <c r="Q59" s="6">
        <v>0</v>
      </c>
      <c r="R59" s="87">
        <f>IFERROR(Q59/$S$58,0)</f>
        <v>0</v>
      </c>
      <c r="S59" s="179"/>
    </row>
    <row r="60" spans="1:19" hidden="1" x14ac:dyDescent="0.25">
      <c r="A60" s="175"/>
      <c r="B60" s="175"/>
      <c r="C60" s="6">
        <v>0</v>
      </c>
      <c r="D60" s="6">
        <f t="shared" si="1"/>
        <v>0</v>
      </c>
      <c r="E60" s="6" t="e">
        <f t="array" aca="1" ref="E60" ca="1">SUMPRODUCT(Объекты!$E$3:$ACH$500*(Объекты!$ACI$3:$ACI$500=J60)*(ISNUMBER(Объекты!$E$1:$ACH$1))*(Объекты!$E$2:$ACH$2="Масса объекта"))</f>
        <v>#VALUE!</v>
      </c>
      <c r="F60" s="6" t="e">
        <f t="shared" ca="1" si="2"/>
        <v>#VALUE!</v>
      </c>
      <c r="G60" s="6" t="e">
        <f t="array" aca="1" ref="G60" ca="1">($C60-SUMPRODUCT(Объекты!$E$3:$ACH$500*(Объекты!$ACI$3:$ACI$500=J60)*(ISNUMBER(Объекты!$E$1:$ACH$1))*(Объекты!$E$2:$ACH$2="Масса объекта")))/(Объекты!$NN$1-'Распределение 1 полугодие'!$B$1)</f>
        <v>#VALUE!</v>
      </c>
      <c r="H60" s="87" t="e">
        <f t="shared" ca="1" si="3"/>
        <v>#VALUE!</v>
      </c>
      <c r="I60" s="81" t="s">
        <v>4</v>
      </c>
      <c r="J60" s="79" t="s">
        <v>184</v>
      </c>
      <c r="K60" s="79" t="s">
        <v>100</v>
      </c>
      <c r="L60" s="79" t="s">
        <v>2</v>
      </c>
      <c r="P60" s="82"/>
      <c r="Q60" s="6">
        <v>0</v>
      </c>
      <c r="R60" s="87">
        <f>IFERROR(Q60/$S$58,0)</f>
        <v>0</v>
      </c>
      <c r="S60" s="179"/>
    </row>
    <row r="61" spans="1:19" x14ac:dyDescent="0.25">
      <c r="A61" s="175"/>
      <c r="B61" s="175"/>
      <c r="C61" s="6">
        <v>8341.4349960049858</v>
      </c>
      <c r="D61" s="6">
        <f t="shared" si="1"/>
        <v>45.83206041760981</v>
      </c>
      <c r="E61" s="6" t="e">
        <f t="array" aca="1" ref="E61" ca="1">SUMPRODUCT(Объекты!$E$3:$ACH$500*(Объекты!$ACI$3:$ACI$500=J61)*(ISNUMBER(Объекты!$E$1:$ACH$1))*(Объекты!$E$2:$ACH$2="Масса объекта"))</f>
        <v>#VALUE!</v>
      </c>
      <c r="F61" s="6" t="e">
        <f t="shared" ca="1" si="2"/>
        <v>#VALUE!</v>
      </c>
      <c r="G61" s="6" t="e">
        <f t="array" aca="1" ref="G61" ca="1">($C61-SUMPRODUCT(Объекты!$E$3:$ACH$500*(Объекты!$ACI$3:$ACI$500=J61)*(ISNUMBER(Объекты!$E$1:$ACH$1))*(Объекты!$E$2:$ACH$2="Масса объекта")))/(Объекты!$NN$1-'Распределение 1 полугодие'!$B$1)</f>
        <v>#VALUE!</v>
      </c>
      <c r="H61" s="87" t="e">
        <f t="shared" ca="1" si="3"/>
        <v>#VALUE!</v>
      </c>
      <c r="I61" s="81" t="s">
        <v>8</v>
      </c>
      <c r="J61" s="79" t="s">
        <v>185</v>
      </c>
      <c r="K61" s="79" t="s">
        <v>100</v>
      </c>
      <c r="L61" s="79" t="s">
        <v>2</v>
      </c>
      <c r="P61" s="82"/>
      <c r="Q61" s="6">
        <v>0</v>
      </c>
      <c r="R61" s="87">
        <f>IFERROR(Q61/$S$58,0)</f>
        <v>0</v>
      </c>
      <c r="S61" s="179"/>
    </row>
    <row r="62" spans="1:19" ht="45" hidden="1" x14ac:dyDescent="0.25">
      <c r="A62" s="177"/>
      <c r="B62" s="177"/>
      <c r="C62" s="6">
        <v>0</v>
      </c>
      <c r="D62" s="6">
        <f t="shared" si="1"/>
        <v>0</v>
      </c>
      <c r="E62" s="6" t="e">
        <f t="array" aca="1" ref="E62" ca="1">SUMPRODUCT(Объекты!$E$3:$ACH$500*(Объекты!$ACI$3:$ACI$500=J62)*(ISNUMBER(Объекты!$E$1:$ACH$1))*(Объекты!$E$2:$ACH$2="Масса объекта"))</f>
        <v>#VALUE!</v>
      </c>
      <c r="F62" s="6" t="e">
        <f t="shared" ca="1" si="2"/>
        <v>#VALUE!</v>
      </c>
      <c r="G62" s="6" t="e">
        <f t="array" aca="1" ref="G62" ca="1">($C62-SUMPRODUCT(Объекты!$E$3:$ACH$500*(Объекты!$ACI$3:$ACI$500=J62)*(ISNUMBER(Объекты!$E$1:$ACH$1))*(Объекты!$E$2:$ACH$2="Масса объекта")))/(Объекты!$NN$1-'Распределение 1 полугодие'!$B$1)</f>
        <v>#VALUE!</v>
      </c>
      <c r="H62" s="87" t="e">
        <f t="shared" ca="1" si="3"/>
        <v>#VALUE!</v>
      </c>
      <c r="I62" s="81" t="s">
        <v>9</v>
      </c>
      <c r="J62" s="79" t="s">
        <v>186</v>
      </c>
      <c r="K62" s="79" t="s">
        <v>100</v>
      </c>
      <c r="L62" s="79" t="s">
        <v>2</v>
      </c>
      <c r="P62" s="82"/>
      <c r="Q62" s="6">
        <v>0</v>
      </c>
      <c r="R62" s="87">
        <f>IFERROR(Q62/$S$58,0)</f>
        <v>0</v>
      </c>
      <c r="S62" s="180"/>
    </row>
    <row r="63" spans="1:19" hidden="1" x14ac:dyDescent="0.25">
      <c r="A63" s="181" t="s">
        <v>100</v>
      </c>
      <c r="B63" s="181" t="s">
        <v>3</v>
      </c>
      <c r="C63" s="6">
        <v>10236.29166151</v>
      </c>
      <c r="D63" s="6">
        <f>C63/182</f>
        <v>56.243360777527471</v>
      </c>
      <c r="E63" s="6" t="e">
        <f t="array" aca="1" ref="E63" ca="1">SUMPRODUCT(Объекты!$E$3:$ACH$500*(Объекты!$ACI$3:$ACI$500=J63)*(ISNUMBER(Объекты!$E$1:$ACH$1))*(Объекты!$E$2:$ACH$2="Масса объекта"))</f>
        <v>#VALUE!</v>
      </c>
      <c r="F63" s="6" t="e">
        <f t="shared" ca="1" si="2"/>
        <v>#VALUE!</v>
      </c>
      <c r="G63" s="6" t="e">
        <f t="array" aca="1" ref="G63" ca="1">($C63-SUMPRODUCT(Объекты!$E$3:$ACH$500*(Объекты!$ACI$3:$ACI$500=J63)*(ISNUMBER(Объекты!$E$1:$ACH$1))*(Объекты!$E$2:$ACH$2="Масса объекта")))/(Объекты!$NN$1-'Распределение 1 полугодие'!$B$1)</f>
        <v>#VALUE!</v>
      </c>
      <c r="H63" s="87" t="e">
        <f t="shared" ca="1" si="3"/>
        <v>#VALUE!</v>
      </c>
      <c r="I63" s="81" t="s">
        <v>6</v>
      </c>
      <c r="J63" s="79" t="s">
        <v>229</v>
      </c>
      <c r="K63" s="79" t="s">
        <v>100</v>
      </c>
      <c r="L63" s="79" t="s">
        <v>3</v>
      </c>
      <c r="P63" s="82"/>
      <c r="Q63" s="6">
        <v>0</v>
      </c>
      <c r="R63" s="87">
        <f>IFERROR(Q63/$S$63,0)</f>
        <v>0</v>
      </c>
      <c r="S63" s="178">
        <f>SUM(Q63:Q67)</f>
        <v>0</v>
      </c>
    </row>
    <row r="64" spans="1:19" hidden="1" x14ac:dyDescent="0.25">
      <c r="A64" s="175"/>
      <c r="B64" s="175"/>
      <c r="C64" s="6">
        <v>0</v>
      </c>
      <c r="D64" s="6">
        <f>C64/182</f>
        <v>0</v>
      </c>
      <c r="E64" s="6" t="e">
        <f t="array" aca="1" ref="E64" ca="1">SUMPRODUCT(Объекты!$E$3:$ACH$500*(Объекты!$ACI$3:$ACI$500=J64)*(ISNUMBER(Объекты!$E$1:$ACH$1))*(Объекты!$E$2:$ACH$2="Масса объекта"))</f>
        <v>#VALUE!</v>
      </c>
      <c r="F64" s="6" t="e">
        <f t="shared" ca="1" si="2"/>
        <v>#VALUE!</v>
      </c>
      <c r="G64" s="6" t="e">
        <f t="array" aca="1" ref="G64" ca="1">($C64-SUMPRODUCT(Объекты!$E$3:$ACH$500*(Объекты!$ACI$3:$ACI$500=J64)*(ISNUMBER(Объекты!$E$1:$ACH$1))*(Объекты!$E$2:$ACH$2="Масса объекта")))/(Объекты!$NN$1-'Распределение 1 полугодие'!$B$1)</f>
        <v>#VALUE!</v>
      </c>
      <c r="H64" s="87" t="e">
        <f t="shared" ca="1" si="3"/>
        <v>#VALUE!</v>
      </c>
      <c r="I64" s="81" t="s">
        <v>7</v>
      </c>
      <c r="J64" s="79" t="s">
        <v>230</v>
      </c>
      <c r="K64" s="79" t="s">
        <v>100</v>
      </c>
      <c r="L64" s="79" t="s">
        <v>3</v>
      </c>
      <c r="P64" s="82"/>
      <c r="Q64" s="6">
        <v>0</v>
      </c>
      <c r="R64" s="87">
        <f>IFERROR(Q64/$S$63,0)</f>
        <v>0</v>
      </c>
      <c r="S64" s="179"/>
    </row>
    <row r="65" spans="1:19" hidden="1" x14ac:dyDescent="0.25">
      <c r="A65" s="175"/>
      <c r="B65" s="175"/>
      <c r="C65" s="6">
        <v>0</v>
      </c>
      <c r="D65" s="6">
        <f>C65/182</f>
        <v>0</v>
      </c>
      <c r="E65" s="6" t="e">
        <f t="array" aca="1" ref="E65" ca="1">SUMPRODUCT(Объекты!$E$3:$ACH$500*(Объекты!$ACI$3:$ACI$500=J65)*(ISNUMBER(Объекты!$E$1:$ACH$1))*(Объекты!$E$2:$ACH$2="Масса объекта"))</f>
        <v>#VALUE!</v>
      </c>
      <c r="F65" s="6" t="e">
        <f t="shared" ca="1" si="2"/>
        <v>#VALUE!</v>
      </c>
      <c r="G65" s="6" t="e">
        <f t="array" aca="1" ref="G65" ca="1">($C65-SUMPRODUCT(Объекты!$E$3:$ACH$500*(Объекты!$ACI$3:$ACI$500=J65)*(ISNUMBER(Объекты!$E$1:$ACH$1))*(Объекты!$E$2:$ACH$2="Масса объекта")))/(Объекты!$NN$1-'Распределение 1 полугодие'!$B$1)</f>
        <v>#VALUE!</v>
      </c>
      <c r="H65" s="87" t="e">
        <f t="shared" ca="1" si="3"/>
        <v>#VALUE!</v>
      </c>
      <c r="I65" s="81" t="s">
        <v>4</v>
      </c>
      <c r="J65" s="79" t="s">
        <v>231</v>
      </c>
      <c r="K65" s="79" t="s">
        <v>100</v>
      </c>
      <c r="L65" s="79" t="s">
        <v>3</v>
      </c>
      <c r="P65" s="82"/>
      <c r="Q65" s="6">
        <v>0</v>
      </c>
      <c r="R65" s="87">
        <f>IFERROR(Q65/$S$63,0)</f>
        <v>0</v>
      </c>
      <c r="S65" s="179"/>
    </row>
    <row r="66" spans="1:19" x14ac:dyDescent="0.25">
      <c r="A66" s="175"/>
      <c r="B66" s="175"/>
      <c r="C66" s="6">
        <v>8840.7900000000009</v>
      </c>
      <c r="D66" s="6">
        <f>C66/182</f>
        <v>48.575769230769232</v>
      </c>
      <c r="E66" s="6" t="e">
        <f t="array" aca="1" ref="E66" ca="1">SUMPRODUCT(Объекты!$E$3:$ACH$500*(Объекты!$ACI$3:$ACI$500=J66)*(ISNUMBER(Объекты!$E$1:$ACH$1))*(Объекты!$E$2:$ACH$2="Масса объекта"))</f>
        <v>#VALUE!</v>
      </c>
      <c r="F66" s="6" t="e">
        <f t="shared" ca="1" si="2"/>
        <v>#VALUE!</v>
      </c>
      <c r="G66" s="6" t="e">
        <f t="array" aca="1" ref="G66" ca="1">($C66-SUMPRODUCT(Объекты!$E$3:$ACH$500*(Объекты!$ACI$3:$ACI$500=J66)*(ISNUMBER(Объекты!$E$1:$ACH$1))*(Объекты!$E$2:$ACH$2="Масса объекта")))/(Объекты!$NN$1-'Распределение 1 полугодие'!$B$1)</f>
        <v>#VALUE!</v>
      </c>
      <c r="H66" s="87" t="e">
        <f t="shared" ca="1" si="3"/>
        <v>#VALUE!</v>
      </c>
      <c r="I66" s="81" t="s">
        <v>8</v>
      </c>
      <c r="J66" s="79" t="s">
        <v>232</v>
      </c>
      <c r="K66" s="79" t="s">
        <v>100</v>
      </c>
      <c r="L66" s="79" t="s">
        <v>3</v>
      </c>
      <c r="P66" s="82"/>
      <c r="Q66" s="6">
        <v>0</v>
      </c>
      <c r="R66" s="87">
        <f>IFERROR(Q66/$S$63,0)</f>
        <v>0</v>
      </c>
      <c r="S66" s="179"/>
    </row>
    <row r="67" spans="1:19" ht="45.75" hidden="1" thickBot="1" x14ac:dyDescent="0.3">
      <c r="A67" s="176"/>
      <c r="B67" s="176"/>
      <c r="C67" s="109">
        <v>0</v>
      </c>
      <c r="D67" s="109">
        <f>C67/182</f>
        <v>0</v>
      </c>
      <c r="E67" s="109" t="e">
        <f t="array" aca="1" ref="E67" ca="1">SUMPRODUCT(Объекты!$E$3:$ACH$500*(Объекты!$ACI$3:$ACI$500=J67)*(ISNUMBER(Объекты!$E$1:$ACH$1))*(Объекты!$E$2:$ACH$2="Масса объекта"))</f>
        <v>#VALUE!</v>
      </c>
      <c r="F67" s="109" t="e">
        <f t="shared" ca="1" si="2"/>
        <v>#VALUE!</v>
      </c>
      <c r="G67" s="109" t="e">
        <f t="array" aca="1" ref="G67" ca="1">($C67-SUMPRODUCT(Объекты!$E$3:$ACH$500*(Объекты!$ACI$3:$ACI$500=J67)*(ISNUMBER(Объекты!$E$1:$ACH$1))*(Объекты!$E$2:$ACH$2="Масса объекта")))/(Объекты!$NN$1-'Распределение 1 полугодие'!$B$1)</f>
        <v>#VALUE!</v>
      </c>
      <c r="H67" s="110" t="e">
        <f t="shared" ref="H67:H87" ca="1" si="4">G67/SUMIF(K:K,K67,G:G)</f>
        <v>#VALUE!</v>
      </c>
      <c r="I67" s="111" t="s">
        <v>9</v>
      </c>
      <c r="J67" s="79" t="s">
        <v>233</v>
      </c>
      <c r="K67" s="79" t="s">
        <v>100</v>
      </c>
      <c r="L67" s="79" t="s">
        <v>3</v>
      </c>
      <c r="P67" s="82"/>
      <c r="Q67" s="6">
        <v>0</v>
      </c>
      <c r="R67" s="87">
        <f>IFERROR(Q67/$S$63,0)</f>
        <v>0</v>
      </c>
      <c r="S67" s="180"/>
    </row>
    <row r="68" spans="1:19" hidden="1" x14ac:dyDescent="0.25">
      <c r="A68" s="175" t="s">
        <v>92</v>
      </c>
      <c r="B68" s="175" t="s">
        <v>2</v>
      </c>
      <c r="C68" s="106">
        <v>47500.000000000007</v>
      </c>
      <c r="D68" s="106">
        <f t="shared" si="1"/>
        <v>260.98901098901104</v>
      </c>
      <c r="E68" s="106" t="e">
        <f t="array" aca="1" ref="E68" ca="1">SUMPRODUCT(Объекты!$E$3:$ACH$500*(Объекты!$ACI$3:$ACI$500=J68)*(ISNUMBER(Объекты!$E$1:$ACH$1))*(Объекты!$E$2:$ACH$2="Масса объекта"))</f>
        <v>#VALUE!</v>
      </c>
      <c r="F68" s="106" t="e">
        <f t="shared" ref="F68:F87" ca="1" si="5">C68-E68</f>
        <v>#VALUE!</v>
      </c>
      <c r="G68" s="106" t="e">
        <f t="array" aca="1" ref="G68" ca="1">($C68-SUMPRODUCT(Объекты!$E$3:$ACH$500*(Объекты!$ACI$3:$ACI$500=J68)*(ISNUMBER(Объекты!$E$1:$ACH$1))*(Объекты!$E$2:$ACH$2="Масса объекта")))/(Объекты!$NN$1-'Распределение 1 полугодие'!$B$1)</f>
        <v>#VALUE!</v>
      </c>
      <c r="H68" s="107" t="e">
        <f t="shared" ca="1" si="4"/>
        <v>#VALUE!</v>
      </c>
      <c r="I68" s="108" t="s">
        <v>6</v>
      </c>
      <c r="J68" s="79" t="s">
        <v>187</v>
      </c>
      <c r="K68" s="79" t="s">
        <v>92</v>
      </c>
      <c r="L68" s="79" t="s">
        <v>2</v>
      </c>
      <c r="P68" s="82"/>
      <c r="Q68" s="6">
        <v>0</v>
      </c>
      <c r="R68" s="87">
        <f>IFERROR(Q68/$S$68,0)</f>
        <v>0</v>
      </c>
      <c r="S68" s="178">
        <f>SUM(Q68:Q72)</f>
        <v>0</v>
      </c>
    </row>
    <row r="69" spans="1:19" hidden="1" x14ac:dyDescent="0.25">
      <c r="A69" s="175"/>
      <c r="B69" s="175"/>
      <c r="C69" s="6">
        <v>0</v>
      </c>
      <c r="D69" s="6">
        <f t="shared" si="1"/>
        <v>0</v>
      </c>
      <c r="E69" s="6" t="e">
        <f t="array" aca="1" ref="E69" ca="1">SUMPRODUCT(Объекты!$E$3:$ACH$500*(Объекты!$ACI$3:$ACI$500=J69)*(ISNUMBER(Объекты!$E$1:$ACH$1))*(Объекты!$E$2:$ACH$2="Масса объекта"))</f>
        <v>#VALUE!</v>
      </c>
      <c r="F69" s="6" t="e">
        <f t="shared" ca="1" si="5"/>
        <v>#VALUE!</v>
      </c>
      <c r="G69" s="6" t="e">
        <f t="array" aca="1" ref="G69" ca="1">($C69-SUMPRODUCT(Объекты!$E$3:$ACH$500*(Объекты!$ACI$3:$ACI$500=J69)*(ISNUMBER(Объекты!$E$1:$ACH$1))*(Объекты!$E$2:$ACH$2="Масса объекта")))/(Объекты!$NN$1-'Распределение 1 полугодие'!$B$1)</f>
        <v>#VALUE!</v>
      </c>
      <c r="H69" s="87" t="e">
        <f t="shared" ca="1" si="4"/>
        <v>#VALUE!</v>
      </c>
      <c r="I69" s="81" t="s">
        <v>7</v>
      </c>
      <c r="J69" s="79" t="s">
        <v>188</v>
      </c>
      <c r="K69" s="79" t="s">
        <v>92</v>
      </c>
      <c r="L69" s="79" t="s">
        <v>2</v>
      </c>
      <c r="P69" s="82"/>
      <c r="Q69" s="6">
        <v>0</v>
      </c>
      <c r="R69" s="87">
        <f>IFERROR(Q69/$S$68,0)</f>
        <v>0</v>
      </c>
      <c r="S69" s="179"/>
    </row>
    <row r="70" spans="1:19" hidden="1" x14ac:dyDescent="0.25">
      <c r="A70" s="175"/>
      <c r="B70" s="175"/>
      <c r="C70" s="6">
        <v>0</v>
      </c>
      <c r="D70" s="6">
        <f t="shared" si="1"/>
        <v>0</v>
      </c>
      <c r="E70" s="6" t="e">
        <f t="array" aca="1" ref="E70" ca="1">SUMPRODUCT(Объекты!$E$3:$ACH$500*(Объекты!$ACI$3:$ACI$500=J70)*(ISNUMBER(Объекты!$E$1:$ACH$1))*(Объекты!$E$2:$ACH$2="Масса объекта"))</f>
        <v>#VALUE!</v>
      </c>
      <c r="F70" s="6" t="e">
        <f t="shared" ca="1" si="5"/>
        <v>#VALUE!</v>
      </c>
      <c r="G70" s="6" t="e">
        <f t="array" aca="1" ref="G70" ca="1">($C70-SUMPRODUCT(Объекты!$E$3:$ACH$500*(Объекты!$ACI$3:$ACI$500=J70)*(ISNUMBER(Объекты!$E$1:$ACH$1))*(Объекты!$E$2:$ACH$2="Масса объекта")))/(Объекты!$NN$1-'Распределение 1 полугодие'!$B$1)</f>
        <v>#VALUE!</v>
      </c>
      <c r="H70" s="87" t="e">
        <f t="shared" ca="1" si="4"/>
        <v>#VALUE!</v>
      </c>
      <c r="I70" s="81" t="s">
        <v>4</v>
      </c>
      <c r="J70" s="79" t="s">
        <v>189</v>
      </c>
      <c r="K70" s="79" t="s">
        <v>92</v>
      </c>
      <c r="L70" s="79" t="s">
        <v>2</v>
      </c>
      <c r="P70" s="82"/>
      <c r="Q70" s="6">
        <v>0</v>
      </c>
      <c r="R70" s="87">
        <f>IFERROR(Q70/$S$68,0)</f>
        <v>0</v>
      </c>
      <c r="S70" s="179"/>
    </row>
    <row r="71" spans="1:19" x14ac:dyDescent="0.25">
      <c r="A71" s="175"/>
      <c r="B71" s="175"/>
      <c r="C71" s="6">
        <v>0</v>
      </c>
      <c r="D71" s="6">
        <f t="shared" si="1"/>
        <v>0</v>
      </c>
      <c r="E71" s="6" t="e">
        <f t="array" aca="1" ref="E71" ca="1">SUMPRODUCT(Объекты!$E$3:$ACH$500*(Объекты!$ACI$3:$ACI$500=J71)*(ISNUMBER(Объекты!$E$1:$ACH$1))*(Объекты!$E$2:$ACH$2="Масса объекта"))</f>
        <v>#VALUE!</v>
      </c>
      <c r="F71" s="6" t="e">
        <f t="shared" ca="1" si="5"/>
        <v>#VALUE!</v>
      </c>
      <c r="G71" s="6" t="e">
        <f t="array" aca="1" ref="G71" ca="1">($C71-SUMPRODUCT(Объекты!$E$3:$ACH$500*(Объекты!$ACI$3:$ACI$500=J71)*(ISNUMBER(Объекты!$E$1:$ACH$1))*(Объекты!$E$2:$ACH$2="Масса объекта")))/(Объекты!$NN$1-'Распределение 1 полугодие'!$B$1)</f>
        <v>#VALUE!</v>
      </c>
      <c r="H71" s="87" t="e">
        <f t="shared" ca="1" si="4"/>
        <v>#VALUE!</v>
      </c>
      <c r="I71" s="81" t="s">
        <v>8</v>
      </c>
      <c r="J71" s="79" t="s">
        <v>190</v>
      </c>
      <c r="K71" s="79" t="s">
        <v>92</v>
      </c>
      <c r="L71" s="79" t="s">
        <v>2</v>
      </c>
      <c r="P71" s="82"/>
      <c r="Q71" s="6">
        <v>0</v>
      </c>
      <c r="R71" s="87">
        <f>IFERROR(Q71/$S$68,0)</f>
        <v>0</v>
      </c>
      <c r="S71" s="179"/>
    </row>
    <row r="72" spans="1:19" ht="45.75" hidden="1" thickBot="1" x14ac:dyDescent="0.3">
      <c r="A72" s="176"/>
      <c r="B72" s="176"/>
      <c r="C72" s="109">
        <v>0</v>
      </c>
      <c r="D72" s="109">
        <f t="shared" si="1"/>
        <v>0</v>
      </c>
      <c r="E72" s="109" t="e">
        <f t="array" aca="1" ref="E72" ca="1">SUMPRODUCT(Объекты!$E$3:$ACH$500*(Объекты!$ACI$3:$ACI$500=J72)*(ISNUMBER(Объекты!$E$1:$ACH$1))*(Объекты!$E$2:$ACH$2="Масса объекта"))</f>
        <v>#VALUE!</v>
      </c>
      <c r="F72" s="109" t="e">
        <f t="shared" ca="1" si="5"/>
        <v>#VALUE!</v>
      </c>
      <c r="G72" s="109" t="e">
        <f t="array" aca="1" ref="G72" ca="1">($C72-SUMPRODUCT(Объекты!$E$3:$ACH$500*(Объекты!$ACI$3:$ACI$500=J72)*(ISNUMBER(Объекты!$E$1:$ACH$1))*(Объекты!$E$2:$ACH$2="Масса объекта")))/(Объекты!$NN$1-'Распределение 1 полугодие'!$B$1)</f>
        <v>#VALUE!</v>
      </c>
      <c r="H72" s="110" t="e">
        <f t="shared" ca="1" si="4"/>
        <v>#VALUE!</v>
      </c>
      <c r="I72" s="111" t="s">
        <v>9</v>
      </c>
      <c r="J72" s="79" t="s">
        <v>191</v>
      </c>
      <c r="K72" s="79" t="s">
        <v>92</v>
      </c>
      <c r="L72" s="79" t="s">
        <v>2</v>
      </c>
      <c r="P72" s="82"/>
      <c r="Q72" s="6">
        <v>0</v>
      </c>
      <c r="R72" s="87">
        <f>IFERROR(Q72/$S$68,0)</f>
        <v>0</v>
      </c>
      <c r="S72" s="180"/>
    </row>
    <row r="73" spans="1:19" hidden="1" x14ac:dyDescent="0.25">
      <c r="A73" s="177" t="s">
        <v>101</v>
      </c>
      <c r="B73" s="175" t="s">
        <v>3</v>
      </c>
      <c r="C73" s="106">
        <v>2628.36</v>
      </c>
      <c r="D73" s="106">
        <f t="shared" si="1"/>
        <v>14.441538461538462</v>
      </c>
      <c r="E73" s="106" t="e">
        <f t="array" aca="1" ref="E73" ca="1">SUMPRODUCT(Объекты!$E$3:$ACH$500*(Объекты!$ACI$3:$ACI$500=J73)*(ISNUMBER(Объекты!$E$1:$ACH$1))*(Объекты!$E$2:$ACH$2="Масса объекта"))</f>
        <v>#VALUE!</v>
      </c>
      <c r="F73" s="106" t="e">
        <f t="shared" ca="1" si="5"/>
        <v>#VALUE!</v>
      </c>
      <c r="G73" s="106" t="e">
        <f t="array" aca="1" ref="G73" ca="1">($C73-SUMPRODUCT(Объекты!$E$3:$ACH$500*(Объекты!$ACI$3:$ACI$500=J73)*(ISNUMBER(Объекты!$E$1:$ACH$1))*(Объекты!$E$2:$ACH$2="Масса объекта")))/(Объекты!$NN$1-'Распределение 1 полугодие'!$B$1)</f>
        <v>#VALUE!</v>
      </c>
      <c r="H73" s="107" t="e">
        <f t="shared" ca="1" si="4"/>
        <v>#VALUE!</v>
      </c>
      <c r="I73" s="108" t="s">
        <v>6</v>
      </c>
      <c r="J73" s="79" t="s">
        <v>192</v>
      </c>
      <c r="K73" s="79" t="s">
        <v>101</v>
      </c>
      <c r="L73" s="79" t="s">
        <v>3</v>
      </c>
      <c r="P73" s="82"/>
      <c r="Q73" s="6">
        <v>0</v>
      </c>
      <c r="R73" s="87">
        <f>IFERROR(Q73/$S$73,0)</f>
        <v>0</v>
      </c>
      <c r="S73" s="178">
        <f>SUM(Q73:Q77)</f>
        <v>208.31999999999996</v>
      </c>
    </row>
    <row r="74" spans="1:19" hidden="1" x14ac:dyDescent="0.25">
      <c r="A74" s="182"/>
      <c r="B74" s="175"/>
      <c r="C74" s="6">
        <v>57675.39</v>
      </c>
      <c r="D74" s="6">
        <f t="shared" si="1"/>
        <v>316.89774725274725</v>
      </c>
      <c r="E74" s="6" t="e">
        <f t="array" aca="1" ref="E74" ca="1">SUMPRODUCT(Объекты!$E$3:$ACH$500*(Объекты!$ACI$3:$ACI$500=J74)*(ISNUMBER(Объекты!$E$1:$ACH$1))*(Объекты!$E$2:$ACH$2="Масса объекта"))</f>
        <v>#VALUE!</v>
      </c>
      <c r="F74" s="6" t="e">
        <f t="shared" ca="1" si="5"/>
        <v>#VALUE!</v>
      </c>
      <c r="G74" s="6" t="e">
        <f t="array" aca="1" ref="G74" ca="1">($C74-SUMPRODUCT(Объекты!$E$3:$ACH$500*(Объекты!$ACI$3:$ACI$500=J74)*(ISNUMBER(Объекты!$E$1:$ACH$1))*(Объекты!$E$2:$ACH$2="Масса объекта")))/(Объекты!$NN$1-'Распределение 1 полугодие'!$B$1)</f>
        <v>#VALUE!</v>
      </c>
      <c r="H74" s="87" t="e">
        <f t="shared" ca="1" si="4"/>
        <v>#VALUE!</v>
      </c>
      <c r="I74" s="81" t="s">
        <v>7</v>
      </c>
      <c r="J74" s="79" t="s">
        <v>193</v>
      </c>
      <c r="K74" s="79" t="s">
        <v>101</v>
      </c>
      <c r="L74" s="79" t="s">
        <v>3</v>
      </c>
      <c r="P74" s="82"/>
      <c r="Q74" s="6">
        <v>208.31999999999996</v>
      </c>
      <c r="R74" s="87">
        <f>IFERROR(Q74/$S$73,0)</f>
        <v>1</v>
      </c>
      <c r="S74" s="179"/>
    </row>
    <row r="75" spans="1:19" hidden="1" x14ac:dyDescent="0.25">
      <c r="A75" s="182"/>
      <c r="B75" s="175"/>
      <c r="C75" s="6">
        <v>0</v>
      </c>
      <c r="D75" s="6">
        <f t="shared" si="1"/>
        <v>0</v>
      </c>
      <c r="E75" s="6" t="e">
        <f t="array" aca="1" ref="E75" ca="1">SUMPRODUCT(Объекты!$E$3:$ACH$500*(Объекты!$ACI$3:$ACI$500=J75)*(ISNUMBER(Объекты!$E$1:$ACH$1))*(Объекты!$E$2:$ACH$2="Масса объекта"))</f>
        <v>#VALUE!</v>
      </c>
      <c r="F75" s="6" t="e">
        <f t="shared" ca="1" si="5"/>
        <v>#VALUE!</v>
      </c>
      <c r="G75" s="6" t="e">
        <f t="array" aca="1" ref="G75" ca="1">($C75-SUMPRODUCT(Объекты!$E$3:$ACH$500*(Объекты!$ACI$3:$ACI$500=J75)*(ISNUMBER(Объекты!$E$1:$ACH$1))*(Объекты!$E$2:$ACH$2="Масса объекта")))/(Объекты!$NN$1-'Распределение 1 полугодие'!$B$1)</f>
        <v>#VALUE!</v>
      </c>
      <c r="H75" s="87" t="e">
        <f t="shared" ca="1" si="4"/>
        <v>#VALUE!</v>
      </c>
      <c r="I75" s="81" t="s">
        <v>4</v>
      </c>
      <c r="J75" s="79" t="s">
        <v>194</v>
      </c>
      <c r="K75" s="79" t="s">
        <v>101</v>
      </c>
      <c r="L75" s="79" t="s">
        <v>3</v>
      </c>
      <c r="P75" s="82"/>
      <c r="Q75" s="6">
        <v>0</v>
      </c>
      <c r="R75" s="87">
        <f>IFERROR(Q75/$S$73,0)</f>
        <v>0</v>
      </c>
      <c r="S75" s="179"/>
    </row>
    <row r="76" spans="1:19" x14ac:dyDescent="0.25">
      <c r="A76" s="182"/>
      <c r="B76" s="175"/>
      <c r="C76" s="6">
        <v>8394.02</v>
      </c>
      <c r="D76" s="6">
        <f t="shared" si="1"/>
        <v>46.120989010989014</v>
      </c>
      <c r="E76" s="6" t="e">
        <f t="array" aca="1" ref="E76" ca="1">SUMPRODUCT(Объекты!$E$3:$ACH$500*(Объекты!$ACI$3:$ACI$500=J76)*(ISNUMBER(Объекты!$E$1:$ACH$1))*(Объекты!$E$2:$ACH$2="Масса объекта"))</f>
        <v>#VALUE!</v>
      </c>
      <c r="F76" s="6" t="e">
        <f t="shared" ca="1" si="5"/>
        <v>#VALUE!</v>
      </c>
      <c r="G76" s="6" t="e">
        <f t="array" aca="1" ref="G76" ca="1">($C76-SUMPRODUCT(Объекты!$E$3:$ACH$500*(Объекты!$ACI$3:$ACI$500=J76)*(ISNUMBER(Объекты!$E$1:$ACH$1))*(Объекты!$E$2:$ACH$2="Масса объекта")))/(Объекты!$NN$1-'Распределение 1 полугодие'!$B$1)</f>
        <v>#VALUE!</v>
      </c>
      <c r="H76" s="87" t="e">
        <f t="shared" ca="1" si="4"/>
        <v>#VALUE!</v>
      </c>
      <c r="I76" s="81" t="s">
        <v>8</v>
      </c>
      <c r="J76" s="79" t="s">
        <v>195</v>
      </c>
      <c r="K76" s="79" t="s">
        <v>101</v>
      </c>
      <c r="L76" s="79" t="s">
        <v>3</v>
      </c>
      <c r="P76" s="82"/>
      <c r="Q76" s="6">
        <v>0</v>
      </c>
      <c r="R76" s="87">
        <f>IFERROR(Q76/$S$73,0)</f>
        <v>0</v>
      </c>
      <c r="S76" s="179"/>
    </row>
    <row r="77" spans="1:19" ht="45.75" hidden="1" thickBot="1" x14ac:dyDescent="0.3">
      <c r="A77" s="183"/>
      <c r="B77" s="176"/>
      <c r="C77" s="109">
        <v>0</v>
      </c>
      <c r="D77" s="109">
        <f t="shared" si="1"/>
        <v>0</v>
      </c>
      <c r="E77" s="109" t="e">
        <f t="array" aca="1" ref="E77" ca="1">SUMPRODUCT(Объекты!$E$3:$ACH$500*(Объекты!$ACI$3:$ACI$500=J77)*(ISNUMBER(Объекты!$E$1:$ACH$1))*(Объекты!$E$2:$ACH$2="Масса объекта"))</f>
        <v>#VALUE!</v>
      </c>
      <c r="F77" s="109" t="e">
        <f t="shared" ca="1" si="5"/>
        <v>#VALUE!</v>
      </c>
      <c r="G77" s="109" t="e">
        <f t="array" aca="1" ref="G77" ca="1">($C77-SUMPRODUCT(Объекты!$E$3:$ACH$500*(Объекты!$ACI$3:$ACI$500=J77)*(ISNUMBER(Объекты!$E$1:$ACH$1))*(Объекты!$E$2:$ACH$2="Масса объекта")))/(Объекты!$NN$1-'Распределение 1 полугодие'!$B$1)</f>
        <v>#VALUE!</v>
      </c>
      <c r="H77" s="110" t="e">
        <f t="shared" ca="1" si="4"/>
        <v>#VALUE!</v>
      </c>
      <c r="I77" s="111" t="s">
        <v>9</v>
      </c>
      <c r="J77" s="79" t="s">
        <v>196</v>
      </c>
      <c r="K77" s="79" t="s">
        <v>101</v>
      </c>
      <c r="L77" s="79" t="s">
        <v>3</v>
      </c>
      <c r="P77" s="82"/>
      <c r="Q77" s="6">
        <v>0</v>
      </c>
      <c r="R77" s="87">
        <f>IFERROR(Q77/$S$73,0)</f>
        <v>0</v>
      </c>
      <c r="S77" s="180"/>
    </row>
    <row r="78" spans="1:19" hidden="1" x14ac:dyDescent="0.25">
      <c r="A78" s="177" t="s">
        <v>102</v>
      </c>
      <c r="B78" s="175" t="s">
        <v>3</v>
      </c>
      <c r="C78" s="106">
        <v>3119.26</v>
      </c>
      <c r="D78" s="106">
        <f t="shared" si="1"/>
        <v>17.138791208791211</v>
      </c>
      <c r="E78" s="106" t="e">
        <f t="array" aca="1" ref="E78" ca="1">SUMPRODUCT(Объекты!$E$3:$ACH$500*(Объекты!$ACI$3:$ACI$500=J78)*(ISNUMBER(Объекты!$E$1:$ACH$1))*(Объекты!$E$2:$ACH$2="Масса объекта"))</f>
        <v>#VALUE!</v>
      </c>
      <c r="F78" s="106" t="e">
        <f t="shared" ca="1" si="5"/>
        <v>#VALUE!</v>
      </c>
      <c r="G78" s="106" t="e">
        <f t="array" aca="1" ref="G78" ca="1">($C78-SUMPRODUCT(Объекты!$E$3:$ACH$500*(Объекты!$ACI$3:$ACI$500=J78)*(ISNUMBER(Объекты!$E$1:$ACH$1))*(Объекты!$E$2:$ACH$2="Масса объекта")))/(Объекты!$NN$1-'Распределение 1 полугодие'!$B$1)</f>
        <v>#VALUE!</v>
      </c>
      <c r="H78" s="107" t="e">
        <f t="shared" ca="1" si="4"/>
        <v>#VALUE!</v>
      </c>
      <c r="I78" s="108" t="s">
        <v>6</v>
      </c>
      <c r="J78" s="79" t="s">
        <v>197</v>
      </c>
      <c r="K78" s="79" t="s">
        <v>102</v>
      </c>
      <c r="L78" s="79" t="s">
        <v>3</v>
      </c>
      <c r="N78" s="82"/>
      <c r="P78" s="92"/>
      <c r="Q78" s="6">
        <v>0</v>
      </c>
      <c r="R78" s="87">
        <f>IFERROR(Q78/$S$78,0)</f>
        <v>0</v>
      </c>
      <c r="S78" s="178">
        <f>SUM(Q78:Q82)</f>
        <v>0</v>
      </c>
    </row>
    <row r="79" spans="1:19" hidden="1" x14ac:dyDescent="0.25">
      <c r="A79" s="182"/>
      <c r="B79" s="175"/>
      <c r="C79" s="6">
        <v>63268.24</v>
      </c>
      <c r="D79" s="6">
        <f t="shared" si="1"/>
        <v>347.62769230769231</v>
      </c>
      <c r="E79" s="6" t="e">
        <f t="array" aca="1" ref="E79" ca="1">SUMPRODUCT(Объекты!$E$3:$ACH$500*(Объекты!$ACI$3:$ACI$500=J79)*(ISNUMBER(Объекты!$E$1:$ACH$1))*(Объекты!$E$2:$ACH$2="Масса объекта"))</f>
        <v>#VALUE!</v>
      </c>
      <c r="F79" s="6" t="e">
        <f t="shared" ca="1" si="5"/>
        <v>#VALUE!</v>
      </c>
      <c r="G79" s="6" t="e">
        <f t="array" aca="1" ref="G79" ca="1">($C79-SUMPRODUCT(Объекты!$E$3:$ACH$500*(Объекты!$ACI$3:$ACI$500=J79)*(ISNUMBER(Объекты!$E$1:$ACH$1))*(Объекты!$E$2:$ACH$2="Масса объекта")))/(Объекты!$NN$1-'Распределение 1 полугодие'!$B$1)</f>
        <v>#VALUE!</v>
      </c>
      <c r="H79" s="87" t="e">
        <f t="shared" ca="1" si="4"/>
        <v>#VALUE!</v>
      </c>
      <c r="I79" s="81" t="s">
        <v>7</v>
      </c>
      <c r="J79" s="79" t="s">
        <v>198</v>
      </c>
      <c r="K79" s="79" t="s">
        <v>102</v>
      </c>
      <c r="L79" s="79" t="s">
        <v>3</v>
      </c>
      <c r="P79" s="92"/>
      <c r="Q79" s="6">
        <v>0</v>
      </c>
      <c r="R79" s="87">
        <f>IFERROR(Q79/$S$78,0)</f>
        <v>0</v>
      </c>
      <c r="S79" s="179"/>
    </row>
    <row r="80" spans="1:19" hidden="1" x14ac:dyDescent="0.25">
      <c r="A80" s="182"/>
      <c r="B80" s="175"/>
      <c r="C80" s="6">
        <v>0</v>
      </c>
      <c r="D80" s="6">
        <f t="shared" si="1"/>
        <v>0</v>
      </c>
      <c r="E80" s="6" t="e">
        <f t="array" aca="1" ref="E80" ca="1">SUMPRODUCT(Объекты!$E$3:$ACH$500*(Объекты!$ACI$3:$ACI$500=J80)*(ISNUMBER(Объекты!$E$1:$ACH$1))*(Объекты!$E$2:$ACH$2="Масса объекта"))</f>
        <v>#VALUE!</v>
      </c>
      <c r="F80" s="6" t="e">
        <f t="shared" ca="1" si="5"/>
        <v>#VALUE!</v>
      </c>
      <c r="G80" s="6" t="e">
        <f t="array" aca="1" ref="G80" ca="1">($C80-SUMPRODUCT(Объекты!$E$3:$ACH$500*(Объекты!$ACI$3:$ACI$500=J80)*(ISNUMBER(Объекты!$E$1:$ACH$1))*(Объекты!$E$2:$ACH$2="Масса объекта")))/(Объекты!$NN$1-'Распределение 1 полугодие'!$B$1)</f>
        <v>#VALUE!</v>
      </c>
      <c r="H80" s="87" t="e">
        <f t="shared" ca="1" si="4"/>
        <v>#VALUE!</v>
      </c>
      <c r="I80" s="81" t="s">
        <v>4</v>
      </c>
      <c r="J80" s="79" t="s">
        <v>199</v>
      </c>
      <c r="K80" s="79" t="s">
        <v>102</v>
      </c>
      <c r="L80" s="79" t="s">
        <v>3</v>
      </c>
      <c r="P80" s="82"/>
      <c r="Q80" s="6">
        <v>0</v>
      </c>
      <c r="R80" s="87">
        <f>IFERROR(Q80/$S$78,0)</f>
        <v>0</v>
      </c>
      <c r="S80" s="179"/>
    </row>
    <row r="81" spans="1:19" x14ac:dyDescent="0.25">
      <c r="A81" s="182"/>
      <c r="B81" s="175"/>
      <c r="C81" s="6">
        <v>9961.7900000000009</v>
      </c>
      <c r="D81" s="6">
        <f t="shared" si="1"/>
        <v>54.735109890109896</v>
      </c>
      <c r="E81" s="6" t="e">
        <f t="array" aca="1" ref="E81" ca="1">SUMPRODUCT(Объекты!$E$3:$ACH$500*(Объекты!$ACI$3:$ACI$500=J81)*(ISNUMBER(Объекты!$E$1:$ACH$1))*(Объекты!$E$2:$ACH$2="Масса объекта"))</f>
        <v>#VALUE!</v>
      </c>
      <c r="F81" s="6" t="e">
        <f t="shared" ca="1" si="5"/>
        <v>#VALUE!</v>
      </c>
      <c r="G81" s="6" t="e">
        <f t="array" aca="1" ref="G81" ca="1">($C81-SUMPRODUCT(Объекты!$E$3:$ACH$500*(Объекты!$ACI$3:$ACI$500=J81)*(ISNUMBER(Объекты!$E$1:$ACH$1))*(Объекты!$E$2:$ACH$2="Масса объекта")))/(Объекты!$NN$1-'Распределение 1 полугодие'!$B$1)</f>
        <v>#VALUE!</v>
      </c>
      <c r="H81" s="87" t="e">
        <f t="shared" ca="1" si="4"/>
        <v>#VALUE!</v>
      </c>
      <c r="I81" s="81" t="s">
        <v>8</v>
      </c>
      <c r="J81" s="79" t="s">
        <v>200</v>
      </c>
      <c r="K81" s="79" t="s">
        <v>102</v>
      </c>
      <c r="L81" s="79" t="s">
        <v>3</v>
      </c>
      <c r="P81" s="92"/>
      <c r="Q81" s="6">
        <v>0</v>
      </c>
      <c r="R81" s="87">
        <f>IFERROR(Q81/$S$78,0)</f>
        <v>0</v>
      </c>
      <c r="S81" s="179"/>
    </row>
    <row r="82" spans="1:19" ht="45.75" hidden="1" thickBot="1" x14ac:dyDescent="0.3">
      <c r="A82" s="183"/>
      <c r="B82" s="176"/>
      <c r="C82" s="109">
        <v>0</v>
      </c>
      <c r="D82" s="109">
        <f t="shared" si="1"/>
        <v>0</v>
      </c>
      <c r="E82" s="109" t="e">
        <f t="array" aca="1" ref="E82" ca="1">SUMPRODUCT(Объекты!$E$3:$ACH$500*(Объекты!$ACI$3:$ACI$500=J82)*(ISNUMBER(Объекты!$E$1:$ACH$1))*(Объекты!$E$2:$ACH$2="Масса объекта"))</f>
        <v>#VALUE!</v>
      </c>
      <c r="F82" s="109" t="e">
        <f t="shared" ca="1" si="5"/>
        <v>#VALUE!</v>
      </c>
      <c r="G82" s="109" t="e">
        <f t="array" aca="1" ref="G82" ca="1">($C82-SUMPRODUCT(Объекты!$E$3:$ACH$500*(Объекты!$ACI$3:$ACI$500=J82)*(ISNUMBER(Объекты!$E$1:$ACH$1))*(Объекты!$E$2:$ACH$2="Масса объекта")))/(Объекты!$NN$1-'Распределение 1 полугодие'!$B$1)</f>
        <v>#VALUE!</v>
      </c>
      <c r="H82" s="110" t="e">
        <f t="shared" ca="1" si="4"/>
        <v>#VALUE!</v>
      </c>
      <c r="I82" s="111" t="s">
        <v>9</v>
      </c>
      <c r="J82" s="79" t="s">
        <v>201</v>
      </c>
      <c r="K82" s="79" t="s">
        <v>102</v>
      </c>
      <c r="L82" s="79" t="s">
        <v>3</v>
      </c>
      <c r="N82" s="82"/>
      <c r="P82" s="82"/>
      <c r="Q82" s="6">
        <v>0</v>
      </c>
      <c r="R82" s="87">
        <f>IFERROR(Q82/$S$78,0)</f>
        <v>0</v>
      </c>
      <c r="S82" s="180"/>
    </row>
    <row r="83" spans="1:19" hidden="1" x14ac:dyDescent="0.25">
      <c r="A83" s="177" t="s">
        <v>98</v>
      </c>
      <c r="B83" s="175" t="s">
        <v>3</v>
      </c>
      <c r="C83" s="106">
        <v>80399.61</v>
      </c>
      <c r="D83" s="106">
        <f t="shared" si="1"/>
        <v>441.75609890109888</v>
      </c>
      <c r="E83" s="106" t="e">
        <f t="array" aca="1" ref="E83" ca="1">SUMPRODUCT(Объекты!$E$3:$ACH$500*(Объекты!$ACI$3:$ACI$500=J83)*(ISNUMBER(Объекты!$E$1:$ACH$1))*(Объекты!$E$2:$ACH$2="Масса объекта"))</f>
        <v>#VALUE!</v>
      </c>
      <c r="F83" s="106" t="e">
        <f t="shared" ca="1" si="5"/>
        <v>#VALUE!</v>
      </c>
      <c r="G83" s="106" t="e">
        <f t="array" aca="1" ref="G83" ca="1">($C83-SUMPRODUCT(Объекты!$E$3:$ACH$500*(Объекты!$ACI$3:$ACI$500=J83)*(ISNUMBER(Объекты!$E$1:$ACH$1))*(Объекты!$E$2:$ACH$2="Масса объекта")))/(Объекты!$NN$1-'Распределение 1 полугодие'!$B$1)</f>
        <v>#VALUE!</v>
      </c>
      <c r="H83" s="107" t="e">
        <f t="shared" ca="1" si="4"/>
        <v>#VALUE!</v>
      </c>
      <c r="I83" s="108" t="s">
        <v>6</v>
      </c>
      <c r="J83" s="79" t="s">
        <v>202</v>
      </c>
      <c r="K83" s="79" t="s">
        <v>98</v>
      </c>
      <c r="L83" s="79" t="s">
        <v>3</v>
      </c>
      <c r="Q83" s="6">
        <v>0</v>
      </c>
      <c r="R83" s="87">
        <f>IFERROR(Q83/$S$83,0)</f>
        <v>0</v>
      </c>
      <c r="S83" s="178">
        <f>SUM(Q83:Q87)</f>
        <v>0</v>
      </c>
    </row>
    <row r="84" spans="1:19" hidden="1" x14ac:dyDescent="0.25">
      <c r="A84" s="182"/>
      <c r="B84" s="175"/>
      <c r="C84" s="6">
        <v>0</v>
      </c>
      <c r="D84" s="6">
        <f t="shared" si="1"/>
        <v>0</v>
      </c>
      <c r="E84" s="6" t="e">
        <f t="array" aca="1" ref="E84" ca="1">SUMPRODUCT(Объекты!$E$3:$ACH$500*(Объекты!$ACI$3:$ACI$500=J84)*(ISNUMBER(Объекты!$E$1:$ACH$1))*(Объекты!$E$2:$ACH$2="Масса объекта"))</f>
        <v>#VALUE!</v>
      </c>
      <c r="F84" s="6" t="e">
        <f t="shared" ca="1" si="5"/>
        <v>#VALUE!</v>
      </c>
      <c r="G84" s="6" t="e">
        <f t="array" aca="1" ref="G84" ca="1">($C84-SUMPRODUCT(Объекты!$E$3:$ACH$500*(Объекты!$ACI$3:$ACI$500=J84)*(ISNUMBER(Объекты!$E$1:$ACH$1))*(Объекты!$E$2:$ACH$2="Масса объекта")))/(Объекты!$NN$1-'Распределение 1 полугодие'!$B$1)</f>
        <v>#VALUE!</v>
      </c>
      <c r="H84" s="87" t="e">
        <f t="shared" ca="1" si="4"/>
        <v>#VALUE!</v>
      </c>
      <c r="I84" s="81" t="s">
        <v>7</v>
      </c>
      <c r="J84" s="79" t="s">
        <v>203</v>
      </c>
      <c r="K84" s="79" t="s">
        <v>98</v>
      </c>
      <c r="L84" s="79" t="s">
        <v>3</v>
      </c>
      <c r="Q84" s="6">
        <v>0</v>
      </c>
      <c r="R84" s="87">
        <f>IFERROR(Q84/$S$83,0)</f>
        <v>0</v>
      </c>
      <c r="S84" s="179"/>
    </row>
    <row r="85" spans="1:19" hidden="1" x14ac:dyDescent="0.25">
      <c r="A85" s="182"/>
      <c r="B85" s="175"/>
      <c r="C85" s="6">
        <v>0</v>
      </c>
      <c r="D85" s="6">
        <f t="shared" si="1"/>
        <v>0</v>
      </c>
      <c r="E85" s="6" t="e">
        <f t="array" aca="1" ref="E85" ca="1">SUMPRODUCT(Объекты!$E$3:$ACH$500*(Объекты!$ACI$3:$ACI$500=J85)*(ISNUMBER(Объекты!$E$1:$ACH$1))*(Объекты!$E$2:$ACH$2="Масса объекта"))</f>
        <v>#VALUE!</v>
      </c>
      <c r="F85" s="6" t="e">
        <f t="shared" ca="1" si="5"/>
        <v>#VALUE!</v>
      </c>
      <c r="G85" s="6" t="e">
        <f t="array" aca="1" ref="G85" ca="1">($C85-SUMPRODUCT(Объекты!$E$3:$ACH$500*(Объекты!$ACI$3:$ACI$500=J85)*(ISNUMBER(Объекты!$E$1:$ACH$1))*(Объекты!$E$2:$ACH$2="Масса объекта")))/(Объекты!$NN$1-'Распределение 1 полугодие'!$B$1)</f>
        <v>#VALUE!</v>
      </c>
      <c r="H85" s="87" t="e">
        <f t="shared" ca="1" si="4"/>
        <v>#VALUE!</v>
      </c>
      <c r="I85" s="81" t="s">
        <v>4</v>
      </c>
      <c r="J85" s="79" t="s">
        <v>204</v>
      </c>
      <c r="K85" s="79" t="s">
        <v>98</v>
      </c>
      <c r="L85" s="79" t="s">
        <v>3</v>
      </c>
      <c r="Q85" s="6">
        <v>0</v>
      </c>
      <c r="R85" s="87">
        <f>IFERROR(Q85/$S$83,0)</f>
        <v>0</v>
      </c>
      <c r="S85" s="179"/>
    </row>
    <row r="86" spans="1:19" x14ac:dyDescent="0.25">
      <c r="A86" s="182"/>
      <c r="B86" s="175"/>
      <c r="C86" s="6">
        <v>0</v>
      </c>
      <c r="D86" s="6">
        <f t="shared" si="1"/>
        <v>0</v>
      </c>
      <c r="E86" s="6" t="e">
        <f t="array" aca="1" ref="E86" ca="1">SUMPRODUCT(Объекты!$E$3:$ACH$500*(Объекты!$ACI$3:$ACI$500=J86)*(ISNUMBER(Объекты!$E$1:$ACH$1))*(Объекты!$E$2:$ACH$2="Масса объекта"))</f>
        <v>#VALUE!</v>
      </c>
      <c r="F86" s="6" t="e">
        <f t="shared" ca="1" si="5"/>
        <v>#VALUE!</v>
      </c>
      <c r="G86" s="6" t="e">
        <f t="array" aca="1" ref="G86" ca="1">($C86-SUMPRODUCT(Объекты!$E$3:$ACH$500*(Объекты!$ACI$3:$ACI$500=J86)*(ISNUMBER(Объекты!$E$1:$ACH$1))*(Объекты!$E$2:$ACH$2="Масса объекта")))/(Объекты!$NN$1-'Распределение 1 полугодие'!$B$1)</f>
        <v>#VALUE!</v>
      </c>
      <c r="H86" s="87" t="e">
        <f t="shared" ca="1" si="4"/>
        <v>#VALUE!</v>
      </c>
      <c r="I86" s="81" t="s">
        <v>8</v>
      </c>
      <c r="J86" s="79" t="s">
        <v>205</v>
      </c>
      <c r="K86" s="79" t="s">
        <v>98</v>
      </c>
      <c r="L86" s="79" t="s">
        <v>3</v>
      </c>
      <c r="Q86" s="6">
        <v>0</v>
      </c>
      <c r="R86" s="87">
        <f>IFERROR(Q86/$S$83,0)</f>
        <v>0</v>
      </c>
      <c r="S86" s="179"/>
    </row>
    <row r="87" spans="1:19" ht="45" hidden="1" x14ac:dyDescent="0.25">
      <c r="A87" s="182"/>
      <c r="B87" s="177"/>
      <c r="C87" s="6">
        <v>0</v>
      </c>
      <c r="D87" s="6">
        <f t="shared" si="1"/>
        <v>0</v>
      </c>
      <c r="E87" s="6" t="e">
        <f t="array" aca="1" ref="E87" ca="1">SUMPRODUCT(Объекты!$E$3:$ACH$500*(Объекты!$ACI$3:$ACI$500=J87)*(ISNUMBER(Объекты!$E$1:$ACH$1))*(Объекты!$E$2:$ACH$2="Масса объекта"))</f>
        <v>#VALUE!</v>
      </c>
      <c r="F87" s="6" t="e">
        <f t="shared" ca="1" si="5"/>
        <v>#VALUE!</v>
      </c>
      <c r="G87" s="6" t="e">
        <f t="array" aca="1" ref="G87" ca="1">($C87-SUMPRODUCT(Объекты!$E$3:$ACH$500*(Объекты!$ACI$3:$ACI$500=J87)*(ISNUMBER(Объекты!$E$1:$ACH$1))*(Объекты!$E$2:$ACH$2="Масса объекта")))/(Объекты!$NN$1-'Распределение 1 полугодие'!$B$1)</f>
        <v>#VALUE!</v>
      </c>
      <c r="H87" s="87" t="e">
        <f t="shared" ca="1" si="4"/>
        <v>#VALUE!</v>
      </c>
      <c r="I87" s="81" t="s">
        <v>9</v>
      </c>
      <c r="J87" s="79" t="s">
        <v>206</v>
      </c>
      <c r="K87" s="79" t="s">
        <v>98</v>
      </c>
      <c r="L87" s="79" t="s">
        <v>3</v>
      </c>
      <c r="Q87" s="6">
        <v>0</v>
      </c>
      <c r="R87" s="87">
        <f>IFERROR(Q87/$S$83,0)</f>
        <v>0</v>
      </c>
      <c r="S87" s="180"/>
    </row>
    <row r="101" s="79" customFormat="1" x14ac:dyDescent="0.25"/>
  </sheetData>
  <autoFilter ref="A2:S87" xr:uid="{00000000-0009-0000-0000-000002000000}">
    <filterColumn colId="8">
      <filters>
        <filter val="ООО &quot;Эко Плант&quot;"/>
      </filters>
    </filterColumn>
  </autoFilter>
  <mergeCells count="51">
    <mergeCell ref="A8:A12"/>
    <mergeCell ref="A13:A17"/>
    <mergeCell ref="A18:A22"/>
    <mergeCell ref="A3:A7"/>
    <mergeCell ref="A28:A32"/>
    <mergeCell ref="A23:A27"/>
    <mergeCell ref="A78:A82"/>
    <mergeCell ref="A83:A87"/>
    <mergeCell ref="A38:A42"/>
    <mergeCell ref="A48:A52"/>
    <mergeCell ref="A58:A62"/>
    <mergeCell ref="A68:A72"/>
    <mergeCell ref="A73:A77"/>
    <mergeCell ref="A43:A47"/>
    <mergeCell ref="S3:S7"/>
    <mergeCell ref="S18:S22"/>
    <mergeCell ref="S28:S32"/>
    <mergeCell ref="S38:S42"/>
    <mergeCell ref="S8:S12"/>
    <mergeCell ref="S13:S17"/>
    <mergeCell ref="S23:S27"/>
    <mergeCell ref="S48:S52"/>
    <mergeCell ref="S58:S62"/>
    <mergeCell ref="S68:S72"/>
    <mergeCell ref="S73:S77"/>
    <mergeCell ref="S78:S82"/>
    <mergeCell ref="B28:B32"/>
    <mergeCell ref="B33:B37"/>
    <mergeCell ref="B3:B7"/>
    <mergeCell ref="B8:B12"/>
    <mergeCell ref="B13:B17"/>
    <mergeCell ref="B18:B22"/>
    <mergeCell ref="B23:B27"/>
    <mergeCell ref="S43:S47"/>
    <mergeCell ref="B38:B42"/>
    <mergeCell ref="B43:B47"/>
    <mergeCell ref="A33:A37"/>
    <mergeCell ref="S33:S37"/>
    <mergeCell ref="B48:B52"/>
    <mergeCell ref="B53:B57"/>
    <mergeCell ref="B58:B62"/>
    <mergeCell ref="B63:B67"/>
    <mergeCell ref="A53:A57"/>
    <mergeCell ref="A63:A67"/>
    <mergeCell ref="B68:B72"/>
    <mergeCell ref="B73:B77"/>
    <mergeCell ref="B78:B82"/>
    <mergeCell ref="B83:B87"/>
    <mergeCell ref="S53:S57"/>
    <mergeCell ref="S63:S67"/>
    <mergeCell ref="S83:S87"/>
  </mergeCells>
  <conditionalFormatting sqref="I3:I87">
    <cfRule type="expression" dxfId="49" priority="8">
      <formula>$G3=0</formula>
    </cfRule>
  </conditionalFormatting>
  <conditionalFormatting sqref="C3:H87">
    <cfRule type="cellIs" dxfId="48" priority="10" operator="equal">
      <formula>0</formula>
    </cfRule>
    <cfRule type="cellIs" dxfId="47" priority="11" operator="lessThan">
      <formula>0</formula>
    </cfRule>
  </conditionalFormatting>
  <conditionalFormatting sqref="H3:H87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{B92893FB-1E2E-4C08-AFED-2ED8E408918B}</x14:id>
        </ext>
      </extLst>
    </cfRule>
  </conditionalFormatting>
  <conditionalFormatting sqref="Q3:Q87">
    <cfRule type="cellIs" dxfId="46" priority="4" operator="equal">
      <formula>0</formula>
    </cfRule>
    <cfRule type="cellIs" dxfId="45" priority="5" operator="lessThan">
      <formula>0</formula>
    </cfRule>
  </conditionalFormatting>
  <conditionalFormatting sqref="R3:R87">
    <cfRule type="cellIs" dxfId="44" priority="2" operator="equal">
      <formula>0</formula>
    </cfRule>
    <cfRule type="cellIs" dxfId="43" priority="3" operator="lessThan">
      <formula>0</formula>
    </cfRule>
  </conditionalFormatting>
  <pageMargins left="0.7" right="0.7" top="0.75" bottom="0.75" header="0.3" footer="0.3"/>
  <pageSetup paperSize="9" scale="34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2893FB-1E2E-4C08-AFED-2ED8E40891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H3:H87</xm:sqref>
        </x14:conditionalFormatting>
        <x14:conditionalFormatting xmlns:xm="http://schemas.microsoft.com/office/excel/2006/main">
          <x14:cfRule type="notContainsText" priority="1" operator="notContains" id="{A0CA7C3C-0E57-4718-9907-8066CC50148E}">
            <xm:f>ISERROR(SEARCH("Фактический вывоз с объектов",Q1))</xm:f>
            <xm:f>"Фактический вывоз с объектов"</xm:f>
            <x14:dxf>
              <font>
                <color auto="1"/>
              </font>
              <fill>
                <patternFill>
                  <bgColor rgb="FFFF5757"/>
                </patternFill>
              </fill>
            </x14:dxf>
          </x14:cfRule>
          <xm:sqref>Q1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O226"/>
  <sheetViews>
    <sheetView showGridLines="0" tabSelected="1" zoomScale="55" zoomScaleNormal="55" workbookViewId="0">
      <selection activeCell="L26" sqref="L26"/>
    </sheetView>
  </sheetViews>
  <sheetFormatPr defaultRowHeight="15" x14ac:dyDescent="0.25"/>
  <cols>
    <col min="1" max="1" width="21.85546875" style="93" customWidth="1"/>
    <col min="2" max="2" width="24" style="93" customWidth="1"/>
    <col min="3" max="13" width="20.28515625" style="93" customWidth="1"/>
    <col min="14" max="18" width="10.7109375" bestFit="1" customWidth="1"/>
  </cols>
  <sheetData>
    <row r="1" spans="1:15" x14ac:dyDescent="0.25">
      <c r="A1" s="96" t="s">
        <v>6</v>
      </c>
      <c r="B1" s="127" t="s">
        <v>257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5" ht="45" x14ac:dyDescent="0.25">
      <c r="A2" s="98" t="s">
        <v>21</v>
      </c>
      <c r="B2" s="99" t="s">
        <v>86</v>
      </c>
      <c r="C2" s="99" t="s">
        <v>87</v>
      </c>
      <c r="D2" s="99" t="s">
        <v>88</v>
      </c>
      <c r="E2" s="99" t="s">
        <v>89</v>
      </c>
      <c r="F2" s="99" t="s">
        <v>90</v>
      </c>
      <c r="G2" s="99" t="s">
        <v>91</v>
      </c>
      <c r="H2" s="99" t="s">
        <v>99</v>
      </c>
      <c r="I2" s="99" t="s">
        <v>100</v>
      </c>
      <c r="J2" s="99" t="s">
        <v>92</v>
      </c>
      <c r="K2" s="99" t="s">
        <v>101</v>
      </c>
      <c r="L2" s="99" t="s">
        <v>102</v>
      </c>
      <c r="M2" s="100" t="s">
        <v>98</v>
      </c>
      <c r="N2" s="103" t="s">
        <v>126</v>
      </c>
      <c r="O2" s="124"/>
    </row>
    <row r="3" spans="1:15" x14ac:dyDescent="0.25">
      <c r="A3" s="126">
        <v>45413</v>
      </c>
      <c r="B3" s="133" t="e" cm="1">
        <f t="array" aca="1" ref="B3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3" s="133" cm="1">
        <f t="array" aca="1" ref="C3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635.78</v>
      </c>
      <c r="D3" s="133" cm="1">
        <f t="array" aca="1" ref="D3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255.29999999999998</v>
      </c>
      <c r="E3" s="133" t="e" cm="1">
        <f t="array" aca="1" ref="E3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3" s="133" t="e" cm="1">
        <f t="array" aca="1" ref="F3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3" s="133" cm="1">
        <f t="array" aca="1" ref="G3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262.24</v>
      </c>
      <c r="H3" s="133" cm="1">
        <f t="array" aca="1" ref="H3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104.23</v>
      </c>
      <c r="I3" s="133" cm="1">
        <f t="array" aca="1" ref="I3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108.41000000000001</v>
      </c>
      <c r="J3" s="133" cm="1">
        <f t="array" aca="1" ref="J3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234.77999999999997</v>
      </c>
      <c r="K3" s="133" t="e" cm="1">
        <f t="array" aca="1" ref="K3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3" s="133" t="e" cm="1">
        <f t="array" aca="1" ref="L3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3" s="133" cm="1">
        <f t="array" aca="1" ref="M3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3" s="125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2041.2858082191781</v>
      </c>
      <c r="O3" s="124"/>
    </row>
    <row r="4" spans="1:15" x14ac:dyDescent="0.25">
      <c r="A4" s="134">
        <v>45414</v>
      </c>
      <c r="B4" s="135" t="e" cm="1">
        <f t="array" aca="1" ref="B4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4" s="135" cm="1">
        <f t="array" aca="1" ref="C4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728.6</v>
      </c>
      <c r="D4" s="135" cm="1">
        <f t="array" aca="1" ref="D4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271.60999999999996</v>
      </c>
      <c r="E4" s="135" t="e" cm="1">
        <f t="array" aca="1" ref="E4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4" s="135" t="e" cm="1">
        <f t="array" aca="1" ref="F4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4" s="135" cm="1">
        <f t="array" aca="1" ref="G4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238.33999999999997</v>
      </c>
      <c r="H4" s="135" cm="1">
        <f t="array" aca="1" ref="H4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85.19</v>
      </c>
      <c r="I4" s="135" cm="1">
        <f t="array" aca="1" ref="I4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111.88</v>
      </c>
      <c r="J4" s="135" cm="1">
        <f t="array" aca="1" ref="J4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205.66</v>
      </c>
      <c r="K4" s="135" t="e" cm="1">
        <f t="array" aca="1" ref="K4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4" s="135" t="e" cm="1">
        <f t="array" aca="1" ref="L4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4" s="135" cm="1">
        <f t="array" aca="1" ref="M4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4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2081.8258082191778</v>
      </c>
      <c r="O4" s="124"/>
    </row>
    <row r="5" spans="1:15" x14ac:dyDescent="0.25">
      <c r="A5" s="134">
        <v>45415</v>
      </c>
      <c r="B5" s="135" t="e" cm="1">
        <f t="array" aca="1" ref="B5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5" s="135" cm="1">
        <f t="array" aca="1" ref="C5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732.91</v>
      </c>
      <c r="D5" s="135" cm="1">
        <f t="array" aca="1" ref="D5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348.84</v>
      </c>
      <c r="E5" s="135" t="e" cm="1">
        <f t="array" aca="1" ref="E5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5" s="135" t="e" cm="1">
        <f t="array" aca="1" ref="F5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5" s="135" cm="1">
        <f t="array" aca="1" ref="G5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277.08000000000004</v>
      </c>
      <c r="H5" s="135" cm="1">
        <f t="array" aca="1" ref="H5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81.319999999999993</v>
      </c>
      <c r="I5" s="135" cm="1">
        <f t="array" aca="1" ref="I5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82.34</v>
      </c>
      <c r="J5" s="135" cm="1">
        <f t="array" aca="1" ref="J5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543.70000000000005</v>
      </c>
      <c r="K5" s="135" t="e" cm="1">
        <f t="array" aca="1" ref="K5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5" s="135" t="e" cm="1">
        <f t="array" aca="1" ref="L5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5" s="135" cm="1">
        <f t="array" aca="1" ref="M5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5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2506.7358082191777</v>
      </c>
      <c r="O5" s="124"/>
    </row>
    <row r="6" spans="1:15" x14ac:dyDescent="0.25">
      <c r="A6" s="134">
        <v>45416</v>
      </c>
      <c r="B6" s="135" t="e" cm="1">
        <f t="array" aca="1" ref="B6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6" s="135" cm="1">
        <f t="array" aca="1" ref="C6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734.93</v>
      </c>
      <c r="D6" s="135" cm="1">
        <f t="array" aca="1" ref="D6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248.09</v>
      </c>
      <c r="E6" s="135" t="e" cm="1">
        <f t="array" aca="1" ref="E6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6" s="135" t="e" cm="1">
        <f t="array" aca="1" ref="F6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6" s="135" cm="1">
        <f t="array" aca="1" ref="G6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373.88000000000005</v>
      </c>
      <c r="H6" s="135" cm="1">
        <f t="array" aca="1" ref="H6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54.04</v>
      </c>
      <c r="I6" s="135" cm="1">
        <f t="array" aca="1" ref="I6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28.94</v>
      </c>
      <c r="J6" s="135" cm="1">
        <f t="array" aca="1" ref="J6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202.83999999999997</v>
      </c>
      <c r="K6" s="135" t="e" cm="1">
        <f t="array" aca="1" ref="K6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6" s="135" t="e" cm="1">
        <f t="array" aca="1" ref="L6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6" s="135" cm="1">
        <f t="array" aca="1" ref="M6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6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2083.2658082191779</v>
      </c>
      <c r="O6" s="124"/>
    </row>
    <row r="7" spans="1:15" x14ac:dyDescent="0.25">
      <c r="A7" s="134">
        <v>45417</v>
      </c>
      <c r="B7" s="135" t="e" cm="1">
        <f t="array" aca="1" ref="B7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7" s="135" cm="1">
        <f t="array" aca="1" ref="C7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402.08</v>
      </c>
      <c r="D7" s="135" cm="1">
        <f t="array" aca="1" ref="D7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398.40999999999997</v>
      </c>
      <c r="E7" s="135" t="e" cm="1">
        <f t="array" aca="1" ref="E7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7" s="135" t="e" cm="1">
        <f t="array" aca="1" ref="F7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7" s="135" cm="1">
        <f t="array" aca="1" ref="G7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259.56</v>
      </c>
      <c r="H7" s="135" cm="1">
        <f t="array" aca="1" ref="H7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81.650000000000006</v>
      </c>
      <c r="I7" s="135" cm="1">
        <f t="array" aca="1" ref="I7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25.46</v>
      </c>
      <c r="J7" s="135" cm="1">
        <f t="array" aca="1" ref="J7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204.08</v>
      </c>
      <c r="K7" s="135" t="e" cm="1">
        <f t="array" aca="1" ref="K7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7" s="135" t="e" cm="1">
        <f t="array" aca="1" ref="L7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7" s="135" cm="1">
        <f t="array" aca="1" ref="M7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7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1811.7858082191781</v>
      </c>
      <c r="O7" s="124"/>
    </row>
    <row r="8" spans="1:15" x14ac:dyDescent="0.25">
      <c r="A8" s="134">
        <v>45418</v>
      </c>
      <c r="B8" s="135" t="e" cm="1">
        <f t="array" aca="1" ref="B8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8" s="135" cm="1">
        <f t="array" aca="1" ref="C8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430.24</v>
      </c>
      <c r="D8" s="135" cm="1">
        <f t="array" aca="1" ref="D8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402.6</v>
      </c>
      <c r="E8" s="135" t="e" cm="1">
        <f t="array" aca="1" ref="E8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8" s="135" t="e" cm="1">
        <f t="array" aca="1" ref="F8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8" s="135" cm="1">
        <f t="array" aca="1" ref="G8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247.2</v>
      </c>
      <c r="H8" s="135" cm="1">
        <f t="array" aca="1" ref="H8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108.28</v>
      </c>
      <c r="I8" s="135" cm="1">
        <f t="array" aca="1" ref="I8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83.86</v>
      </c>
      <c r="J8" s="135" cm="1">
        <f t="array" aca="1" ref="J8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201.22</v>
      </c>
      <c r="K8" s="135" t="e" cm="1">
        <f t="array" aca="1" ref="K8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8" s="135" t="e" cm="1">
        <f t="array" aca="1" ref="L8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8" s="135" cm="1">
        <f t="array" aca="1" ref="M8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8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1913.9458082191779</v>
      </c>
      <c r="O8" s="124"/>
    </row>
    <row r="9" spans="1:15" x14ac:dyDescent="0.25">
      <c r="A9" s="134">
        <v>45419</v>
      </c>
      <c r="B9" s="135" t="e" cm="1">
        <f t="array" aca="1" ref="B9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9" s="135" cm="1">
        <f t="array" aca="1" ref="C9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443.18</v>
      </c>
      <c r="D9" s="135" cm="1">
        <f t="array" aca="1" ref="D9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189.73999999999998</v>
      </c>
      <c r="E9" s="135" t="e" cm="1">
        <f t="array" aca="1" ref="E9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9" s="135" t="e" cm="1">
        <f t="array" aca="1" ref="F9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9" s="135" cm="1">
        <f t="array" aca="1" ref="G9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184.70000000000002</v>
      </c>
      <c r="H9" s="135" cm="1">
        <f t="array" aca="1" ref="H9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26.08</v>
      </c>
      <c r="I9" s="135" cm="1">
        <f t="array" aca="1" ref="I9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108.9</v>
      </c>
      <c r="J9" s="135" cm="1">
        <f t="array" aca="1" ref="J9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306.10000000000002</v>
      </c>
      <c r="K9" s="135" t="e" cm="1">
        <f t="array" aca="1" ref="K9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9" s="135" t="e" cm="1">
        <f t="array" aca="1" ref="L9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9" s="135" cm="1">
        <f t="array" aca="1" ref="M9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9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1699.2458082191781</v>
      </c>
      <c r="O9" s="124"/>
    </row>
    <row r="10" spans="1:15" x14ac:dyDescent="0.25">
      <c r="A10" s="134">
        <v>45420</v>
      </c>
      <c r="B10" s="135" t="e" cm="1">
        <f t="array" aca="1" ref="B10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10" s="135" cm="1">
        <f t="array" aca="1" ref="C10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490.46</v>
      </c>
      <c r="D10" s="135" cm="1">
        <f t="array" aca="1" ref="D10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289.05</v>
      </c>
      <c r="E10" s="135" t="e" cm="1">
        <f t="array" aca="1" ref="E10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0" s="135" t="e" cm="1">
        <f t="array" aca="1" ref="F10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0" s="135" cm="1">
        <f t="array" aca="1" ref="G10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293.77999999999997</v>
      </c>
      <c r="H10" s="135" cm="1">
        <f t="array" aca="1" ref="H10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58.33</v>
      </c>
      <c r="I10" s="135" cm="1">
        <f t="array" aca="1" ref="I10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60.18</v>
      </c>
      <c r="J10" s="135" cm="1">
        <f t="array" aca="1" ref="J10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229.08</v>
      </c>
      <c r="K10" s="135" t="e" cm="1">
        <f t="array" aca="1" ref="K10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0" s="135" t="e" cm="1">
        <f t="array" aca="1" ref="L10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0" s="135" cm="1">
        <f t="array" aca="1" ref="M10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0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1861.425808219178</v>
      </c>
      <c r="O10" s="124"/>
    </row>
    <row r="11" spans="1:15" x14ac:dyDescent="0.25">
      <c r="A11" s="134">
        <v>45421</v>
      </c>
      <c r="B11" s="135" t="e" cm="1">
        <f t="array" aca="1" ref="B11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11" s="135" cm="1">
        <f t="array" aca="1" ref="C11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620.88</v>
      </c>
      <c r="D11" s="135" cm="1">
        <f t="array" aca="1" ref="D11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281.20999999999998</v>
      </c>
      <c r="E11" s="135" t="e" cm="1">
        <f t="array" aca="1" ref="E11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1" s="135" t="e" cm="1">
        <f t="array" aca="1" ref="F11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1" s="135" cm="1">
        <f t="array" aca="1" ref="G11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237.36</v>
      </c>
      <c r="H11" s="135" cm="1">
        <f t="array" aca="1" ref="H11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51.56</v>
      </c>
      <c r="I11" s="135" t="e" cm="1">
        <f t="array" aca="1" ref="I11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#N/A</v>
      </c>
      <c r="J11" s="135" cm="1">
        <f t="array" aca="1" ref="J11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175.52</v>
      </c>
      <c r="K11" s="135" t="e" cm="1">
        <f t="array" aca="1" ref="K11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1" s="135" t="e" cm="1">
        <f t="array" aca="1" ref="L11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1" s="135" cm="1">
        <f t="array" aca="1" ref="M11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1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1807.0758082191778</v>
      </c>
      <c r="O11" s="124"/>
    </row>
    <row r="12" spans="1:15" x14ac:dyDescent="0.25">
      <c r="A12" s="134">
        <v>45422</v>
      </c>
      <c r="B12" s="135" t="e" cm="1">
        <f t="array" aca="1" ref="B12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12" s="135" cm="1">
        <f t="array" aca="1" ref="C12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614.16</v>
      </c>
      <c r="D12" s="135" cm="1">
        <f t="array" aca="1" ref="D12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275.45999999999998</v>
      </c>
      <c r="E12" s="135" t="e" cm="1">
        <f t="array" aca="1" ref="E12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2" s="135" t="e" cm="1">
        <f t="array" aca="1" ref="F12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2" s="135" cm="1">
        <f t="array" aca="1" ref="G12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280.47999999999996</v>
      </c>
      <c r="H12" s="135" cm="1">
        <f t="array" aca="1" ref="H12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56.59</v>
      </c>
      <c r="I12" s="135" cm="1">
        <f t="array" aca="1" ref="I12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89.679999999999993</v>
      </c>
      <c r="J12" s="135" cm="1">
        <f t="array" aca="1" ref="J12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228.68</v>
      </c>
      <c r="K12" s="135" t="e" cm="1">
        <f t="array" aca="1" ref="K12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2" s="135" t="e" cm="1">
        <f t="array" aca="1" ref="L12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2" s="135" cm="1">
        <f t="array" aca="1" ref="M12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2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1985.595808219178</v>
      </c>
      <c r="O12" s="124"/>
    </row>
    <row r="13" spans="1:15" x14ac:dyDescent="0.25">
      <c r="A13" s="134">
        <v>45423</v>
      </c>
      <c r="B13" s="135" t="e" cm="1">
        <f t="array" aca="1" ref="B13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13" s="135" cm="1">
        <f t="array" aca="1" ref="C13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477.72</v>
      </c>
      <c r="D13" s="135" cm="1">
        <f t="array" aca="1" ref="D13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318.64999999999998</v>
      </c>
      <c r="E13" s="135" t="e" cm="1">
        <f t="array" aca="1" ref="E13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3" s="135" t="e" cm="1">
        <f t="array" aca="1" ref="F13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3" s="135" cm="1">
        <f t="array" aca="1" ref="G13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187.78</v>
      </c>
      <c r="H13" s="135" cm="1">
        <f t="array" aca="1" ref="H13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111.25</v>
      </c>
      <c r="I13" s="135" cm="1">
        <f t="array" aca="1" ref="I13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25.28</v>
      </c>
      <c r="J13" s="135" cm="1">
        <f t="array" aca="1" ref="J13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250.75</v>
      </c>
      <c r="K13" s="135" t="e" cm="1">
        <f t="array" aca="1" ref="K13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3" s="135" t="e" cm="1">
        <f t="array" aca="1" ref="L13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3" s="135" cm="1">
        <f t="array" aca="1" ref="M13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3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1811.9758082191781</v>
      </c>
      <c r="O13" s="124"/>
    </row>
    <row r="14" spans="1:15" x14ac:dyDescent="0.25">
      <c r="A14" s="134">
        <v>45424</v>
      </c>
      <c r="B14" s="135" t="e" cm="1">
        <f t="array" aca="1" ref="B14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14" s="135" cm="1">
        <f t="array" aca="1" ref="C14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321.83999999999997</v>
      </c>
      <c r="D14" s="135" cm="1">
        <f t="array" aca="1" ref="D14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382.12</v>
      </c>
      <c r="E14" s="135" t="e" cm="1">
        <f t="array" aca="1" ref="E14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4" s="135" t="e" cm="1">
        <f t="array" aca="1" ref="F14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4" s="135" cm="1">
        <f t="array" aca="1" ref="G14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306.38000000000005</v>
      </c>
      <c r="H14" s="135" cm="1">
        <f t="array" aca="1" ref="H14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55.01</v>
      </c>
      <c r="I14" s="135" cm="1">
        <f t="array" aca="1" ref="I14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24.3</v>
      </c>
      <c r="J14" s="135" cm="1">
        <f t="array" aca="1" ref="J14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132.19999999999999</v>
      </c>
      <c r="K14" s="135" t="e" cm="1">
        <f t="array" aca="1" ref="K14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4" s="135" t="e" cm="1">
        <f t="array" aca="1" ref="L14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4" s="135" cm="1">
        <f t="array" aca="1" ref="M14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4" s="136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1662.3958082191782</v>
      </c>
      <c r="O14" s="124"/>
    </row>
    <row r="15" spans="1:15" x14ac:dyDescent="0.25">
      <c r="A15" s="138">
        <v>45425</v>
      </c>
      <c r="B15" s="139" t="e" cm="1">
        <f t="array" aca="1" ref="B15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#N/A</v>
      </c>
      <c r="C15" s="139" cm="1">
        <f t="array" aca="1" ref="C15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356.64</v>
      </c>
      <c r="D15" s="139" cm="1">
        <f t="array" aca="1" ref="D15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284.75</v>
      </c>
      <c r="E15" s="139" t="e" cm="1">
        <f t="array" aca="1" ref="E15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5" s="139" t="e" cm="1">
        <f t="array" aca="1" ref="F15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5" s="139" cm="1">
        <f t="array" aca="1" ref="G15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235.18000000000004</v>
      </c>
      <c r="H15" s="139" cm="1">
        <f t="array" aca="1" ref="H15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108.99</v>
      </c>
      <c r="I15" s="139" cm="1">
        <f t="array" aca="1" ref="I15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29.42</v>
      </c>
      <c r="J15" s="139" cm="1">
        <f t="array" aca="1" ref="J15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180.56</v>
      </c>
      <c r="K15" s="139" t="e" cm="1">
        <f t="array" aca="1" ref="K15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5" s="139" t="e" cm="1">
        <f t="array" aca="1" ref="L15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5" s="139" cm="1">
        <f t="array" aca="1" ref="M15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5" s="140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1636.085808219178</v>
      </c>
      <c r="O15" s="124"/>
    </row>
    <row r="16" spans="1:15" x14ac:dyDescent="0.25">
      <c r="A16" s="185">
        <v>45426</v>
      </c>
      <c r="B16" s="186" cm="1">
        <f t="array" aca="1" ref="B16" ca="1">IF((SUMPRODUCT(Объекты!$E$3:$ACH$115*(Объекты!$ACJ$3:$ACJ$115=Графики!B$2)*(Объекты!$E$1:$ACH$1=ВвозНовыйСвет[[#This Row],[Дата]])*(Объекты!$D$3:$D$115=$A$1)*(Объекты!$E$2:$ACH$2="Масса объекта")))=0,NA(),SUMPRODUCT(Объекты!$E$3:$ACH$115*(Объекты!$ACJ$3:$ACJ$115=Графики!B$2)*(Объекты!$E$1:$ACH$1=ВвозНовыйСвет[[#This Row],[Дата]])*(Объекты!$D$3:$D$115=$A$1)*(Объекты!$E$2:$ACH$2="Масса объекта")))</f>
        <v>231.38000000000002</v>
      </c>
      <c r="C16" s="186" t="e" cm="1">
        <f t="array" aca="1" ref="C16" ca="1">IF((SUMPRODUCT(Объекты!$E$3:$ACH$115*(Объекты!$ACJ$3:$ACJ$115=Графики!C$2)*(Объекты!$E$1:$ACH$1=ВвозНовыйСвет[[#This Row],[Дата]])*(Объекты!$D$3:$D$115=$A$1)*(Объекты!$E$2:$ACH$2="Масса объекта")))=0,NA(),SUMPRODUCT(Объекты!$E$3:$ACH$115*(Объекты!$ACJ$3:$ACJ$115=Графики!C$2)*(Объекты!$E$1:$ACH$1=ВвозНовыйСвет[[#This Row],[Дата]])*(Объекты!$D$3:$D$115=$A$1)*(Объекты!$E$2:$ACH$2="Масса объекта")))</f>
        <v>#N/A</v>
      </c>
      <c r="D16" s="186" cm="1">
        <f t="array" aca="1" ref="D16" ca="1">IF((SUMPRODUCT(Объекты!$E$3:$ACH$115*(Объекты!$ACJ$3:$ACJ$115=Графики!D$2)*(Объекты!$E$1:$ACH$1=ВвозНовыйСвет[[#This Row],[Дата]])*(Объекты!$D$3:$D$115=$A$1)*(Объекты!$E$2:$ACH$2="Масса объекта")))=0,NA(),SUMPRODUCT(Объекты!$E$3:$ACH$115*(Объекты!$ACJ$3:$ACJ$115=Графики!D$2)*(Объекты!$E$1:$ACH$1=ВвозНовыйСвет[[#This Row],[Дата]])*(Объекты!$D$3:$D$115=$A$1)*(Объекты!$E$2:$ACH$2="Масса объекта")))</f>
        <v>107.78</v>
      </c>
      <c r="E16" s="186" t="e" cm="1">
        <f t="array" aca="1" ref="E16" ca="1">IF((SUMPRODUCT(Объекты!$E$3:$ACH$115*(Объекты!$ACJ$3:$ACJ$115=Графики!E$2)*(Объекты!$E$1:$ACH$1=ВвозНовыйСвет[[#This Row],[Дата]])*(Объекты!$D$3:$D$115=$A$1)*(Объекты!$E$2:$ACH$2="Масса объекта")))=0,NA(),SUMPRODUCT(Объекты!$E$3:$ACH$115*(Объекты!$ACJ$3:$ACJ$115=Графики!E$2)*(Объекты!$E$1:$ACH$1=ВвозНовыйСвет[[#This Row],[Дата]])*(Объекты!$D$3:$D$115=$A$1)*(Объекты!$E$2:$ACH$2="Масса объекта")))</f>
        <v>#N/A</v>
      </c>
      <c r="F16" s="186" t="e" cm="1">
        <f t="array" aca="1" ref="F16" ca="1">IF((SUMPRODUCT(Объекты!$E$3:$ACH$115*(Объекты!$ACJ$3:$ACJ$115=Графики!F$2)*(Объекты!$E$1:$ACH$1=ВвозНовыйСвет[[#This Row],[Дата]])*(Объекты!$D$3:$D$115=$A$1)*(Объекты!$E$2:$ACH$2="Масса объекта")))=0,NA(),SUMPRODUCT(Объекты!$E$3:$ACH$115*(Объекты!$ACJ$3:$ACJ$115=Графики!F$2)*(Объекты!$E$1:$ACH$1=ВвозНовыйСвет[[#This Row],[Дата]])*(Объекты!$D$3:$D$115=$A$1)*(Объекты!$E$2:$ACH$2="Масса объекта")))</f>
        <v>#N/A</v>
      </c>
      <c r="G16" s="186" t="e" cm="1">
        <f t="array" aca="1" ref="G16" ca="1">IF((SUMPRODUCT(Объекты!$E$3:$ACH$115*(Объекты!$ACJ$3:$ACJ$115=Графики!G$2)*(Объекты!$E$1:$ACH$1=ВвозНовыйСвет[[#This Row],[Дата]])*(Объекты!$D$3:$D$115=$A$1)*(Объекты!$E$2:$ACH$2="Масса объекта")))=0,NA(),SUMPRODUCT(Объекты!$E$3:$ACH$115*(Объекты!$ACJ$3:$ACJ$115=Графики!G$2)*(Объекты!$E$1:$ACH$1=ВвозНовыйСвет[[#This Row],[Дата]])*(Объекты!$D$3:$D$115=$A$1)*(Объекты!$E$2:$ACH$2="Масса объекта")))</f>
        <v>#N/A</v>
      </c>
      <c r="H16" s="186" t="e" cm="1">
        <f t="array" aca="1" ref="H16" ca="1">IF((SUMPRODUCT(Объекты!$E$3:$ACH$115*(Объекты!$ACJ$3:$ACJ$115=Графики!H$2)*(Объекты!$E$1:$ACH$1=ВвозНовыйСвет[[#This Row],[Дата]])*(Объекты!$D$3:$D$115=$A$1)*(Объекты!$E$2:$ACH$2="Масса объекта")))=0,NA(),SUMPRODUCT(Объекты!$E$3:$ACH$115*(Объекты!$ACJ$3:$ACJ$115=Графики!H$2)*(Объекты!$E$1:$ACH$1=ВвозНовыйСвет[[#This Row],[Дата]])*(Объекты!$D$3:$D$115=$A$1)*(Объекты!$E$2:$ACH$2="Масса объекта")))</f>
        <v>#N/A</v>
      </c>
      <c r="I16" s="186" t="e" cm="1">
        <f t="array" aca="1" ref="I16" ca="1">IF((SUMPRODUCT(Объекты!$E$3:$ACH$115*(Объекты!$ACJ$3:$ACJ$115=Графики!I$2)*(Объекты!$E$1:$ACH$1=ВвозНовыйСвет[[#This Row],[Дата]])*(Объекты!$D$3:$D$115=$A$1)*(Объекты!$E$2:$ACH$2="Масса объекта")))=0,NA(),SUMPRODUCT(Объекты!$E$3:$ACH$115*(Объекты!$ACJ$3:$ACJ$115=Графики!I$2)*(Объекты!$E$1:$ACH$1=ВвозНовыйСвет[[#This Row],[Дата]])*(Объекты!$D$3:$D$115=$A$1)*(Объекты!$E$2:$ACH$2="Масса объекта")))</f>
        <v>#N/A</v>
      </c>
      <c r="J16" s="186" t="e" cm="1">
        <f t="array" aca="1" ref="J16" ca="1">IF((SUMPRODUCT(Объекты!$E$3:$ACH$115*(Объекты!$ACJ$3:$ACJ$115=Графики!J$2)*(Объекты!$E$1:$ACH$1=ВвозНовыйСвет[[#This Row],[Дата]])*(Объекты!$D$3:$D$115=$A$1)*(Объекты!$E$2:$ACH$2="Масса объекта")))=0,NA(),SUMPRODUCT(Объекты!$E$3:$ACH$115*(Объекты!$ACJ$3:$ACJ$115=Графики!J$2)*(Объекты!$E$1:$ACH$1=ВвозНовыйСвет[[#This Row],[Дата]])*(Объекты!$D$3:$D$115=$A$1)*(Объекты!$E$2:$ACH$2="Масса объекта")))</f>
        <v>#N/A</v>
      </c>
      <c r="K16" s="186" t="e" cm="1">
        <f t="array" aca="1" ref="K16" ca="1">IF((SUMPRODUCT(Объекты!$E$3:$ACH$115*(Объекты!$ACJ$3:$ACJ$115=Графики!K$2)*(Объекты!$E$1:$ACH$1=ВвозНовыйСвет[[#This Row],[Дата]])*(Объекты!$D$3:$D$115=$A$1)*(Объекты!$E$2:$ACH$2="Масса объекта")))=0,NA(),SUMPRODUCT(Объекты!$E$3:$ACH$115*(Объекты!$ACJ$3:$ACJ$115=Графики!K$2)*(Объекты!$E$1:$ACH$1=ВвозНовыйСвет[[#This Row],[Дата]])*(Объекты!$D$3:$D$115=$A$1)*(Объекты!$E$2:$ACH$2="Масса объекта")))</f>
        <v>#N/A</v>
      </c>
      <c r="L16" s="186" t="e" cm="1">
        <f t="array" aca="1" ref="L16" ca="1">IF((SUMPRODUCT(Объекты!$E$3:$ACH$115*(Объекты!$ACJ$3:$ACJ$115=Графики!L$2)*(Объекты!$E$1:$ACH$1=ВвозНовыйСвет[[#This Row],[Дата]])*(Объекты!$D$3:$D$115=$A$1)*(Объекты!$E$2:$ACH$2="Масса объекта")))=0,NA(),SUMPRODUCT(Объекты!$E$3:$ACH$115*(Объекты!$ACJ$3:$ACJ$115=Графики!L$2)*(Объекты!$E$1:$ACH$1=ВвозНовыйСвет[[#This Row],[Дата]])*(Объекты!$D$3:$D$115=$A$1)*(Объекты!$E$2:$ACH$2="Масса объекта")))</f>
        <v>#N/A</v>
      </c>
      <c r="M16" s="186" cm="1">
        <f t="array" aca="1" ref="M16" ca="1">IF((SUMPRODUCT(Объекты!$E$3:$ACH$115*(Объекты!$ACJ$3:$ACJ$115=Графики!M$2)*(Объекты!$E$1:$ACH$1=ВвозНовыйСвет[[#This Row],[Дата]])*(Объекты!$D$3:$D$115=$A$1)*(Объекты!$E$2:$ACH$2="Масса объекта")))=0,NA(),SUMPRODUCT(Объекты!$E$3:$ACH$115*(Объекты!$ACJ$3:$ACJ$115=Графики!M$2)*(Объекты!$E$1:$ACH$1=ВвозНовыйСвет[[#This Row],[Дата]])*(Объекты!$D$3:$D$115=$A$1)*(Объекты!$E$2:$ACH$2="Масса объекта")))</f>
        <v>440.54580821917801</v>
      </c>
      <c r="N16" s="187">
        <f ca="1">SUMIF(ВвозНовыйСвет[[#This Row],[Волхонка АО "Невский экологический оператор"]:[Прямой вывоз]],"&lt;&gt;#Н/Д",ВвозНовыйСвет[[#This Row],[Волхонка АО "Невский экологический оператор"]:[Прямой вывоз]])</f>
        <v>779.70580821917804</v>
      </c>
      <c r="O16" s="124"/>
    </row>
    <row r="17" spans="1:15" x14ac:dyDescent="0.25">
      <c r="A17" s="126" t="s">
        <v>37</v>
      </c>
      <c r="B17" s="131">
        <f ca="1">SUMIF(ВвозНовыйСвет[Волхонка АО "Невский экологический оператор"],"&lt;&gt;#Н/Д",ВвозНовыйСвет[Волхонка АО "Невский экологический оператор"])</f>
        <v>231.38000000000002</v>
      </c>
      <c r="C17" s="131">
        <f ca="1">SUMIF(ВвозНовыйСвет[Грузовой АО "Автопарк №1 Спецтранс"],"&lt;&gt;#Н/Д",ВвозНовыйСвет[Грузовой АО "Автопарк №1 Спецтранс"])</f>
        <v>6989.420000000001</v>
      </c>
      <c r="D17" s="131">
        <f ca="1">SUMIF(ВвозНовыйСвет[ООО "ТЭК"],"&lt;&gt;#Н/Д",ВвозНовыйСвет[ООО "ТЭК"])</f>
        <v>4053.61</v>
      </c>
      <c r="E17" s="131">
        <f ca="1">SUMIF(ВвозНовыйСвет[ООО "Эко Лэнд"],"&lt;&gt;#Н/Д",ВвозНовыйСвет[ООО "Эко Лэнд"])</f>
        <v>0</v>
      </c>
      <c r="F17" s="131">
        <f ca="1">SUMIF(ВвозНовыйСвет[Парнас ООО "Эковаст"],"&lt;&gt;#Н/Д",ВвозНовыйСвет[Парнас ООО "Эковаст"])</f>
        <v>0</v>
      </c>
      <c r="G17" s="131">
        <f ca="1">SUMIF(ВвозНовыйСвет[Предпортовый ООО "Новый Свет.ЭКО"],"&lt;&gt;#Н/Д",ВвозНовыйСвет[Предпортовый ООО "Новый Свет.ЭКО"])</f>
        <v>3383.9600000000005</v>
      </c>
      <c r="H17" s="131">
        <f ca="1">SUMIF(ВвозНовыйСвет[Рыбацкое ООО "Эковаст"],"&lt;&gt;#Н/Д",ВвозНовыйСвет[Рыбацкое ООО "Эковаст"])</f>
        <v>982.5200000000001</v>
      </c>
      <c r="I17" s="131">
        <f ca="1">SUMIF(ВвозНовыйСвет[Софийская ООО "Эковаст"],"&lt;&gt;#Н/Д",ВвозНовыйСвет[Софийская ООО "Эковаст"])</f>
        <v>778.64999999999975</v>
      </c>
      <c r="J17" s="131">
        <f ca="1">SUMIF(ВвозНовыйСвет[Старообрядческая ООО "Новый Свет-ЭКО"],"&lt;&gt;#Н/Д",ВвозНовыйСвет[Старообрядческая ООО "Новый Свет-ЭКО"])</f>
        <v>3095.1699999999996</v>
      </c>
      <c r="K17" s="131">
        <f ca="1">SUMIF(ВвозНовыйСвет[Уманский ООО "ПСК "Ржевка"],"&lt;&gt;#Н/Д",ВвозНовыйСвет[Уманский ООО "ПСК "Ржевка"])</f>
        <v>0</v>
      </c>
      <c r="L17" s="131">
        <f ca="1">SUMIF(ВвозНовыйСвет[Уткина заводь ООО "Гамма"],"&lt;&gt;#Н/Д",ВвозНовыйСвет[Уткина заводь ООО "Гамма"])</f>
        <v>0</v>
      </c>
      <c r="M17" s="131">
        <f ca="1">SUMIF(ВвозНовыйСвет[Прямой вывоз],"&lt;&gt;#Н/Д",ВвозНовыйСвет[Прямой вывоз])</f>
        <v>6167.6413150684921</v>
      </c>
      <c r="N17" s="125">
        <f ca="1">SUM(ВвозНовыйСвет[Итого])</f>
        <v>25682.351315068492</v>
      </c>
      <c r="O17" s="124"/>
    </row>
    <row r="18" spans="1:15" x14ac:dyDescent="0.25">
      <c r="O18" s="124"/>
    </row>
    <row r="19" spans="1:15" x14ac:dyDescent="0.25">
      <c r="A19" s="129" t="str">
        <f ca="1">"Среднесуточный ввоз - "&amp;TEXT(ROUND(AVERAGE(ВвозНовыйСвет[Итого]),2),"# ##0,00")</f>
        <v>Среднесуточный ввоз - 1 834,45</v>
      </c>
      <c r="O19" s="124"/>
    </row>
    <row r="20" spans="1:15" x14ac:dyDescent="0.25">
      <c r="O20" s="124"/>
    </row>
    <row r="21" spans="1:15" x14ac:dyDescent="0.25">
      <c r="L21" s="105"/>
      <c r="O21" s="124"/>
    </row>
    <row r="22" spans="1:15" x14ac:dyDescent="0.25">
      <c r="O22" s="124"/>
    </row>
    <row r="23" spans="1:15" x14ac:dyDescent="0.25">
      <c r="O23" s="124"/>
    </row>
    <row r="24" spans="1:15" x14ac:dyDescent="0.25">
      <c r="O24" s="124"/>
    </row>
    <row r="25" spans="1:15" x14ac:dyDescent="0.25">
      <c r="O25" s="124"/>
    </row>
    <row r="26" spans="1:15" x14ac:dyDescent="0.25">
      <c r="O26" s="124"/>
    </row>
    <row r="27" spans="1:15" x14ac:dyDescent="0.25">
      <c r="O27" s="124"/>
    </row>
    <row r="28" spans="1:15" x14ac:dyDescent="0.25">
      <c r="O28" s="124"/>
    </row>
    <row r="29" spans="1:15" x14ac:dyDescent="0.25">
      <c r="O29" s="124"/>
    </row>
    <row r="30" spans="1:15" x14ac:dyDescent="0.25">
      <c r="O30" s="124"/>
    </row>
    <row r="31" spans="1:15" x14ac:dyDescent="0.25">
      <c r="D31" s="130"/>
      <c r="O31" s="124"/>
    </row>
    <row r="32" spans="1:15" x14ac:dyDescent="0.25">
      <c r="O32" s="124"/>
    </row>
    <row r="33" spans="15:15" x14ac:dyDescent="0.25">
      <c r="O33" s="124"/>
    </row>
    <row r="34" spans="15:15" x14ac:dyDescent="0.25">
      <c r="O34" s="124"/>
    </row>
    <row r="35" spans="15:15" x14ac:dyDescent="0.25">
      <c r="O35" s="124"/>
    </row>
    <row r="36" spans="15:15" x14ac:dyDescent="0.25">
      <c r="O36" s="124"/>
    </row>
    <row r="37" spans="15:15" x14ac:dyDescent="0.25">
      <c r="O37" s="124"/>
    </row>
    <row r="38" spans="15:15" x14ac:dyDescent="0.25">
      <c r="O38" s="124"/>
    </row>
    <row r="39" spans="15:15" x14ac:dyDescent="0.25">
      <c r="O39" s="124"/>
    </row>
    <row r="40" spans="15:15" x14ac:dyDescent="0.25">
      <c r="O40" s="124"/>
    </row>
    <row r="41" spans="15:15" x14ac:dyDescent="0.25">
      <c r="O41" s="124"/>
    </row>
    <row r="42" spans="15:15" x14ac:dyDescent="0.25">
      <c r="O42" s="124"/>
    </row>
    <row r="43" spans="15:15" x14ac:dyDescent="0.25">
      <c r="O43" s="124"/>
    </row>
    <row r="44" spans="15:15" x14ac:dyDescent="0.25">
      <c r="O44" s="124"/>
    </row>
    <row r="45" spans="15:15" x14ac:dyDescent="0.25">
      <c r="O45" s="124"/>
    </row>
    <row r="46" spans="15:15" x14ac:dyDescent="0.25">
      <c r="O46" s="124"/>
    </row>
    <row r="47" spans="15:15" x14ac:dyDescent="0.25">
      <c r="O47" s="124"/>
    </row>
    <row r="48" spans="15:15" x14ac:dyDescent="0.25">
      <c r="O48" s="124"/>
    </row>
    <row r="49" spans="1:15" x14ac:dyDescent="0.25">
      <c r="O49" s="124"/>
    </row>
    <row r="50" spans="1:15" x14ac:dyDescent="0.25">
      <c r="O50" s="124"/>
    </row>
    <row r="51" spans="1:15" x14ac:dyDescent="0.25">
      <c r="O51" s="124"/>
    </row>
    <row r="52" spans="1:15" x14ac:dyDescent="0.25">
      <c r="O52" s="124"/>
    </row>
    <row r="53" spans="1:15" x14ac:dyDescent="0.25">
      <c r="A53" s="96" t="s">
        <v>7</v>
      </c>
      <c r="B53" s="127" t="s">
        <v>258</v>
      </c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124"/>
    </row>
    <row r="54" spans="1:15" ht="45" x14ac:dyDescent="0.25">
      <c r="A54" s="101" t="s">
        <v>21</v>
      </c>
      <c r="B54" s="99" t="s">
        <v>86</v>
      </c>
      <c r="C54" s="99" t="s">
        <v>87</v>
      </c>
      <c r="D54" s="99" t="s">
        <v>88</v>
      </c>
      <c r="E54" s="99" t="s">
        <v>89</v>
      </c>
      <c r="F54" s="99" t="s">
        <v>90</v>
      </c>
      <c r="G54" s="99" t="s">
        <v>91</v>
      </c>
      <c r="H54" s="99" t="s">
        <v>99</v>
      </c>
      <c r="I54" s="99" t="s">
        <v>100</v>
      </c>
      <c r="J54" s="99" t="s">
        <v>92</v>
      </c>
      <c r="K54" s="99" t="s">
        <v>101</v>
      </c>
      <c r="L54" s="99" t="s">
        <v>102</v>
      </c>
      <c r="M54" s="100" t="s">
        <v>98</v>
      </c>
      <c r="N54" s="100" t="s">
        <v>126</v>
      </c>
      <c r="O54" s="124"/>
    </row>
    <row r="55" spans="1:15" x14ac:dyDescent="0.25">
      <c r="A55" s="126">
        <v>45413</v>
      </c>
      <c r="B55" s="133" t="e" cm="1">
        <f t="array" aca="1" ref="B55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55" s="133" t="e" cm="1">
        <f t="array" aca="1" ref="C55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55" s="133" t="e" cm="1">
        <f t="array" aca="1" ref="D55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55" s="133" t="e" cm="1">
        <f t="array" aca="1" ref="E55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55" s="133" cm="1">
        <f t="array" aca="1" ref="F55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87.98</v>
      </c>
      <c r="G55" s="133" t="e" cm="1">
        <f t="array" aca="1" ref="G55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55" s="133" t="e" cm="1">
        <f t="array" aca="1" ref="H55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55" s="133" t="e" cm="1">
        <f t="array" aca="1" ref="I55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55" s="133" t="e" cm="1">
        <f t="array" aca="1" ref="J55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55" s="133" cm="1">
        <f t="array" aca="1" ref="K55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396.22000000000008</v>
      </c>
      <c r="L55" s="133" t="e" cm="1">
        <f t="array" aca="1" ref="L55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55" s="133" t="e" cm="1">
        <f t="array" aca="1" ref="M55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55" s="125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484.2000000000001</v>
      </c>
      <c r="O55" s="124"/>
    </row>
    <row r="56" spans="1:15" x14ac:dyDescent="0.25">
      <c r="A56" s="134">
        <v>45414</v>
      </c>
      <c r="B56" s="135" t="e" cm="1">
        <f t="array" aca="1" ref="B56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56" s="135" t="e" cm="1">
        <f t="array" aca="1" ref="C56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56" s="135" t="e" cm="1">
        <f t="array" aca="1" ref="D56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56" s="135" t="e" cm="1">
        <f t="array" aca="1" ref="E56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56" s="135" cm="1">
        <f t="array" aca="1" ref="F56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158.35999999999999</v>
      </c>
      <c r="G56" s="135" t="e" cm="1">
        <f t="array" aca="1" ref="G56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56" s="135" t="e" cm="1">
        <f t="array" aca="1" ref="H56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56" s="135" t="e" cm="1">
        <f t="array" aca="1" ref="I56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56" s="135" t="e" cm="1">
        <f t="array" aca="1" ref="J56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56" s="135" cm="1">
        <f t="array" aca="1" ref="K56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329.67999999999995</v>
      </c>
      <c r="L56" s="135" t="e" cm="1">
        <f t="array" aca="1" ref="L56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56" s="135" t="e" cm="1">
        <f t="array" aca="1" ref="M56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56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488.03999999999996</v>
      </c>
      <c r="O56" s="124"/>
    </row>
    <row r="57" spans="1:15" x14ac:dyDescent="0.25">
      <c r="A57" s="134">
        <v>45415</v>
      </c>
      <c r="B57" s="135" t="e" cm="1">
        <f t="array" aca="1" ref="B57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57" s="135" t="e" cm="1">
        <f t="array" aca="1" ref="C57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57" s="135" t="e" cm="1">
        <f t="array" aca="1" ref="D57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57" s="135" t="e" cm="1">
        <f t="array" aca="1" ref="E57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57" s="135" cm="1">
        <f t="array" aca="1" ref="F57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80.8</v>
      </c>
      <c r="G57" s="135" t="e" cm="1">
        <f t="array" aca="1" ref="G57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57" s="135" t="e" cm="1">
        <f t="array" aca="1" ref="H57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57" s="135" t="e" cm="1">
        <f t="array" aca="1" ref="I57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57" s="135" t="e" cm="1">
        <f t="array" aca="1" ref="J57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57" s="135" cm="1">
        <f t="array" aca="1" ref="K57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423.94000000000005</v>
      </c>
      <c r="L57" s="135" t="e" cm="1">
        <f t="array" aca="1" ref="L57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57" s="135" t="e" cm="1">
        <f t="array" aca="1" ref="M57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57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504.74000000000007</v>
      </c>
      <c r="O57" s="124"/>
    </row>
    <row r="58" spans="1:15" x14ac:dyDescent="0.25">
      <c r="A58" s="134">
        <v>45416</v>
      </c>
      <c r="B58" s="135" t="e" cm="1">
        <f t="array" aca="1" ref="B58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58" s="135" t="e" cm="1">
        <f t="array" aca="1" ref="C58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58" s="135" t="e" cm="1">
        <f t="array" aca="1" ref="D58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58" s="135" t="e" cm="1">
        <f t="array" aca="1" ref="E58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58" s="135" t="e" cm="1">
        <f t="array" aca="1" ref="F58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58" s="135" t="e" cm="1">
        <f t="array" aca="1" ref="G58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58" s="135" t="e" cm="1">
        <f t="array" aca="1" ref="H58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58" s="135" t="e" cm="1">
        <f t="array" aca="1" ref="I58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58" s="135" t="e" cm="1">
        <f t="array" aca="1" ref="J58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58" s="135" cm="1">
        <f t="array" aca="1" ref="K58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345.31999999999994</v>
      </c>
      <c r="L58" s="135" t="e" cm="1">
        <f t="array" aca="1" ref="L58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58" s="135" t="e" cm="1">
        <f t="array" aca="1" ref="M58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58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345.31999999999994</v>
      </c>
      <c r="O58" s="124"/>
    </row>
    <row r="59" spans="1:15" x14ac:dyDescent="0.25">
      <c r="A59" s="134">
        <v>45417</v>
      </c>
      <c r="B59" s="135" t="e" cm="1">
        <f t="array" aca="1" ref="B59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59" s="135" t="e" cm="1">
        <f t="array" aca="1" ref="C59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59" s="135" t="e" cm="1">
        <f t="array" aca="1" ref="D59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59" s="135" t="e" cm="1">
        <f t="array" aca="1" ref="E59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59" s="135" t="e" cm="1">
        <f t="array" aca="1" ref="F59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59" s="135" t="e" cm="1">
        <f t="array" aca="1" ref="G59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59" s="135" t="e" cm="1">
        <f t="array" aca="1" ref="H59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59" s="135" t="e" cm="1">
        <f t="array" aca="1" ref="I59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59" s="135" t="e" cm="1">
        <f t="array" aca="1" ref="J59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59" s="135" cm="1">
        <f t="array" aca="1" ref="K59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327.7399999999999</v>
      </c>
      <c r="L59" s="135" t="e" cm="1">
        <f t="array" aca="1" ref="L59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59" s="135" t="e" cm="1">
        <f t="array" aca="1" ref="M59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59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327.7399999999999</v>
      </c>
      <c r="O59" s="124"/>
    </row>
    <row r="60" spans="1:15" x14ac:dyDescent="0.25">
      <c r="A60" s="134">
        <v>45418</v>
      </c>
      <c r="B60" s="135" t="e" cm="1">
        <f t="array" aca="1" ref="B60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0" s="135" t="e" cm="1">
        <f t="array" aca="1" ref="C60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0" s="135" t="e" cm="1">
        <f t="array" aca="1" ref="D60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0" s="135" t="e" cm="1">
        <f t="array" aca="1" ref="E60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0" s="135" cm="1">
        <f t="array" aca="1" ref="F60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19.8</v>
      </c>
      <c r="G60" s="135" t="e" cm="1">
        <f t="array" aca="1" ref="G60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0" s="135" t="e" cm="1">
        <f t="array" aca="1" ref="H60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0" s="135" t="e" cm="1">
        <f t="array" aca="1" ref="I60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0" s="135" t="e" cm="1">
        <f t="array" aca="1" ref="J60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0" s="135" cm="1">
        <f t="array" aca="1" ref="K60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368.3</v>
      </c>
      <c r="L60" s="135" t="e" cm="1">
        <f t="array" aca="1" ref="L60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0" s="135" t="e" cm="1">
        <f t="array" aca="1" ref="M60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0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388.1</v>
      </c>
      <c r="O60" s="124"/>
    </row>
    <row r="61" spans="1:15" x14ac:dyDescent="0.25">
      <c r="A61" s="134">
        <v>45419</v>
      </c>
      <c r="B61" s="135" t="e" cm="1">
        <f t="array" aca="1" ref="B61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1" s="135" t="e" cm="1">
        <f t="array" aca="1" ref="C61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1" s="135" t="e" cm="1">
        <f t="array" aca="1" ref="D61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1" s="135" t="e" cm="1">
        <f t="array" aca="1" ref="E61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1" s="135" t="e" cm="1">
        <f t="array" aca="1" ref="F61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61" s="135" t="e" cm="1">
        <f t="array" aca="1" ref="G61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1" s="135" t="e" cm="1">
        <f t="array" aca="1" ref="H61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1" s="135" t="e" cm="1">
        <f t="array" aca="1" ref="I61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1" s="135" t="e" cm="1">
        <f t="array" aca="1" ref="J61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1" s="135" cm="1">
        <f t="array" aca="1" ref="K61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430.47999999999996</v>
      </c>
      <c r="L61" s="135" t="e" cm="1">
        <f t="array" aca="1" ref="L61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1" s="135" t="e" cm="1">
        <f t="array" aca="1" ref="M61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1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430.47999999999996</v>
      </c>
      <c r="O61" s="124"/>
    </row>
    <row r="62" spans="1:15" x14ac:dyDescent="0.25">
      <c r="A62" s="134">
        <v>45420</v>
      </c>
      <c r="B62" s="135" t="e" cm="1">
        <f t="array" aca="1" ref="B62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2" s="135" t="e" cm="1">
        <f t="array" aca="1" ref="C62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2" s="135" t="e" cm="1">
        <f t="array" aca="1" ref="D62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2" s="135" t="e" cm="1">
        <f t="array" aca="1" ref="E62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2" s="135" t="e" cm="1">
        <f t="array" aca="1" ref="F62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62" s="135" t="e" cm="1">
        <f t="array" aca="1" ref="G62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2" s="135" t="e" cm="1">
        <f t="array" aca="1" ref="H62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2" s="135" t="e" cm="1">
        <f t="array" aca="1" ref="I62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2" s="135" t="e" cm="1">
        <f t="array" aca="1" ref="J62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2" s="135" cm="1">
        <f t="array" aca="1" ref="K62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281.02000000000004</v>
      </c>
      <c r="L62" s="135" t="e" cm="1">
        <f t="array" aca="1" ref="L62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2" s="135" t="e" cm="1">
        <f t="array" aca="1" ref="M62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2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281.02000000000004</v>
      </c>
      <c r="O62" s="124"/>
    </row>
    <row r="63" spans="1:15" x14ac:dyDescent="0.25">
      <c r="A63" s="134">
        <v>45421</v>
      </c>
      <c r="B63" s="135" t="e" cm="1">
        <f t="array" aca="1" ref="B63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3" s="135" t="e" cm="1">
        <f t="array" aca="1" ref="C63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3" s="135" t="e" cm="1">
        <f t="array" aca="1" ref="D63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3" s="135" t="e" cm="1">
        <f t="array" aca="1" ref="E63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3" s="135" t="e" cm="1">
        <f t="array" aca="1" ref="F63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63" s="135" t="e" cm="1">
        <f t="array" aca="1" ref="G63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3" s="135" t="e" cm="1">
        <f t="array" aca="1" ref="H63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3" s="135" t="e" cm="1">
        <f t="array" aca="1" ref="I63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3" s="135" t="e" cm="1">
        <f t="array" aca="1" ref="J63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3" s="135" cm="1">
        <f t="array" aca="1" ref="K63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356.06000000000006</v>
      </c>
      <c r="L63" s="135" t="e" cm="1">
        <f t="array" aca="1" ref="L63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3" s="135" t="e" cm="1">
        <f t="array" aca="1" ref="M63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3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356.06000000000006</v>
      </c>
      <c r="O63" s="124"/>
    </row>
    <row r="64" spans="1:15" x14ac:dyDescent="0.25">
      <c r="A64" s="134">
        <v>45422</v>
      </c>
      <c r="B64" s="135" t="e" cm="1">
        <f t="array" aca="1" ref="B64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4" s="135" t="e" cm="1">
        <f t="array" aca="1" ref="C64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4" s="135" t="e" cm="1">
        <f t="array" aca="1" ref="D64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4" s="135" t="e" cm="1">
        <f t="array" aca="1" ref="E64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4" s="135" cm="1">
        <f t="array" aca="1" ref="F64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23.28</v>
      </c>
      <c r="G64" s="135" t="e" cm="1">
        <f t="array" aca="1" ref="G64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4" s="135" t="e" cm="1">
        <f t="array" aca="1" ref="H64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4" s="135" t="e" cm="1">
        <f t="array" aca="1" ref="I64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4" s="135" t="e" cm="1">
        <f t="array" aca="1" ref="J64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4" s="135" cm="1">
        <f t="array" aca="1" ref="K64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387.7999999999999</v>
      </c>
      <c r="L64" s="135" t="e" cm="1">
        <f t="array" aca="1" ref="L64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4" s="135" t="e" cm="1">
        <f t="array" aca="1" ref="M64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4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411.07999999999993</v>
      </c>
      <c r="O64" s="124"/>
    </row>
    <row r="65" spans="1:15" x14ac:dyDescent="0.25">
      <c r="A65" s="134">
        <v>45423</v>
      </c>
      <c r="B65" s="135" t="e" cm="1">
        <f t="array" aca="1" ref="B65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5" s="135" t="e" cm="1">
        <f t="array" aca="1" ref="C65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5" s="135" t="e" cm="1">
        <f t="array" aca="1" ref="D65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5" s="135" t="e" cm="1">
        <f t="array" aca="1" ref="E65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5" s="135" t="e" cm="1">
        <f t="array" aca="1" ref="F65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65" s="135" t="e" cm="1">
        <f t="array" aca="1" ref="G65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5" s="135" t="e" cm="1">
        <f t="array" aca="1" ref="H65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5" s="135" t="e" cm="1">
        <f t="array" aca="1" ref="I65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5" s="135" t="e" cm="1">
        <f t="array" aca="1" ref="J65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5" s="135" cm="1">
        <f t="array" aca="1" ref="K65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381.01999999999992</v>
      </c>
      <c r="L65" s="135" t="e" cm="1">
        <f t="array" aca="1" ref="L65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5" s="135" t="e" cm="1">
        <f t="array" aca="1" ref="M65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5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381.01999999999992</v>
      </c>
      <c r="O65" s="124"/>
    </row>
    <row r="66" spans="1:15" x14ac:dyDescent="0.25">
      <c r="A66" s="134">
        <v>45424</v>
      </c>
      <c r="B66" s="135" t="e" cm="1">
        <f t="array" aca="1" ref="B66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6" s="135" t="e" cm="1">
        <f t="array" aca="1" ref="C66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6" s="135" t="e" cm="1">
        <f t="array" aca="1" ref="D66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6" s="135" t="e" cm="1">
        <f t="array" aca="1" ref="E66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6" s="135" cm="1">
        <f t="array" aca="1" ref="F66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21.32</v>
      </c>
      <c r="G66" s="135" t="e" cm="1">
        <f t="array" aca="1" ref="G66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6" s="135" t="e" cm="1">
        <f t="array" aca="1" ref="H66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6" s="135" t="e" cm="1">
        <f t="array" aca="1" ref="I66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6" s="135" t="e" cm="1">
        <f t="array" aca="1" ref="J66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6" s="135" cm="1">
        <f t="array" aca="1" ref="K66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267.08000000000004</v>
      </c>
      <c r="L66" s="135" t="e" cm="1">
        <f t="array" aca="1" ref="L66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6" s="135" t="e" cm="1">
        <f t="array" aca="1" ref="M66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6" s="136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288.40000000000003</v>
      </c>
      <c r="O66" s="124"/>
    </row>
    <row r="67" spans="1:15" x14ac:dyDescent="0.25">
      <c r="A67" s="138">
        <v>45425</v>
      </c>
      <c r="B67" s="139" t="e" cm="1">
        <f t="array" aca="1" ref="B67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#N/A</v>
      </c>
      <c r="C67" s="139" t="e" cm="1">
        <f t="array" aca="1" ref="C67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7" s="139" t="e" cm="1">
        <f t="array" aca="1" ref="D67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7" s="139" t="e" cm="1">
        <f t="array" aca="1" ref="E67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7" s="139" t="e" cm="1">
        <f t="array" aca="1" ref="F67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67" s="139" t="e" cm="1">
        <f t="array" aca="1" ref="G67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7" s="139" t="e" cm="1">
        <f t="array" aca="1" ref="H67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7" s="139" t="e" cm="1">
        <f t="array" aca="1" ref="I67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7" s="139" t="e" cm="1">
        <f t="array" aca="1" ref="J67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7" s="139" cm="1">
        <f t="array" aca="1" ref="K67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381.9</v>
      </c>
      <c r="L67" s="139" t="e" cm="1">
        <f t="array" aca="1" ref="L67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7" s="139" t="e" cm="1">
        <f t="array" aca="1" ref="M67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7" s="140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381.9</v>
      </c>
      <c r="O67" s="124"/>
    </row>
    <row r="68" spans="1:15" x14ac:dyDescent="0.25">
      <c r="A68" s="185">
        <v>45426</v>
      </c>
      <c r="B68" s="186" cm="1">
        <f t="array" aca="1" ref="B68" ca="1">IF((SUMPRODUCT(Объекты!$E$3:$ACH$115*(Объекты!$ACJ$3:$ACJ$115=Графики!B$54)*(Объекты!$E$1:$ACH$1=ВвозПолигонТБО[[#This Row],[Дата]])*(Объекты!$D$3:$D$115=$A$53)*(Объекты!$E$2:$ACH$2="Масса объекта")))=0,NA(),SUMPRODUCT(Объекты!$E$3:$ACH$115*(Объекты!$ACJ$3:$ACJ$115=Графики!B$54)*(Объекты!$E$1:$ACH$1=ВвозПолигонТБО[[#This Row],[Дата]])*(Объекты!$D$3:$D$115=$A$53)*(Объекты!$E$2:$ACH$2="Масса объекта")))</f>
        <v>172.09</v>
      </c>
      <c r="C68" s="186" t="e" cm="1">
        <f t="array" aca="1" ref="C68" ca="1">IF((SUMPRODUCT(Объекты!$E$3:$ACH$115*(Объекты!$ACJ$3:$ACJ$115=Графики!C$54)*(Объекты!$E$1:$ACH$1=ВвозПолигонТБО[[#This Row],[Дата]])*(Объекты!$D$3:$D$115=$A$53)*(Объекты!$E$2:$ACH$2="Масса объекта")))=0,NA(),SUMPRODUCT(Объекты!$E$3:$ACH$115*(Объекты!$ACJ$3:$ACJ$115=Графики!C$54)*(Объекты!$E$1:$ACH$1=ВвозПолигонТБО[[#This Row],[Дата]])*(Объекты!$D$3:$D$115=$A$53)*(Объекты!$E$2:$ACH$2="Масса объекта")))</f>
        <v>#N/A</v>
      </c>
      <c r="D68" s="186" t="e" cm="1">
        <f t="array" aca="1" ref="D68" ca="1">IF((SUMPRODUCT(Объекты!$E$3:$ACH$115*(Объекты!$ACJ$3:$ACJ$115=Графики!D$54)*(Объекты!$E$1:$ACH$1=ВвозПолигонТБО[[#This Row],[Дата]])*(Объекты!$D$3:$D$115=$A$53)*(Объекты!$E$2:$ACH$2="Масса объекта")))=0,NA(),SUMPRODUCT(Объекты!$E$3:$ACH$115*(Объекты!$ACJ$3:$ACJ$115=Графики!D$54)*(Объекты!$E$1:$ACH$1=ВвозПолигонТБО[[#This Row],[Дата]])*(Объекты!$D$3:$D$115=$A$53)*(Объекты!$E$2:$ACH$2="Масса объекта")))</f>
        <v>#N/A</v>
      </c>
      <c r="E68" s="186" t="e" cm="1">
        <f t="array" aca="1" ref="E68" ca="1">IF((SUMPRODUCT(Объекты!$E$3:$ACH$115*(Объекты!$ACJ$3:$ACJ$115=Графики!E$54)*(Объекты!$E$1:$ACH$1=ВвозПолигонТБО[[#This Row],[Дата]])*(Объекты!$D$3:$D$115=$A$53)*(Объекты!$E$2:$ACH$2="Масса объекта")))=0,NA(),SUMPRODUCT(Объекты!$E$3:$ACH$115*(Объекты!$ACJ$3:$ACJ$115=Графики!E$54)*(Объекты!$E$1:$ACH$1=ВвозПолигонТБО[[#This Row],[Дата]])*(Объекты!$D$3:$D$115=$A$53)*(Объекты!$E$2:$ACH$2="Масса объекта")))</f>
        <v>#N/A</v>
      </c>
      <c r="F68" s="186" t="e" cm="1">
        <f t="array" aca="1" ref="F68" ca="1">IF((SUMPRODUCT(Объекты!$E$3:$ACH$115*(Объекты!$ACJ$3:$ACJ$115=Графики!F$54)*(Объекты!$E$1:$ACH$1=ВвозПолигонТБО[[#This Row],[Дата]])*(Объекты!$D$3:$D$115=$A$53)*(Объекты!$E$2:$ACH$2="Масса объекта")))=0,NA(),SUMPRODUCT(Объекты!$E$3:$ACH$115*(Объекты!$ACJ$3:$ACJ$115=Графики!F$54)*(Объекты!$E$1:$ACH$1=ВвозПолигонТБО[[#This Row],[Дата]])*(Объекты!$D$3:$D$115=$A$53)*(Объекты!$E$2:$ACH$2="Масса объекта")))</f>
        <v>#N/A</v>
      </c>
      <c r="G68" s="186" t="e" cm="1">
        <f t="array" aca="1" ref="G68" ca="1">IF((SUMPRODUCT(Объекты!$E$3:$ACH$115*(Объекты!$ACJ$3:$ACJ$115=Графики!G$54)*(Объекты!$E$1:$ACH$1=ВвозПолигонТБО[[#This Row],[Дата]])*(Объекты!$D$3:$D$115=$A$53)*(Объекты!$E$2:$ACH$2="Масса объекта")))=0,NA(),SUMPRODUCT(Объекты!$E$3:$ACH$115*(Объекты!$ACJ$3:$ACJ$115=Графики!G$54)*(Объекты!$E$1:$ACH$1=ВвозПолигонТБО[[#This Row],[Дата]])*(Объекты!$D$3:$D$115=$A$53)*(Объекты!$E$2:$ACH$2="Масса объекта")))</f>
        <v>#N/A</v>
      </c>
      <c r="H68" s="186" t="e" cm="1">
        <f t="array" aca="1" ref="H68" ca="1">IF((SUMPRODUCT(Объекты!$E$3:$ACH$115*(Объекты!$ACJ$3:$ACJ$115=Графики!H$54)*(Объекты!$E$1:$ACH$1=ВвозПолигонТБО[[#This Row],[Дата]])*(Объекты!$D$3:$D$115=$A$53)*(Объекты!$E$2:$ACH$2="Масса объекта")))=0,NA(),SUMPRODUCT(Объекты!$E$3:$ACH$115*(Объекты!$ACJ$3:$ACJ$115=Графики!H$54)*(Объекты!$E$1:$ACH$1=ВвозПолигонТБО[[#This Row],[Дата]])*(Объекты!$D$3:$D$115=$A$53)*(Объекты!$E$2:$ACH$2="Масса объекта")))</f>
        <v>#N/A</v>
      </c>
      <c r="I68" s="186" t="e" cm="1">
        <f t="array" aca="1" ref="I68" ca="1">IF((SUMPRODUCT(Объекты!$E$3:$ACH$115*(Объекты!$ACJ$3:$ACJ$115=Графики!I$54)*(Объекты!$E$1:$ACH$1=ВвозПолигонТБО[[#This Row],[Дата]])*(Объекты!$D$3:$D$115=$A$53)*(Объекты!$E$2:$ACH$2="Масса объекта")))=0,NA(),SUMPRODUCT(Объекты!$E$3:$ACH$115*(Объекты!$ACJ$3:$ACJ$115=Графики!I$54)*(Объекты!$E$1:$ACH$1=ВвозПолигонТБО[[#This Row],[Дата]])*(Объекты!$D$3:$D$115=$A$53)*(Объекты!$E$2:$ACH$2="Масса объекта")))</f>
        <v>#N/A</v>
      </c>
      <c r="J68" s="186" t="e" cm="1">
        <f t="array" aca="1" ref="J68" ca="1">IF((SUMPRODUCT(Объекты!$E$3:$ACH$115*(Объекты!$ACJ$3:$ACJ$115=Графики!J$54)*(Объекты!$E$1:$ACH$1=ВвозПолигонТБО[[#This Row],[Дата]])*(Объекты!$D$3:$D$115=$A$53)*(Объекты!$E$2:$ACH$2="Масса объекта")))=0,NA(),SUMPRODUCT(Объекты!$E$3:$ACH$115*(Объекты!$ACJ$3:$ACJ$115=Графики!J$54)*(Объекты!$E$1:$ACH$1=ВвозПолигонТБО[[#This Row],[Дата]])*(Объекты!$D$3:$D$115=$A$53)*(Объекты!$E$2:$ACH$2="Масса объекта")))</f>
        <v>#N/A</v>
      </c>
      <c r="K68" s="186" cm="1">
        <f t="array" aca="1" ref="K68" ca="1">IF((SUMPRODUCT(Объекты!$E$3:$ACH$115*(Объекты!$ACJ$3:$ACJ$115=Графики!K$54)*(Объекты!$E$1:$ACH$1=ВвозПолигонТБО[[#This Row],[Дата]])*(Объекты!$D$3:$D$115=$A$53)*(Объекты!$E$2:$ACH$2="Масса объекта")))=0,NA(),SUMPRODUCT(Объекты!$E$3:$ACH$115*(Объекты!$ACJ$3:$ACJ$115=Графики!K$54)*(Объекты!$E$1:$ACH$1=ВвозПолигонТБО[[#This Row],[Дата]])*(Объекты!$D$3:$D$115=$A$53)*(Объекты!$E$2:$ACH$2="Масса объекта")))</f>
        <v>208.31999999999996</v>
      </c>
      <c r="L68" s="186" t="e" cm="1">
        <f t="array" aca="1" ref="L68" ca="1">IF((SUMPRODUCT(Объекты!$E$3:$ACH$115*(Объекты!$ACJ$3:$ACJ$115=Графики!L$54)*(Объекты!$E$1:$ACH$1=ВвозПолигонТБО[[#This Row],[Дата]])*(Объекты!$D$3:$D$115=$A$53)*(Объекты!$E$2:$ACH$2="Масса объекта")))=0,NA(),SUMPRODUCT(Объекты!$E$3:$ACH$115*(Объекты!$ACJ$3:$ACJ$115=Графики!L$54)*(Объекты!$E$1:$ACH$1=ВвозПолигонТБО[[#This Row],[Дата]])*(Объекты!$D$3:$D$115=$A$53)*(Объекты!$E$2:$ACH$2="Масса объекта")))</f>
        <v>#N/A</v>
      </c>
      <c r="M68" s="186" t="e" cm="1">
        <f t="array" aca="1" ref="M68" ca="1">IF((SUMPRODUCT(Объекты!$E$3:$ACH$115*(Объекты!$ACJ$3:$ACJ$115=Графики!M$54)*(Объекты!$E$1:$ACH$1=ВвозПолигонТБО[[#This Row],[Дата]])*(Объекты!$D$3:$D$115=$A$53)*(Объекты!$E$2:$ACH$2="Масса объекта")))=0,NA(),SUMPRODUCT(Объекты!$E$3:$ACH$115*(Объекты!$ACJ$3:$ACJ$115=Графики!M$54)*(Объекты!$E$1:$ACH$1=ВвозПолигонТБО[[#This Row],[Дата]])*(Объекты!$D$3:$D$115=$A$53)*(Объекты!$E$2:$ACH$2="Масса объекта")))</f>
        <v>#N/A</v>
      </c>
      <c r="N68" s="187">
        <f ca="1">SUMIF(ВвозПолигонТБО[[#This Row],[Волхонка АО "Невский экологический оператор"]:[Уткина заводь ООО "Гамма"]],"&lt;&gt;#Н/Д",ВвозПолигонТБО[[#This Row],[Волхонка АО "Невский экологический оператор"]:[Уткина заводь ООО "Гамма"]])</f>
        <v>380.40999999999997</v>
      </c>
    </row>
    <row r="69" spans="1:15" x14ac:dyDescent="0.25">
      <c r="A69" s="126" t="s">
        <v>37</v>
      </c>
      <c r="B69" s="131">
        <f ca="1">SUMIF(ВвозПолигонТБО[Волхонка АО "Невский экологический оператор"],"&lt;&gt;#Н/Д",ВвозПолигонТБО[Волхонка АО "Невский экологический оператор"])</f>
        <v>172.09</v>
      </c>
      <c r="C69" s="131">
        <f ca="1">SUMIF(ВвозПолигонТБО[Грузовой АО "Автопарк №1 Спецтранс"],"&lt;&gt;#Н/Д",ВвозПолигонТБО[Грузовой АО "Автопарк №1 Спецтранс"])</f>
        <v>0</v>
      </c>
      <c r="D69" s="131">
        <f ca="1">SUMIF(ВвозПолигонТБО[ООО "ТЭК"],"&lt;&gt;#Н/Д",ВвозПолигонТБО[ООО "ТЭК"])</f>
        <v>0</v>
      </c>
      <c r="E69" s="131">
        <f ca="1">SUMIF(ВвозПолигонТБО[ООО "Эко Лэнд"],"&lt;&gt;#Н/Д",ВвозПолигонТБО[ООО "Эко Лэнд"])</f>
        <v>0</v>
      </c>
      <c r="F69" s="131">
        <f ca="1">SUMIF(ВвозПолигонТБО[Парнас ООО "Эковаст"],"&lt;&gt;#Н/Д",ВвозПолигонТБО[Парнас ООО "Эковаст"])</f>
        <v>391.54</v>
      </c>
      <c r="G69" s="131">
        <f ca="1">SUMIF(ВвозПолигонТБО[Предпортовый ООО "Новый Свет.ЭКО"],"&lt;&gt;#Н/Д",ВвозПолигонТБО[Предпортовый ООО "Новый Свет.ЭКО"])</f>
        <v>0</v>
      </c>
      <c r="H69" s="131">
        <f ca="1">SUMIF(ВвозПолигонТБО[Рыбацкое ООО "Эковаст"],"&lt;&gt;#Н/Д",ВвозПолигонТБО[Рыбацкое ООО "Эковаст"])</f>
        <v>0</v>
      </c>
      <c r="I69" s="131">
        <f ca="1">SUMIF(ВвозПолигонТБО[Софийская ООО "Эковаст"],"&lt;&gt;#Н/Д",ВвозПолигонТБО[Софийская ООО "Эковаст"])</f>
        <v>0</v>
      </c>
      <c r="J69" s="131">
        <f ca="1">SUMIF(ВвозПолигонТБО[Старообрядческая ООО "Новый Свет-ЭКО"],"&lt;&gt;#Н/Д",ВвозПолигонТБО[Старообрядческая ООО "Новый Свет-ЭКО"])</f>
        <v>0</v>
      </c>
      <c r="K69" s="131">
        <f ca="1">SUMIF(ВвозПолигонТБО[Уманский ООО "ПСК "Ржевка"],"&lt;&gt;#Н/Д",ВвозПолигонТБО[Уманский ООО "ПСК "Ржевка"])</f>
        <v>4884.8799999999992</v>
      </c>
      <c r="L69" s="131">
        <f ca="1">SUMIF(ВвозПолигонТБО[Уткина заводь ООО "Гамма"],"&lt;&gt;#Н/Д",ВвозПолигонТБО[Уткина заводь ООО "Гамма"])</f>
        <v>0</v>
      </c>
      <c r="M69" s="131">
        <f ca="1">SUMIF(ВвозПолигонТБО[Прямой вывоз],"&lt;&gt;#Н/Д",ВвозПолигонТБО[Прямой вывоз])</f>
        <v>0</v>
      </c>
      <c r="N69" s="125">
        <f ca="1">SUBTOTAL(109,ВвозПолигонТБО[Итого])</f>
        <v>5448.5099999999984</v>
      </c>
    </row>
    <row r="71" spans="1:15" x14ac:dyDescent="0.25">
      <c r="A71" s="129" t="str">
        <f ca="1">"Среднесуточный ввоз - "&amp;TEXT(ROUND(AVERAGE(ВвозПолигонТБО[Итого]),2),"# ##0,00")</f>
        <v>Среднесуточный ввоз - 389,18</v>
      </c>
    </row>
    <row r="73" spans="1:15" x14ac:dyDescent="0.25">
      <c r="O73" s="124"/>
    </row>
    <row r="79" spans="1:15" x14ac:dyDescent="0.25">
      <c r="O79" s="124"/>
    </row>
    <row r="80" spans="1:15" x14ac:dyDescent="0.25">
      <c r="O80" s="124"/>
    </row>
    <row r="81" spans="15:15" x14ac:dyDescent="0.25">
      <c r="O81" s="124"/>
    </row>
    <row r="82" spans="15:15" x14ac:dyDescent="0.25">
      <c r="O82" s="124"/>
    </row>
    <row r="83" spans="15:15" x14ac:dyDescent="0.25">
      <c r="O83" s="124"/>
    </row>
    <row r="84" spans="15:15" x14ac:dyDescent="0.25">
      <c r="O84" s="124"/>
    </row>
    <row r="85" spans="15:15" x14ac:dyDescent="0.25">
      <c r="O85" s="124"/>
    </row>
    <row r="86" spans="15:15" x14ac:dyDescent="0.25">
      <c r="O86" s="124"/>
    </row>
    <row r="87" spans="15:15" x14ac:dyDescent="0.25">
      <c r="O87" s="124"/>
    </row>
    <row r="88" spans="15:15" x14ac:dyDescent="0.25">
      <c r="O88" s="124"/>
    </row>
    <row r="89" spans="15:15" x14ac:dyDescent="0.25">
      <c r="O89" s="124"/>
    </row>
    <row r="90" spans="15:15" x14ac:dyDescent="0.25">
      <c r="O90" s="124"/>
    </row>
    <row r="91" spans="15:15" x14ac:dyDescent="0.25">
      <c r="O91" s="124"/>
    </row>
    <row r="92" spans="15:15" x14ac:dyDescent="0.25">
      <c r="O92" s="124"/>
    </row>
    <row r="93" spans="15:15" x14ac:dyDescent="0.25">
      <c r="O93" s="124"/>
    </row>
    <row r="94" spans="15:15" x14ac:dyDescent="0.25">
      <c r="O94" s="124"/>
    </row>
    <row r="95" spans="15:15" x14ac:dyDescent="0.25">
      <c r="O95" s="124"/>
    </row>
    <row r="96" spans="15:15" x14ac:dyDescent="0.25">
      <c r="O96" s="124"/>
    </row>
    <row r="97" spans="1:15" x14ac:dyDescent="0.25">
      <c r="O97" s="124"/>
    </row>
    <row r="98" spans="1:15" x14ac:dyDescent="0.25">
      <c r="O98" s="124"/>
    </row>
    <row r="99" spans="1:15" x14ac:dyDescent="0.25">
      <c r="O99" s="124"/>
    </row>
    <row r="100" spans="1:15" x14ac:dyDescent="0.25">
      <c r="O100" s="124"/>
    </row>
    <row r="103" spans="1:15" x14ac:dyDescent="0.25">
      <c r="N103" s="124"/>
    </row>
    <row r="105" spans="1:15" x14ac:dyDescent="0.25">
      <c r="A105" s="96" t="s">
        <v>4</v>
      </c>
      <c r="B105" s="127" t="s">
        <v>259</v>
      </c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</row>
    <row r="106" spans="1:15" ht="45" x14ac:dyDescent="0.25">
      <c r="A106" s="98" t="s">
        <v>21</v>
      </c>
      <c r="B106" s="99" t="s">
        <v>86</v>
      </c>
      <c r="C106" s="99" t="s">
        <v>87</v>
      </c>
      <c r="D106" s="99" t="s">
        <v>88</v>
      </c>
      <c r="E106" s="99" t="s">
        <v>89</v>
      </c>
      <c r="F106" s="99" t="s">
        <v>90</v>
      </c>
      <c r="G106" s="99" t="s">
        <v>91</v>
      </c>
      <c r="H106" s="99" t="s">
        <v>99</v>
      </c>
      <c r="I106" s="99" t="s">
        <v>100</v>
      </c>
      <c r="J106" s="99" t="s">
        <v>92</v>
      </c>
      <c r="K106" s="99" t="s">
        <v>101</v>
      </c>
      <c r="L106" s="99" t="s">
        <v>102</v>
      </c>
      <c r="M106" s="100" t="s">
        <v>98</v>
      </c>
      <c r="N106" s="100" t="s">
        <v>126</v>
      </c>
    </row>
    <row r="107" spans="1:15" x14ac:dyDescent="0.25">
      <c r="A107" s="126">
        <v>45413</v>
      </c>
      <c r="B107" s="133" t="e" cm="1">
        <f t="array" aca="1" ref="B107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07" s="133" t="e" cm="1">
        <f t="array" aca="1" ref="C107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07" s="133" t="e" cm="1">
        <f t="array" aca="1" ref="D107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07" s="133" cm="1">
        <f t="array" aca="1" ref="E107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224.80000000000004</v>
      </c>
      <c r="F107" s="133" t="e" cm="1">
        <f t="array" aca="1" ref="F107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07" s="133" t="e" cm="1">
        <f t="array" aca="1" ref="G107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07" s="133" t="e" cm="1">
        <f t="array" aca="1" ref="H107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07" s="133" t="e" cm="1">
        <f t="array" aca="1" ref="I107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07" s="133" t="e" cm="1">
        <f t="array" aca="1" ref="J107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07" s="133" t="e" cm="1">
        <f t="array" aca="1" ref="K107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07" s="133" t="e" cm="1">
        <f t="array" aca="1" ref="L107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07" s="133" t="e" cm="1">
        <f t="array" aca="1" ref="M107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07" s="125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224.80000000000004</v>
      </c>
    </row>
    <row r="108" spans="1:15" x14ac:dyDescent="0.25">
      <c r="A108" s="134">
        <v>45414</v>
      </c>
      <c r="B108" s="135" t="e" cm="1">
        <f t="array" aca="1" ref="B108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08" s="135" t="e" cm="1">
        <f t="array" aca="1" ref="C108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08" s="135" t="e" cm="1">
        <f t="array" aca="1" ref="D108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08" s="135" cm="1">
        <f t="array" aca="1" ref="E108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310.95</v>
      </c>
      <c r="F108" s="135" t="e" cm="1">
        <f t="array" aca="1" ref="F108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08" s="135" t="e" cm="1">
        <f t="array" aca="1" ref="G108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08" s="135" t="e" cm="1">
        <f t="array" aca="1" ref="H108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08" s="135" t="e" cm="1">
        <f t="array" aca="1" ref="I108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08" s="135" t="e" cm="1">
        <f t="array" aca="1" ref="J108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08" s="135" t="e" cm="1">
        <f t="array" aca="1" ref="K108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08" s="135" t="e" cm="1">
        <f t="array" aca="1" ref="L108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08" s="135" t="e" cm="1">
        <f t="array" aca="1" ref="M108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08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310.95</v>
      </c>
    </row>
    <row r="109" spans="1:15" x14ac:dyDescent="0.25">
      <c r="A109" s="134">
        <v>45415</v>
      </c>
      <c r="B109" s="135" t="e" cm="1">
        <f t="array" aca="1" ref="B109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09" s="135" t="e" cm="1">
        <f t="array" aca="1" ref="C109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09" s="135" t="e" cm="1">
        <f t="array" aca="1" ref="D109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09" s="135" cm="1">
        <f t="array" aca="1" ref="E109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352.84999999999997</v>
      </c>
      <c r="F109" s="135" t="e" cm="1">
        <f t="array" aca="1" ref="F109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09" s="135" t="e" cm="1">
        <f t="array" aca="1" ref="G109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09" s="135" t="e" cm="1">
        <f t="array" aca="1" ref="H109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09" s="135" t="e" cm="1">
        <f t="array" aca="1" ref="I109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09" s="135" t="e" cm="1">
        <f t="array" aca="1" ref="J109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09" s="135" t="e" cm="1">
        <f t="array" aca="1" ref="K109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09" s="135" t="e" cm="1">
        <f t="array" aca="1" ref="L109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09" s="135" t="e" cm="1">
        <f t="array" aca="1" ref="M109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09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352.84999999999997</v>
      </c>
    </row>
    <row r="110" spans="1:15" x14ac:dyDescent="0.25">
      <c r="A110" s="134">
        <v>45416</v>
      </c>
      <c r="B110" s="135" t="e" cm="1">
        <f t="array" aca="1" ref="B110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0" s="135" t="e" cm="1">
        <f t="array" aca="1" ref="C110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0" s="135" t="e" cm="1">
        <f t="array" aca="1" ref="D110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0" s="135" cm="1">
        <f t="array" aca="1" ref="E110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254.65000000000003</v>
      </c>
      <c r="F110" s="135" t="e" cm="1">
        <f t="array" aca="1" ref="F110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0" s="135" t="e" cm="1">
        <f t="array" aca="1" ref="G110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0" s="135" t="e" cm="1">
        <f t="array" aca="1" ref="H110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0" s="135" t="e" cm="1">
        <f t="array" aca="1" ref="I110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0" s="135" t="e" cm="1">
        <f t="array" aca="1" ref="J110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0" s="135" t="e" cm="1">
        <f t="array" aca="1" ref="K110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0" s="135" t="e" cm="1">
        <f t="array" aca="1" ref="L110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0" s="135" t="e" cm="1">
        <f t="array" aca="1" ref="M110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0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254.65000000000003</v>
      </c>
    </row>
    <row r="111" spans="1:15" x14ac:dyDescent="0.25">
      <c r="A111" s="134">
        <v>45417</v>
      </c>
      <c r="B111" s="135" t="e" cm="1">
        <f t="array" aca="1" ref="B111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1" s="135" t="e" cm="1">
        <f t="array" aca="1" ref="C111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1" s="135" t="e" cm="1">
        <f t="array" aca="1" ref="D111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1" s="135" cm="1">
        <f t="array" aca="1" ref="E111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353.8</v>
      </c>
      <c r="F111" s="135" t="e" cm="1">
        <f t="array" aca="1" ref="F111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1" s="135" t="e" cm="1">
        <f t="array" aca="1" ref="G111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1" s="135" t="e" cm="1">
        <f t="array" aca="1" ref="H111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1" s="135" t="e" cm="1">
        <f t="array" aca="1" ref="I111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1" s="135" t="e" cm="1">
        <f t="array" aca="1" ref="J111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1" s="135" t="e" cm="1">
        <f t="array" aca="1" ref="K111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1" s="135" t="e" cm="1">
        <f t="array" aca="1" ref="L111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1" s="135" t="e" cm="1">
        <f t="array" aca="1" ref="M111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1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353.8</v>
      </c>
    </row>
    <row r="112" spans="1:15" x14ac:dyDescent="0.25">
      <c r="A112" s="134">
        <v>45418</v>
      </c>
      <c r="B112" s="135" t="e" cm="1">
        <f t="array" aca="1" ref="B112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2" s="135" t="e" cm="1">
        <f t="array" aca="1" ref="C112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2" s="135" t="e" cm="1">
        <f t="array" aca="1" ref="D112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2" s="135" cm="1">
        <f t="array" aca="1" ref="E112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231.49999999999997</v>
      </c>
      <c r="F112" s="135" t="e" cm="1">
        <f t="array" aca="1" ref="F112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2" s="135" t="e" cm="1">
        <f t="array" aca="1" ref="G112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2" s="135" t="e" cm="1">
        <f t="array" aca="1" ref="H112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2" s="135" t="e" cm="1">
        <f t="array" aca="1" ref="I112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2" s="135" t="e" cm="1">
        <f t="array" aca="1" ref="J112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2" s="135" t="e" cm="1">
        <f t="array" aca="1" ref="K112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2" s="135" t="e" cm="1">
        <f t="array" aca="1" ref="L112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2" s="135" t="e" cm="1">
        <f t="array" aca="1" ref="M112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2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231.49999999999997</v>
      </c>
    </row>
    <row r="113" spans="1:15" x14ac:dyDescent="0.25">
      <c r="A113" s="134">
        <v>45419</v>
      </c>
      <c r="B113" s="135" t="e" cm="1">
        <f t="array" aca="1" ref="B113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3" s="135" t="e" cm="1">
        <f t="array" aca="1" ref="C113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3" s="135" t="e" cm="1">
        <f t="array" aca="1" ref="D113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3" s="135" cm="1">
        <f t="array" aca="1" ref="E113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260.75</v>
      </c>
      <c r="F113" s="135" t="e" cm="1">
        <f t="array" aca="1" ref="F113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3" s="135" t="e" cm="1">
        <f t="array" aca="1" ref="G113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3" s="135" t="e" cm="1">
        <f t="array" aca="1" ref="H113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3" s="135" t="e" cm="1">
        <f t="array" aca="1" ref="I113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3" s="135" t="e" cm="1">
        <f t="array" aca="1" ref="J113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3" s="135" t="e" cm="1">
        <f t="array" aca="1" ref="K113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3" s="135" t="e" cm="1">
        <f t="array" aca="1" ref="L113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3" s="135" t="e" cm="1">
        <f t="array" aca="1" ref="M113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3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260.75</v>
      </c>
    </row>
    <row r="114" spans="1:15" x14ac:dyDescent="0.25">
      <c r="A114" s="134">
        <v>45420</v>
      </c>
      <c r="B114" s="135" t="e" cm="1">
        <f t="array" aca="1" ref="B114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4" s="135" t="e" cm="1">
        <f t="array" aca="1" ref="C114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4" s="135" t="e" cm="1">
        <f t="array" aca="1" ref="D114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4" s="135" cm="1">
        <f t="array" aca="1" ref="E114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217.85000000000002</v>
      </c>
      <c r="F114" s="135" t="e" cm="1">
        <f t="array" aca="1" ref="F114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4" s="135" t="e" cm="1">
        <f t="array" aca="1" ref="G114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4" s="135" t="e" cm="1">
        <f t="array" aca="1" ref="H114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4" s="135" t="e" cm="1">
        <f t="array" aca="1" ref="I114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4" s="135" t="e" cm="1">
        <f t="array" aca="1" ref="J114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4" s="135" t="e" cm="1">
        <f t="array" aca="1" ref="K114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4" s="135" t="e" cm="1">
        <f t="array" aca="1" ref="L114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4" s="135" t="e" cm="1">
        <f t="array" aca="1" ref="M114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4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217.85000000000002</v>
      </c>
    </row>
    <row r="115" spans="1:15" x14ac:dyDescent="0.25">
      <c r="A115" s="134">
        <v>45421</v>
      </c>
      <c r="B115" s="135" t="e" cm="1">
        <f t="array" aca="1" ref="B115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5" s="135" t="e" cm="1">
        <f t="array" aca="1" ref="C115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5" s="135" t="e" cm="1">
        <f t="array" aca="1" ref="D115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5" s="135" cm="1">
        <f t="array" aca="1" ref="E115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400.09999999999997</v>
      </c>
      <c r="F115" s="135" t="e" cm="1">
        <f t="array" aca="1" ref="F115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5" s="135" t="e" cm="1">
        <f t="array" aca="1" ref="G115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5" s="135" t="e" cm="1">
        <f t="array" aca="1" ref="H115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5" s="135" t="e" cm="1">
        <f t="array" aca="1" ref="I115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5" s="135" t="e" cm="1">
        <f t="array" aca="1" ref="J115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5" s="135" t="e" cm="1">
        <f t="array" aca="1" ref="K115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5" s="135" t="e" cm="1">
        <f t="array" aca="1" ref="L115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5" s="135" t="e" cm="1">
        <f t="array" aca="1" ref="M115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5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400.09999999999997</v>
      </c>
    </row>
    <row r="116" spans="1:15" x14ac:dyDescent="0.25">
      <c r="A116" s="134">
        <v>45422</v>
      </c>
      <c r="B116" s="135" t="e" cm="1">
        <f t="array" aca="1" ref="B116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6" s="135" t="e" cm="1">
        <f t="array" aca="1" ref="C116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6" s="135" t="e" cm="1">
        <f t="array" aca="1" ref="D116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6" s="135" cm="1">
        <f t="array" aca="1" ref="E116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220.5</v>
      </c>
      <c r="F116" s="135" t="e" cm="1">
        <f t="array" aca="1" ref="F116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6" s="135" t="e" cm="1">
        <f t="array" aca="1" ref="G116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6" s="135" t="e" cm="1">
        <f t="array" aca="1" ref="H116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6" s="135" t="e" cm="1">
        <f t="array" aca="1" ref="I116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6" s="135" t="e" cm="1">
        <f t="array" aca="1" ref="J116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6" s="135" t="e" cm="1">
        <f t="array" aca="1" ref="K116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6" s="135" t="e" cm="1">
        <f t="array" aca="1" ref="L116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6" s="135" t="e" cm="1">
        <f t="array" aca="1" ref="M116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6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220.5</v>
      </c>
    </row>
    <row r="117" spans="1:15" x14ac:dyDescent="0.25">
      <c r="A117" s="134">
        <v>45423</v>
      </c>
      <c r="B117" s="135" t="e" cm="1">
        <f t="array" aca="1" ref="B117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7" s="135" t="e" cm="1">
        <f t="array" aca="1" ref="C117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7" s="135" t="e" cm="1">
        <f t="array" aca="1" ref="D117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7" s="135" cm="1">
        <f t="array" aca="1" ref="E117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378.54999999999995</v>
      </c>
      <c r="F117" s="135" t="e" cm="1">
        <f t="array" aca="1" ref="F117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7" s="135" t="e" cm="1">
        <f t="array" aca="1" ref="G117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7" s="135" t="e" cm="1">
        <f t="array" aca="1" ref="H117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7" s="135" t="e" cm="1">
        <f t="array" aca="1" ref="I117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7" s="135" t="e" cm="1">
        <f t="array" aca="1" ref="J117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7" s="135" t="e" cm="1">
        <f t="array" aca="1" ref="K117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7" s="135" t="e" cm="1">
        <f t="array" aca="1" ref="L117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7" s="135" t="e" cm="1">
        <f t="array" aca="1" ref="M117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7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378.54999999999995</v>
      </c>
    </row>
    <row r="118" spans="1:15" x14ac:dyDescent="0.25">
      <c r="A118" s="134">
        <v>45424</v>
      </c>
      <c r="B118" s="135" t="e" cm="1">
        <f t="array" aca="1" ref="B118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8" s="135" t="e" cm="1">
        <f t="array" aca="1" ref="C118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8" s="135" t="e" cm="1">
        <f t="array" aca="1" ref="D118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8" s="135" cm="1">
        <f t="array" aca="1" ref="E118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203.40000000000003</v>
      </c>
      <c r="F118" s="135" t="e" cm="1">
        <f t="array" aca="1" ref="F118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8" s="135" t="e" cm="1">
        <f t="array" aca="1" ref="G118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8" s="135" t="e" cm="1">
        <f t="array" aca="1" ref="H118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8" s="135" t="e" cm="1">
        <f t="array" aca="1" ref="I118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8" s="135" t="e" cm="1">
        <f t="array" aca="1" ref="J118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8" s="135" t="e" cm="1">
        <f t="array" aca="1" ref="K118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8" s="135" t="e" cm="1">
        <f t="array" aca="1" ref="L118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8" s="135" t="e" cm="1">
        <f t="array" aca="1" ref="M118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8" s="136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203.40000000000003</v>
      </c>
      <c r="O118" s="124"/>
    </row>
    <row r="119" spans="1:15" x14ac:dyDescent="0.25">
      <c r="A119" s="138">
        <v>45425</v>
      </c>
      <c r="B119" s="139" t="e" cm="1">
        <f t="array" aca="1" ref="B119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19" s="139" t="e" cm="1">
        <f t="array" aca="1" ref="C119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19" s="139" t="e" cm="1">
        <f t="array" aca="1" ref="D119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19" s="139" cm="1">
        <f t="array" aca="1" ref="E119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197.95000000000002</v>
      </c>
      <c r="F119" s="139" t="e" cm="1">
        <f t="array" aca="1" ref="F119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19" s="139" t="e" cm="1">
        <f t="array" aca="1" ref="G119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19" s="139" t="e" cm="1">
        <f t="array" aca="1" ref="H119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19" s="139" t="e" cm="1">
        <f t="array" aca="1" ref="I119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19" s="139" t="e" cm="1">
        <f t="array" aca="1" ref="J119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19" s="139" t="e" cm="1">
        <f t="array" aca="1" ref="K119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19" s="139" t="e" cm="1">
        <f t="array" aca="1" ref="L119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19" s="139" t="e" cm="1">
        <f t="array" aca="1" ref="M119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19" s="140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197.95000000000002</v>
      </c>
    </row>
    <row r="120" spans="1:15" x14ac:dyDescent="0.25">
      <c r="A120" s="185">
        <v>45426</v>
      </c>
      <c r="B120" s="188" t="e" cm="1">
        <f t="array" aca="1" ref="B120" ca="1">IF((SUMPRODUCT(Объекты!$E$3:$ACH$115*(Объекты!$ACJ$3:$ACJ$115=Графики!B$106)*(Объекты!$E$1:$ACH$1=ВвозАвтоБеркут[[#This Row],[Дата]])*(Объекты!$D$3:$D$115=$A$105)*(Объекты!$E$2:$ACH$2="Масса объекта")))=0,NA(),SUMPRODUCT(Объекты!$E$3:$ACH$115*(Объекты!$ACJ$3:$ACJ$115=Графики!B$106)*(Объекты!$E$1:$ACH$1=ВвозАвтоБеркут[[#This Row],[Дата]])*(Объекты!$D$3:$D$115=$A$105)*(Объекты!$E$2:$ACH$2="Масса объекта")))</f>
        <v>#N/A</v>
      </c>
      <c r="C120" s="188" t="e" cm="1">
        <f t="array" aca="1" ref="C120" ca="1">IF((SUMPRODUCT(Объекты!$E$3:$ACH$115*(Объекты!$ACJ$3:$ACJ$115=Графики!C$106)*(Объекты!$E$1:$ACH$1=ВвозАвтоБеркут[[#This Row],[Дата]])*(Объекты!$D$3:$D$115=$A$105)*(Объекты!$E$2:$ACH$2="Масса объекта")))=0,NA(),SUMPRODUCT(Объекты!$E$3:$ACH$115*(Объекты!$ACJ$3:$ACJ$115=Графики!C$106)*(Объекты!$E$1:$ACH$1=ВвозАвтоБеркут[[#This Row],[Дата]])*(Объекты!$D$3:$D$115=$A$105)*(Объекты!$E$2:$ACH$2="Масса объекта")))</f>
        <v>#N/A</v>
      </c>
      <c r="D120" s="188" t="e" cm="1">
        <f t="array" aca="1" ref="D120" ca="1">IF((SUMPRODUCT(Объекты!$E$3:$ACH$115*(Объекты!$ACJ$3:$ACJ$115=Графики!D$106)*(Объекты!$E$1:$ACH$1=ВвозАвтоБеркут[[#This Row],[Дата]])*(Объекты!$D$3:$D$115=$A$105)*(Объекты!$E$2:$ACH$2="Масса объекта")))=0,NA(),SUMPRODUCT(Объекты!$E$3:$ACH$115*(Объекты!$ACJ$3:$ACJ$115=Графики!D$106)*(Объекты!$E$1:$ACH$1=ВвозАвтоБеркут[[#This Row],[Дата]])*(Объекты!$D$3:$D$115=$A$105)*(Объекты!$E$2:$ACH$2="Масса объекта")))</f>
        <v>#N/A</v>
      </c>
      <c r="E120" s="188" t="e" cm="1">
        <f t="array" aca="1" ref="E120" ca="1">IF((SUMPRODUCT(Объекты!$E$3:$ACH$115*(Объекты!$ACJ$3:$ACJ$115=Графики!E$106)*(Объекты!$E$1:$ACH$1=ВвозАвтоБеркут[[#This Row],[Дата]])*(Объекты!$D$3:$D$115=$A$105)*(Объекты!$E$2:$ACH$2="Масса объекта")))=0,NA(),SUMPRODUCT(Объекты!$E$3:$ACH$115*(Объекты!$ACJ$3:$ACJ$115=Графики!E$106)*(Объекты!$E$1:$ACH$1=ВвозАвтоБеркут[[#This Row],[Дата]])*(Объекты!$D$3:$D$115=$A$105)*(Объекты!$E$2:$ACH$2="Масса объекта")))</f>
        <v>#N/A</v>
      </c>
      <c r="F120" s="188" t="e" cm="1">
        <f t="array" aca="1" ref="F120" ca="1">IF((SUMPRODUCT(Объекты!$E$3:$ACH$115*(Объекты!$ACJ$3:$ACJ$115=Графики!F$106)*(Объекты!$E$1:$ACH$1=ВвозАвтоБеркут[[#This Row],[Дата]])*(Объекты!$D$3:$D$115=$A$105)*(Объекты!$E$2:$ACH$2="Масса объекта")))=0,NA(),SUMPRODUCT(Объекты!$E$3:$ACH$115*(Объекты!$ACJ$3:$ACJ$115=Графики!F$106)*(Объекты!$E$1:$ACH$1=ВвозАвтоБеркут[[#This Row],[Дата]])*(Объекты!$D$3:$D$115=$A$105)*(Объекты!$E$2:$ACH$2="Масса объекта")))</f>
        <v>#N/A</v>
      </c>
      <c r="G120" s="188" t="e" cm="1">
        <f t="array" aca="1" ref="G120" ca="1">IF((SUMPRODUCT(Объекты!$E$3:$ACH$115*(Объекты!$ACJ$3:$ACJ$115=Графики!G$106)*(Объекты!$E$1:$ACH$1=ВвозАвтоБеркут[[#This Row],[Дата]])*(Объекты!$D$3:$D$115=$A$105)*(Объекты!$E$2:$ACH$2="Масса объекта")))=0,NA(),SUMPRODUCT(Объекты!$E$3:$ACH$115*(Объекты!$ACJ$3:$ACJ$115=Графики!G$106)*(Объекты!$E$1:$ACH$1=ВвозАвтоБеркут[[#This Row],[Дата]])*(Объекты!$D$3:$D$115=$A$105)*(Объекты!$E$2:$ACH$2="Масса объекта")))</f>
        <v>#N/A</v>
      </c>
      <c r="H120" s="188" t="e" cm="1">
        <f t="array" aca="1" ref="H120" ca="1">IF((SUMPRODUCT(Объекты!$E$3:$ACH$115*(Объекты!$ACJ$3:$ACJ$115=Графики!H$106)*(Объекты!$E$1:$ACH$1=ВвозАвтоБеркут[[#This Row],[Дата]])*(Объекты!$D$3:$D$115=$A$105)*(Объекты!$E$2:$ACH$2="Масса объекта")))=0,NA(),SUMPRODUCT(Объекты!$E$3:$ACH$115*(Объекты!$ACJ$3:$ACJ$115=Графики!H$106)*(Объекты!$E$1:$ACH$1=ВвозАвтоБеркут[[#This Row],[Дата]])*(Объекты!$D$3:$D$115=$A$105)*(Объекты!$E$2:$ACH$2="Масса объекта")))</f>
        <v>#N/A</v>
      </c>
      <c r="I120" s="188" t="e" cm="1">
        <f t="array" aca="1" ref="I120" ca="1">IF((SUMPRODUCT(Объекты!$E$3:$ACH$115*(Объекты!$ACJ$3:$ACJ$115=Графики!I$106)*(Объекты!$E$1:$ACH$1=ВвозАвтоБеркут[[#This Row],[Дата]])*(Объекты!$D$3:$D$115=$A$105)*(Объекты!$E$2:$ACH$2="Масса объекта")))=0,NA(),SUMPRODUCT(Объекты!$E$3:$ACH$115*(Объекты!$ACJ$3:$ACJ$115=Графики!I$106)*(Объекты!$E$1:$ACH$1=ВвозАвтоБеркут[[#This Row],[Дата]])*(Объекты!$D$3:$D$115=$A$105)*(Объекты!$E$2:$ACH$2="Масса объекта")))</f>
        <v>#N/A</v>
      </c>
      <c r="J120" s="188" t="e" cm="1">
        <f t="array" aca="1" ref="J120" ca="1">IF((SUMPRODUCT(Объекты!$E$3:$ACH$115*(Объекты!$ACJ$3:$ACJ$115=Графики!J$106)*(Объекты!$E$1:$ACH$1=ВвозАвтоБеркут[[#This Row],[Дата]])*(Объекты!$D$3:$D$115=$A$105)*(Объекты!$E$2:$ACH$2="Масса объекта")))=0,NA(),SUMPRODUCT(Объекты!$E$3:$ACH$115*(Объекты!$ACJ$3:$ACJ$115=Графики!J$106)*(Объекты!$E$1:$ACH$1=ВвозАвтоБеркут[[#This Row],[Дата]])*(Объекты!$D$3:$D$115=$A$105)*(Объекты!$E$2:$ACH$2="Масса объекта")))</f>
        <v>#N/A</v>
      </c>
      <c r="K120" s="188" t="e" cm="1">
        <f t="array" aca="1" ref="K120" ca="1">IF((SUMPRODUCT(Объекты!$E$3:$ACH$115*(Объекты!$ACJ$3:$ACJ$115=Графики!K$106)*(Объекты!$E$1:$ACH$1=ВвозАвтоБеркут[[#This Row],[Дата]])*(Объекты!$D$3:$D$115=$A$105)*(Объекты!$E$2:$ACH$2="Масса объекта")))=0,NA(),SUMPRODUCT(Объекты!$E$3:$ACH$115*(Объекты!$ACJ$3:$ACJ$115=Графики!K$106)*(Объекты!$E$1:$ACH$1=ВвозАвтоБеркут[[#This Row],[Дата]])*(Объекты!$D$3:$D$115=$A$105)*(Объекты!$E$2:$ACH$2="Масса объекта")))</f>
        <v>#N/A</v>
      </c>
      <c r="L120" s="188" t="e" cm="1">
        <f t="array" aca="1" ref="L120" ca="1">IF((SUMPRODUCT(Объекты!$E$3:$ACH$115*(Объекты!$ACJ$3:$ACJ$115=Графики!L$106)*(Объекты!$E$1:$ACH$1=ВвозАвтоБеркут[[#This Row],[Дата]])*(Объекты!$D$3:$D$115=$A$105)*(Объекты!$E$2:$ACH$2="Масса объекта")))=0,NA(),SUMPRODUCT(Объекты!$E$3:$ACH$115*(Объекты!$ACJ$3:$ACJ$115=Графики!L$106)*(Объекты!$E$1:$ACH$1=ВвозАвтоБеркут[[#This Row],[Дата]])*(Объекты!$D$3:$D$115=$A$105)*(Объекты!$E$2:$ACH$2="Масса объекта")))</f>
        <v>#N/A</v>
      </c>
      <c r="M120" s="188" t="e" cm="1">
        <f t="array" aca="1" ref="M120" ca="1">IF((SUMPRODUCT(Объекты!$E$3:$ACH$115*(Объекты!$ACJ$3:$ACJ$115=Графики!M$106)*(Объекты!$E$1:$ACH$1=ВвозАвтоБеркут[[#This Row],[Дата]])*(Объекты!$D$3:$D$115=$A$105)*(Объекты!$E$2:$ACH$2="Масса объекта")))=0,NA(),SUMPRODUCT(Объекты!$E$3:$ACH$115*(Объекты!$ACJ$3:$ACJ$115=Графики!M$106)*(Объекты!$E$1:$ACH$1=ВвозАвтоБеркут[[#This Row],[Дата]])*(Объекты!$D$3:$D$115=$A$105)*(Объекты!$E$2:$ACH$2="Масса объекта")))</f>
        <v>#N/A</v>
      </c>
      <c r="N120" s="189">
        <f ca="1">SUMIF(ВвозАвтоБеркут[[#This Row],[Волхонка АО "Невский экологический оператор"]:[Уткина заводь ООО "Гамма"]],"&lt;&gt;#Н/Д",ВвозАвтоБеркут[[#This Row],[Волхонка АО "Невский экологический оператор"]:[Уткина заводь ООО "Гамма"]])</f>
        <v>0</v>
      </c>
    </row>
    <row r="121" spans="1:15" x14ac:dyDescent="0.25">
      <c r="A121" s="126" t="s">
        <v>37</v>
      </c>
      <c r="B121" s="102">
        <f ca="1">SUMIF(ВвозАвтоБеркут[Волхонка АО "Невский экологический оператор"],"&lt;&gt;#Н/Д",ВвозАвтоБеркут[Волхонка АО "Невский экологический оператор"])</f>
        <v>0</v>
      </c>
      <c r="C121" s="102">
        <f ca="1">SUMIF(ВвозАвтоБеркут[Грузовой АО "Автопарк №1 Спецтранс"],"&lt;&gt;#Н/Д",ВвозАвтоБеркут[Грузовой АО "Автопарк №1 Спецтранс"])</f>
        <v>0</v>
      </c>
      <c r="D121" s="102">
        <f ca="1">SUMIF(ВвозАвтоБеркут[ООО "ТЭК"],"&lt;&gt;#Н/Д",ВвозАвтоБеркут[ООО "ТЭК"])</f>
        <v>0</v>
      </c>
      <c r="E121" s="102">
        <f ca="1">SUMIF(ВвозАвтоБеркут[ООО "Эко Лэнд"],"&lt;&gt;#Н/Д",ВвозАвтоБеркут[ООО "Эко Лэнд"])</f>
        <v>3607.65</v>
      </c>
      <c r="F121" s="102">
        <f ca="1">SUMIF(ВвозАвтоБеркут[Парнас ООО "Эковаст"],"&lt;&gt;#Н/Д",ВвозАвтоБеркут[Парнас ООО "Эковаст"])</f>
        <v>0</v>
      </c>
      <c r="G121" s="102">
        <f ca="1">SUMIF(ВвозАвтоБеркут[Предпортовый ООО "Новый Свет.ЭКО"],"&lt;&gt;#Н/Д",ВвозАвтоБеркут[Предпортовый ООО "Новый Свет.ЭКО"])</f>
        <v>0</v>
      </c>
      <c r="H121" s="102">
        <f ca="1">SUMIF(ВвозАвтоБеркут[Рыбацкое ООО "Эковаст"],"&lt;&gt;#Н/Д",ВвозАвтоБеркут[Рыбацкое ООО "Эковаст"])</f>
        <v>0</v>
      </c>
      <c r="I121" s="102">
        <f ca="1">SUMIF(ВвозАвтоБеркут[Софийская ООО "Эковаст"],"&lt;&gt;#Н/Д",ВвозАвтоБеркут[Софийская ООО "Эковаст"])</f>
        <v>0</v>
      </c>
      <c r="J121" s="102">
        <f ca="1">SUMIF(ВвозАвтоБеркут[Старообрядческая ООО "Новый Свет-ЭКО"],"&lt;&gt;#Н/Д",ВвозАвтоБеркут[Старообрядческая ООО "Новый Свет-ЭКО"])</f>
        <v>0</v>
      </c>
      <c r="K121" s="102">
        <f ca="1">SUMIF(ВвозАвтоБеркут[Уманский ООО "ПСК "Ржевка"],"&lt;&gt;#Н/Д",ВвозАвтоБеркут[Уманский ООО "ПСК "Ржевка"])</f>
        <v>0</v>
      </c>
      <c r="L121" s="102">
        <f ca="1">SUMIF(ВвозАвтоБеркут[Уткина заводь ООО "Гамма"],"&lt;&gt;#Н/Д",ВвозАвтоБеркут[Уткина заводь ООО "Гамма"])</f>
        <v>0</v>
      </c>
      <c r="M121" s="102">
        <f ca="1">SUMIF(ВвозАвтоБеркут[Прямой вывоз],"&lt;&gt;#Н/Д",ВвозАвтоБеркут[Прямой вывоз])</f>
        <v>0</v>
      </c>
      <c r="N121" s="132">
        <f ca="1">SUBTOTAL(109,ВвозАвтоБеркут[Итого])</f>
        <v>3607.65</v>
      </c>
    </row>
    <row r="123" spans="1:15" x14ac:dyDescent="0.25">
      <c r="A123" s="129" t="str">
        <f ca="1">"Среднесуточный ввоз - "&amp;TEXT(ROUND(AVERAGE(ВвозАвтоБеркут[Итого]),2),"# ##0,00")</f>
        <v>Среднесуточный ввоз - 257,69</v>
      </c>
    </row>
    <row r="157" spans="1:15" x14ac:dyDescent="0.25">
      <c r="A157" s="96" t="s">
        <v>8</v>
      </c>
      <c r="B157" s="127" t="s">
        <v>260</v>
      </c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</row>
    <row r="158" spans="1:15" ht="45" x14ac:dyDescent="0.25">
      <c r="A158" s="101" t="s">
        <v>21</v>
      </c>
      <c r="B158" s="99" t="s">
        <v>86</v>
      </c>
      <c r="C158" s="99" t="s">
        <v>87</v>
      </c>
      <c r="D158" s="99" t="s">
        <v>88</v>
      </c>
      <c r="E158" s="99" t="s">
        <v>89</v>
      </c>
      <c r="F158" s="99" t="s">
        <v>90</v>
      </c>
      <c r="G158" s="99" t="s">
        <v>91</v>
      </c>
      <c r="H158" s="99" t="s">
        <v>99</v>
      </c>
      <c r="I158" s="99" t="s">
        <v>100</v>
      </c>
      <c r="J158" s="99" t="s">
        <v>92</v>
      </c>
      <c r="K158" s="99" t="s">
        <v>101</v>
      </c>
      <c r="L158" s="99" t="s">
        <v>102</v>
      </c>
      <c r="M158" s="100" t="s">
        <v>98</v>
      </c>
      <c r="N158" s="103" t="s">
        <v>126</v>
      </c>
    </row>
    <row r="159" spans="1:15" x14ac:dyDescent="0.25">
      <c r="A159" s="126">
        <v>45413</v>
      </c>
      <c r="B159" s="133" cm="1">
        <f t="array" aca="1" ref="B159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550.94000000000005</v>
      </c>
      <c r="C159" s="133" cm="1">
        <f t="array" aca="1" ref="C159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183.95</v>
      </c>
      <c r="D159" s="133" t="e" cm="1">
        <f t="array" aca="1" ref="D159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59" s="133" t="e" cm="1">
        <f t="array" aca="1" ref="E159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59" s="133" cm="1">
        <f t="array" aca="1" ref="F159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303.40999999999997</v>
      </c>
      <c r="G159" s="133" t="e" cm="1">
        <f t="array" aca="1" ref="G159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59" s="133" cm="1">
        <f t="array" aca="1" ref="H159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53.18</v>
      </c>
      <c r="I159" s="133" cm="1">
        <f t="array" aca="1" ref="I159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86.039999999999992</v>
      </c>
      <c r="J159" s="133" t="e" cm="1">
        <f t="array" aca="1" ref="J159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59" s="133" cm="1">
        <f t="array" aca="1" ref="K159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60.679999999999993</v>
      </c>
      <c r="L159" s="133" cm="1">
        <f t="array" aca="1" ref="L159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796.55000000000018</v>
      </c>
      <c r="M159" s="133" t="e" cm="1">
        <f t="array" aca="1" ref="M159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59" s="125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2034.7500000000005</v>
      </c>
    </row>
    <row r="160" spans="1:15" x14ac:dyDescent="0.25">
      <c r="A160" s="134">
        <v>45414</v>
      </c>
      <c r="B160" s="135" cm="1">
        <f t="array" aca="1" ref="B160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459.83000000000004</v>
      </c>
      <c r="C160" s="135" cm="1">
        <f t="array" aca="1" ref="C160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55.45</v>
      </c>
      <c r="D160" s="135" t="e" cm="1">
        <f t="array" aca="1" ref="D160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0" s="135" t="e" cm="1">
        <f t="array" aca="1" ref="E160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0" s="135" cm="1">
        <f t="array" aca="1" ref="F160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243.74</v>
      </c>
      <c r="G160" s="135" t="e" cm="1">
        <f t="array" aca="1" ref="G160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0" s="135" cm="1">
        <f t="array" aca="1" ref="H160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51.14</v>
      </c>
      <c r="I160" s="135" cm="1">
        <f t="array" aca="1" ref="I160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80.569999999999993</v>
      </c>
      <c r="J160" s="135" t="e" cm="1">
        <f t="array" aca="1" ref="J160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60" s="135" t="e" cm="1">
        <f t="array" aca="1" ref="K160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#N/A</v>
      </c>
      <c r="L160" s="135" cm="1">
        <f t="array" aca="1" ref="L160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681.6</v>
      </c>
      <c r="M160" s="135" t="e" cm="1">
        <f t="array" aca="1" ref="M160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0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1572.33</v>
      </c>
      <c r="O160" s="124"/>
    </row>
    <row r="161" spans="1:14" x14ac:dyDescent="0.25">
      <c r="A161" s="134">
        <v>45415</v>
      </c>
      <c r="B161" s="135" cm="1">
        <f t="array" aca="1" ref="B161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510.38</v>
      </c>
      <c r="C161" s="135" cm="1">
        <f t="array" aca="1" ref="C161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117.95</v>
      </c>
      <c r="D161" s="135" t="e" cm="1">
        <f t="array" aca="1" ref="D161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1" s="135" t="e" cm="1">
        <f t="array" aca="1" ref="E161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1" s="135" cm="1">
        <f t="array" aca="1" ref="F161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257.32000000000005</v>
      </c>
      <c r="G161" s="135" t="e" cm="1">
        <f t="array" aca="1" ref="G161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1" s="135" cm="1">
        <f t="array" aca="1" ref="H161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28.35</v>
      </c>
      <c r="I161" s="135" cm="1">
        <f t="array" aca="1" ref="I161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52.66</v>
      </c>
      <c r="J161" s="135" t="e" cm="1">
        <f t="array" aca="1" ref="J161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61" s="135" cm="1">
        <f t="array" aca="1" ref="K161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76.52</v>
      </c>
      <c r="L161" s="135" cm="1">
        <f t="array" aca="1" ref="L161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623.94999999999993</v>
      </c>
      <c r="M161" s="135" t="e" cm="1">
        <f t="array" aca="1" ref="M161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1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1667.13</v>
      </c>
    </row>
    <row r="162" spans="1:14" x14ac:dyDescent="0.25">
      <c r="A162" s="134">
        <v>45416</v>
      </c>
      <c r="B162" s="135" cm="1">
        <f t="array" aca="1" ref="B162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511.93</v>
      </c>
      <c r="C162" s="135" cm="1">
        <f t="array" aca="1" ref="C162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254.6</v>
      </c>
      <c r="D162" s="135" t="e" cm="1">
        <f t="array" aca="1" ref="D162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2" s="135" t="e" cm="1">
        <f t="array" aca="1" ref="E162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2" s="135" cm="1">
        <f t="array" aca="1" ref="F162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212</v>
      </c>
      <c r="G162" s="135" t="e" cm="1">
        <f t="array" aca="1" ref="G162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2" s="135" cm="1">
        <f t="array" aca="1" ref="H162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57.3</v>
      </c>
      <c r="I162" s="135" cm="1">
        <f t="array" aca="1" ref="I162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138.72</v>
      </c>
      <c r="J162" s="135" cm="1">
        <f t="array" aca="1" ref="J162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39.64</v>
      </c>
      <c r="K162" s="135" cm="1">
        <f t="array" aca="1" ref="K162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18.96</v>
      </c>
      <c r="L162" s="135" cm="1">
        <f t="array" aca="1" ref="L162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584.1</v>
      </c>
      <c r="M162" s="135" t="e" cm="1">
        <f t="array" aca="1" ref="M162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2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1817.25</v>
      </c>
    </row>
    <row r="163" spans="1:14" x14ac:dyDescent="0.25">
      <c r="A163" s="134">
        <v>45417</v>
      </c>
      <c r="B163" s="135" cm="1">
        <f t="array" aca="1" ref="B163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627.56000000000006</v>
      </c>
      <c r="C163" s="135" cm="1">
        <f t="array" aca="1" ref="C163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212</v>
      </c>
      <c r="D163" s="135" t="e" cm="1">
        <f t="array" aca="1" ref="D163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3" s="135" t="e" cm="1">
        <f t="array" aca="1" ref="E163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3" s="135" cm="1">
        <f t="array" aca="1" ref="F163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120.96</v>
      </c>
      <c r="G163" s="135" t="e" cm="1">
        <f t="array" aca="1" ref="G163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3" s="135" cm="1">
        <f t="array" aca="1" ref="H163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83.86</v>
      </c>
      <c r="I163" s="135" cm="1">
        <f t="array" aca="1" ref="I163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77.56</v>
      </c>
      <c r="J163" s="135" t="e" cm="1">
        <f t="array" aca="1" ref="J163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63" s="135" t="e" cm="1">
        <f t="array" aca="1" ref="K163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#N/A</v>
      </c>
      <c r="L163" s="135" cm="1">
        <f t="array" aca="1" ref="L163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598.94999999999993</v>
      </c>
      <c r="M163" s="135" t="e" cm="1">
        <f t="array" aca="1" ref="M163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3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1720.8899999999999</v>
      </c>
    </row>
    <row r="164" spans="1:14" x14ac:dyDescent="0.25">
      <c r="A164" s="134">
        <v>45418</v>
      </c>
      <c r="B164" s="135" cm="1">
        <f t="array" aca="1" ref="B164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538.41</v>
      </c>
      <c r="C164" s="135" cm="1">
        <f t="array" aca="1" ref="C164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233.17</v>
      </c>
      <c r="D164" s="135" t="e" cm="1">
        <f t="array" aca="1" ref="D164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4" s="135" t="e" cm="1">
        <f t="array" aca="1" ref="E164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4" s="135" cm="1">
        <f t="array" aca="1" ref="F164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208.09999999999997</v>
      </c>
      <c r="G164" s="135" t="e" cm="1">
        <f t="array" aca="1" ref="G164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4" s="135" cm="1">
        <f t="array" aca="1" ref="H164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56.44</v>
      </c>
      <c r="I164" s="135" cm="1">
        <f t="array" aca="1" ref="I164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81.7</v>
      </c>
      <c r="J164" s="135" t="e" cm="1">
        <f t="array" aca="1" ref="J164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64" s="135" cm="1">
        <f t="array" aca="1" ref="K164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15.48</v>
      </c>
      <c r="L164" s="135" cm="1">
        <f t="array" aca="1" ref="L164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617.20000000000005</v>
      </c>
      <c r="M164" s="135" t="e" cm="1">
        <f t="array" aca="1" ref="M164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4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1750.5</v>
      </c>
    </row>
    <row r="165" spans="1:14" x14ac:dyDescent="0.25">
      <c r="A165" s="134">
        <v>45419</v>
      </c>
      <c r="B165" s="135" cm="1">
        <f t="array" aca="1" ref="B165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556.26</v>
      </c>
      <c r="C165" s="135" cm="1">
        <f t="array" aca="1" ref="C165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235.96</v>
      </c>
      <c r="D165" s="135" t="e" cm="1">
        <f t="array" aca="1" ref="D165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5" s="135" t="e" cm="1">
        <f t="array" aca="1" ref="E165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5" s="135" cm="1">
        <f t="array" aca="1" ref="F165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217.3</v>
      </c>
      <c r="G165" s="135" t="e" cm="1">
        <f t="array" aca="1" ref="G165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5" s="135" cm="1">
        <f t="array" aca="1" ref="H165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52.41</v>
      </c>
      <c r="I165" s="135" cm="1">
        <f t="array" aca="1" ref="I165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82.3</v>
      </c>
      <c r="J165" s="135" cm="1">
        <f t="array" aca="1" ref="J165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28</v>
      </c>
      <c r="K165" s="135" cm="1">
        <f t="array" aca="1" ref="K165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30.64</v>
      </c>
      <c r="L165" s="135" cm="1">
        <f t="array" aca="1" ref="L165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630.54999999999995</v>
      </c>
      <c r="M165" s="135" t="e" cm="1">
        <f t="array" aca="1" ref="M165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5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1833.42</v>
      </c>
    </row>
    <row r="166" spans="1:14" x14ac:dyDescent="0.25">
      <c r="A166" s="134">
        <v>45420</v>
      </c>
      <c r="B166" s="135" cm="1">
        <f t="array" aca="1" ref="B166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526.69999999999993</v>
      </c>
      <c r="C166" s="135" cm="1">
        <f t="array" aca="1" ref="C166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193.17</v>
      </c>
      <c r="D166" s="135" t="e" cm="1">
        <f t="array" aca="1" ref="D166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6" s="135" t="e" cm="1">
        <f t="array" aca="1" ref="E166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6" s="135" cm="1">
        <f t="array" aca="1" ref="F166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249.94</v>
      </c>
      <c r="G166" s="135" t="e" cm="1">
        <f t="array" aca="1" ref="G166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6" s="135" cm="1">
        <f t="array" aca="1" ref="H166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80.540000000000006</v>
      </c>
      <c r="I166" s="135" cm="1">
        <f t="array" aca="1" ref="I166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57.379999999999995</v>
      </c>
      <c r="J166" s="135" cm="1">
        <f t="array" aca="1" ref="J166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41.58</v>
      </c>
      <c r="K166" s="135" cm="1">
        <f t="array" aca="1" ref="K166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16.899999999999999</v>
      </c>
      <c r="L166" s="135" cm="1">
        <f t="array" aca="1" ref="L166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467.44999999999993</v>
      </c>
      <c r="M166" s="135" t="e" cm="1">
        <f t="array" aca="1" ref="M166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6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1633.6599999999999</v>
      </c>
    </row>
    <row r="167" spans="1:14" x14ac:dyDescent="0.25">
      <c r="A167" s="134">
        <v>45421</v>
      </c>
      <c r="B167" s="135" cm="1">
        <f t="array" aca="1" ref="B167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384.85000000000008</v>
      </c>
      <c r="C167" s="135" cm="1">
        <f t="array" aca="1" ref="C167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141.33000000000001</v>
      </c>
      <c r="D167" s="135" t="e" cm="1">
        <f t="array" aca="1" ref="D167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7" s="135" t="e" cm="1">
        <f t="array" aca="1" ref="E167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7" s="135" cm="1">
        <f t="array" aca="1" ref="F167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177.18</v>
      </c>
      <c r="G167" s="135" t="e" cm="1">
        <f t="array" aca="1" ref="G167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7" s="135" cm="1">
        <f t="array" aca="1" ref="H167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84.42</v>
      </c>
      <c r="I167" s="135" cm="1">
        <f t="array" aca="1" ref="I167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51.68</v>
      </c>
      <c r="J167" s="135" cm="1">
        <f t="array" aca="1" ref="J167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35.32</v>
      </c>
      <c r="K167" s="135" cm="1">
        <f t="array" aca="1" ref="K167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84.98</v>
      </c>
      <c r="L167" s="135" cm="1">
        <f t="array" aca="1" ref="L167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367.75000000000006</v>
      </c>
      <c r="M167" s="135" t="e" cm="1">
        <f t="array" aca="1" ref="M167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7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1327.5100000000002</v>
      </c>
    </row>
    <row r="168" spans="1:14" x14ac:dyDescent="0.25">
      <c r="A168" s="134">
        <v>45422</v>
      </c>
      <c r="B168" s="135" cm="1">
        <f t="array" aca="1" ref="B168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496.88999999999993</v>
      </c>
      <c r="C168" s="135" cm="1">
        <f t="array" aca="1" ref="C168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235.56</v>
      </c>
      <c r="D168" s="135" t="e" cm="1">
        <f t="array" aca="1" ref="D168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8" s="135" t="e" cm="1">
        <f t="array" aca="1" ref="E168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8" s="135" cm="1">
        <f t="array" aca="1" ref="F168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211.36</v>
      </c>
      <c r="G168" s="135" t="e" cm="1">
        <f t="array" aca="1" ref="G168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8" s="135" cm="1">
        <f t="array" aca="1" ref="H168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54.28</v>
      </c>
      <c r="I168" s="135" cm="1">
        <f t="array" aca="1" ref="I168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85.63</v>
      </c>
      <c r="J168" s="135" cm="1">
        <f t="array" aca="1" ref="J168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36.86</v>
      </c>
      <c r="K168" s="135" cm="1">
        <f t="array" aca="1" ref="K168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15.6</v>
      </c>
      <c r="L168" s="135" cm="1">
        <f t="array" aca="1" ref="L168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843.00000000000023</v>
      </c>
      <c r="M168" s="135" t="e" cm="1">
        <f t="array" aca="1" ref="M168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8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1979.1799999999998</v>
      </c>
    </row>
    <row r="169" spans="1:14" x14ac:dyDescent="0.25">
      <c r="A169" s="134">
        <v>45423</v>
      </c>
      <c r="B169" s="135" cm="1">
        <f t="array" aca="1" ref="B169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528.91999999999996</v>
      </c>
      <c r="C169" s="135" cm="1">
        <f t="array" aca="1" ref="C169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208.19</v>
      </c>
      <c r="D169" s="135" t="e" cm="1">
        <f t="array" aca="1" ref="D169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69" s="135" t="e" cm="1">
        <f t="array" aca="1" ref="E169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69" s="135" cm="1">
        <f t="array" aca="1" ref="F169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203.82000000000002</v>
      </c>
      <c r="G169" s="135" t="e" cm="1">
        <f t="array" aca="1" ref="G169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69" s="135" cm="1">
        <f t="array" aca="1" ref="H169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78.5</v>
      </c>
      <c r="I169" s="135" cm="1">
        <f t="array" aca="1" ref="I169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113</v>
      </c>
      <c r="J169" s="135" t="e" cm="1">
        <f t="array" aca="1" ref="J169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69" s="135" cm="1">
        <f t="array" aca="1" ref="K169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14.64</v>
      </c>
      <c r="L169" s="135" cm="1">
        <f t="array" aca="1" ref="L169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552.45000000000005</v>
      </c>
      <c r="M169" s="135" t="e" cm="1">
        <f t="array" aca="1" ref="M169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69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1699.52</v>
      </c>
    </row>
    <row r="170" spans="1:14" x14ac:dyDescent="0.25">
      <c r="A170" s="134">
        <v>45424</v>
      </c>
      <c r="B170" s="135" cm="1">
        <f t="array" aca="1" ref="B170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570.83000000000004</v>
      </c>
      <c r="C170" s="135" cm="1">
        <f t="array" aca="1" ref="C170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118.65</v>
      </c>
      <c r="D170" s="135" t="e" cm="1">
        <f t="array" aca="1" ref="D170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70" s="135" t="e" cm="1">
        <f t="array" aca="1" ref="E170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70" s="135" cm="1">
        <f t="array" aca="1" ref="F170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212.13</v>
      </c>
      <c r="G170" s="135" t="e" cm="1">
        <f t="array" aca="1" ref="G170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70" s="135" cm="1">
        <f t="array" aca="1" ref="H170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27.91</v>
      </c>
      <c r="I170" s="135" cm="1">
        <f t="array" aca="1" ref="I170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110</v>
      </c>
      <c r="J170" s="135" t="e" cm="1">
        <f t="array" aca="1" ref="J170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70" s="135" t="e" cm="1">
        <f t="array" aca="1" ref="K170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#N/A</v>
      </c>
      <c r="L170" s="135" cm="1">
        <f t="array" aca="1" ref="L170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855.50000000000011</v>
      </c>
      <c r="M170" s="135" t="e" cm="1">
        <f t="array" aca="1" ref="M170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70" s="136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1895.02</v>
      </c>
    </row>
    <row r="171" spans="1:14" x14ac:dyDescent="0.25">
      <c r="A171" s="138">
        <v>45425</v>
      </c>
      <c r="B171" s="139" cm="1">
        <f t="array" aca="1" ref="B171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594.58000000000004</v>
      </c>
      <c r="C171" s="139" cm="1">
        <f t="array" aca="1" ref="C171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165.85</v>
      </c>
      <c r="D171" s="139" t="e" cm="1">
        <f t="array" aca="1" ref="D171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71" s="139" t="e" cm="1">
        <f t="array" aca="1" ref="E171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71" s="139" cm="1">
        <f t="array" aca="1" ref="F171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165.76</v>
      </c>
      <c r="G171" s="139" t="e" cm="1">
        <f t="array" aca="1" ref="G171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71" s="139" t="e" cm="1">
        <f t="array" aca="1" ref="H171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#N/A</v>
      </c>
      <c r="I171" s="139" cm="1">
        <f t="array" aca="1" ref="I171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143.30000000000001</v>
      </c>
      <c r="J171" s="139" t="e" cm="1">
        <f t="array" aca="1" ref="J171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71" s="139" cm="1">
        <f t="array" aca="1" ref="K171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18.899999999999999</v>
      </c>
      <c r="L171" s="139" cm="1">
        <f t="array" aca="1" ref="L171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422.74999999999994</v>
      </c>
      <c r="M171" s="139" t="e" cm="1">
        <f t="array" aca="1" ref="M171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71" s="140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1511.14</v>
      </c>
    </row>
    <row r="172" spans="1:14" x14ac:dyDescent="0.25">
      <c r="A172" s="185">
        <v>45426</v>
      </c>
      <c r="B172" s="186" cm="1">
        <f t="array" aca="1" ref="B172" ca="1">IF((SUMPRODUCT(Объекты!$E$3:$ACH$115*(Объекты!$ACJ$3:$ACJ$115=Графики!B$158)*(Объекты!$E$1:$ACH$1=ВвозЭкоПлант[[#This Row],[Дата]])*(Объекты!$D$3:$D$115=$A$157)*(Объекты!$E$2:$ACH$2="Масса объекта")))=0,NA(),SUMPRODUCT(Объекты!$E$3:$ACH$115*(Объекты!$ACJ$3:$ACJ$115=Графики!B$158)*(Объекты!$E$1:$ACH$1=ВвозЭкоПлант[[#This Row],[Дата]])*(Объекты!$D$3:$D$115=$A$157)*(Объекты!$E$2:$ACH$2="Масса объекта")))</f>
        <v>100.67000000000002</v>
      </c>
      <c r="C172" s="186" t="e" cm="1">
        <f t="array" aca="1" ref="C172" ca="1">IF((SUMPRODUCT(Объекты!$E$3:$ACH$115*(Объекты!$ACJ$3:$ACJ$115=Графики!C$158)*(Объекты!$E$1:$ACH$1=ВвозЭкоПлант[[#This Row],[Дата]])*(Объекты!$D$3:$D$115=$A$157)*(Объекты!$E$2:$ACH$2="Масса объекта")))=0,NA(),SUMPRODUCT(Объекты!$E$3:$ACH$115*(Объекты!$ACJ$3:$ACJ$115=Графики!C$158)*(Объекты!$E$1:$ACH$1=ВвозЭкоПлант[[#This Row],[Дата]])*(Объекты!$D$3:$D$115=$A$157)*(Объекты!$E$2:$ACH$2="Масса объекта")))</f>
        <v>#N/A</v>
      </c>
      <c r="D172" s="186" t="e" cm="1">
        <f t="array" aca="1" ref="D172" ca="1">IF((SUMPRODUCT(Объекты!$E$3:$ACH$115*(Объекты!$ACJ$3:$ACJ$115=Графики!D$158)*(Объекты!$E$1:$ACH$1=ВвозЭкоПлант[[#This Row],[Дата]])*(Объекты!$D$3:$D$115=$A$157)*(Объекты!$E$2:$ACH$2="Масса объекта")))=0,NA(),SUMPRODUCT(Объекты!$E$3:$ACH$115*(Объекты!$ACJ$3:$ACJ$115=Графики!D$158)*(Объекты!$E$1:$ACH$1=ВвозЭкоПлант[[#This Row],[Дата]])*(Объекты!$D$3:$D$115=$A$157)*(Объекты!$E$2:$ACH$2="Масса объекта")))</f>
        <v>#N/A</v>
      </c>
      <c r="E172" s="186" t="e" cm="1">
        <f t="array" aca="1" ref="E172" ca="1">IF((SUMPRODUCT(Объекты!$E$3:$ACH$115*(Объекты!$ACJ$3:$ACJ$115=Графики!E$158)*(Объекты!$E$1:$ACH$1=ВвозЭкоПлант[[#This Row],[Дата]])*(Объекты!$D$3:$D$115=$A$157)*(Объекты!$E$2:$ACH$2="Масса объекта")))=0,NA(),SUMPRODUCT(Объекты!$E$3:$ACH$115*(Объекты!$ACJ$3:$ACJ$115=Графики!E$158)*(Объекты!$E$1:$ACH$1=ВвозЭкоПлант[[#This Row],[Дата]])*(Объекты!$D$3:$D$115=$A$157)*(Объекты!$E$2:$ACH$2="Масса объекта")))</f>
        <v>#N/A</v>
      </c>
      <c r="F172" s="186" cm="1">
        <f t="array" aca="1" ref="F172" ca="1">IF((SUMPRODUCT(Объекты!$E$3:$ACH$115*(Объекты!$ACJ$3:$ACJ$115=Графики!F$158)*(Объекты!$E$1:$ACH$1=ВвозЭкоПлант[[#This Row],[Дата]])*(Объекты!$D$3:$D$115=$A$157)*(Объекты!$E$2:$ACH$2="Масса объекта")))=0,NA(),SUMPRODUCT(Объекты!$E$3:$ACH$115*(Объекты!$ACJ$3:$ACJ$115=Графики!F$158)*(Объекты!$E$1:$ACH$1=ВвозЭкоПлант[[#This Row],[Дата]])*(Объекты!$D$3:$D$115=$A$157)*(Объекты!$E$2:$ACH$2="Масса объекта")))</f>
        <v>168.06</v>
      </c>
      <c r="G172" s="186" t="e" cm="1">
        <f t="array" aca="1" ref="G172" ca="1">IF((SUMPRODUCT(Объекты!$E$3:$ACH$115*(Объекты!$ACJ$3:$ACJ$115=Графики!G$158)*(Объекты!$E$1:$ACH$1=ВвозЭкоПлант[[#This Row],[Дата]])*(Объекты!$D$3:$D$115=$A$157)*(Объекты!$E$2:$ACH$2="Масса объекта")))=0,NA(),SUMPRODUCT(Объекты!$E$3:$ACH$115*(Объекты!$ACJ$3:$ACJ$115=Графики!G$158)*(Объекты!$E$1:$ACH$1=ВвозЭкоПлант[[#This Row],[Дата]])*(Объекты!$D$3:$D$115=$A$157)*(Объекты!$E$2:$ACH$2="Масса объекта")))</f>
        <v>#N/A</v>
      </c>
      <c r="H172" s="186" t="e" cm="1">
        <f t="array" aca="1" ref="H172" ca="1">IF((SUMPRODUCT(Объекты!$E$3:$ACH$115*(Объекты!$ACJ$3:$ACJ$115=Графики!H$158)*(Объекты!$E$1:$ACH$1=ВвозЭкоПлант[[#This Row],[Дата]])*(Объекты!$D$3:$D$115=$A$157)*(Объекты!$E$2:$ACH$2="Масса объекта")))=0,NA(),SUMPRODUCT(Объекты!$E$3:$ACH$115*(Объекты!$ACJ$3:$ACJ$115=Графики!H$158)*(Объекты!$E$1:$ACH$1=ВвозЭкоПлант[[#This Row],[Дата]])*(Объекты!$D$3:$D$115=$A$157)*(Объекты!$E$2:$ACH$2="Масса объекта")))</f>
        <v>#N/A</v>
      </c>
      <c r="I172" s="186" t="e" cm="1">
        <f t="array" aca="1" ref="I172" ca="1">IF((SUMPRODUCT(Объекты!$E$3:$ACH$115*(Объекты!$ACJ$3:$ACJ$115=Графики!I$158)*(Объекты!$E$1:$ACH$1=ВвозЭкоПлант[[#This Row],[Дата]])*(Объекты!$D$3:$D$115=$A$157)*(Объекты!$E$2:$ACH$2="Масса объекта")))=0,NA(),SUMPRODUCT(Объекты!$E$3:$ACH$115*(Объекты!$ACJ$3:$ACJ$115=Графики!I$158)*(Объекты!$E$1:$ACH$1=ВвозЭкоПлант[[#This Row],[Дата]])*(Объекты!$D$3:$D$115=$A$157)*(Объекты!$E$2:$ACH$2="Масса объекта")))</f>
        <v>#N/A</v>
      </c>
      <c r="J172" s="186" t="e" cm="1">
        <f t="array" aca="1" ref="J172" ca="1">IF((SUMPRODUCT(Объекты!$E$3:$ACH$115*(Объекты!$ACJ$3:$ACJ$115=Графики!J$158)*(Объекты!$E$1:$ACH$1=ВвозЭкоПлант[[#This Row],[Дата]])*(Объекты!$D$3:$D$115=$A$157)*(Объекты!$E$2:$ACH$2="Масса объекта")))=0,NA(),SUMPRODUCT(Объекты!$E$3:$ACH$115*(Объекты!$ACJ$3:$ACJ$115=Графики!J$158)*(Объекты!$E$1:$ACH$1=ВвозЭкоПлант[[#This Row],[Дата]])*(Объекты!$D$3:$D$115=$A$157)*(Объекты!$E$2:$ACH$2="Масса объекта")))</f>
        <v>#N/A</v>
      </c>
      <c r="K172" s="186" t="e" cm="1">
        <f t="array" aca="1" ref="K172" ca="1">IF((SUMPRODUCT(Объекты!$E$3:$ACH$115*(Объекты!$ACJ$3:$ACJ$115=Графики!K$158)*(Объекты!$E$1:$ACH$1=ВвозЭкоПлант[[#This Row],[Дата]])*(Объекты!$D$3:$D$115=$A$157)*(Объекты!$E$2:$ACH$2="Масса объекта")))=0,NA(),SUMPRODUCT(Объекты!$E$3:$ACH$115*(Объекты!$ACJ$3:$ACJ$115=Графики!K$158)*(Объекты!$E$1:$ACH$1=ВвозЭкоПлант[[#This Row],[Дата]])*(Объекты!$D$3:$D$115=$A$157)*(Объекты!$E$2:$ACH$2="Масса объекта")))</f>
        <v>#N/A</v>
      </c>
      <c r="L172" s="186" t="e" cm="1">
        <f t="array" aca="1" ref="L172" ca="1">IF((SUMPRODUCT(Объекты!$E$3:$ACH$115*(Объекты!$ACJ$3:$ACJ$115=Графики!L$158)*(Объекты!$E$1:$ACH$1=ВвозЭкоПлант[[#This Row],[Дата]])*(Объекты!$D$3:$D$115=$A$157)*(Объекты!$E$2:$ACH$2="Масса объекта")))=0,NA(),SUMPRODUCT(Объекты!$E$3:$ACH$115*(Объекты!$ACJ$3:$ACJ$115=Графики!L$158)*(Объекты!$E$1:$ACH$1=ВвозЭкоПлант[[#This Row],[Дата]])*(Объекты!$D$3:$D$115=$A$157)*(Объекты!$E$2:$ACH$2="Масса объекта")))</f>
        <v>#N/A</v>
      </c>
      <c r="M172" s="186" t="e" cm="1">
        <f t="array" aca="1" ref="M172" ca="1">IF((SUMPRODUCT(Объекты!$E$3:$ACH$115*(Объекты!$ACJ$3:$ACJ$115=Графики!M$158)*(Объекты!$E$1:$ACH$1=ВвозЭкоПлант[[#This Row],[Дата]])*(Объекты!$D$3:$D$115=$A$157)*(Объекты!$E$2:$ACH$2="Масса объекта")))=0,NA(),SUMPRODUCT(Объекты!$E$3:$ACH$115*(Объекты!$ACJ$3:$ACJ$115=Графики!M$158)*(Объекты!$E$1:$ACH$1=ВвозЭкоПлант[[#This Row],[Дата]])*(Объекты!$D$3:$D$115=$A$157)*(Объекты!$E$2:$ACH$2="Масса объекта")))</f>
        <v>#N/A</v>
      </c>
      <c r="N172" s="187">
        <f ca="1">SUMIF(ВвозЭкоПлант[[#This Row],[Волхонка АО "Невский экологический оператор"]:[Уткина заводь ООО "Гамма"]],"&lt;&gt;#Н/Д",ВвозЭкоПлант[[#This Row],[Волхонка АО "Невский экологический оператор"]:[Уткина заводь ООО "Гамма"]])</f>
        <v>268.73</v>
      </c>
    </row>
    <row r="173" spans="1:14" x14ac:dyDescent="0.25">
      <c r="A173" s="126" t="s">
        <v>37</v>
      </c>
      <c r="B173" s="131">
        <f ca="1">SUMIF(ВвозЭкоПлант[Волхонка АО "Невский экологический оператор"],"&lt;&gt;#Н/Д",ВвозЭкоПлант[Волхонка АО "Невский экологический оператор"])</f>
        <v>6958.7500000000009</v>
      </c>
      <c r="C173" s="131">
        <f ca="1">SUMIF(ВвозЭкоПлант[Грузовой АО "Автопарк №1 Спецтранс"],"&lt;&gt;#Н/Д",ВвозЭкоПлант[Грузовой АО "Автопарк №1 Спецтранс"])</f>
        <v>2355.83</v>
      </c>
      <c r="D173" s="131">
        <f ca="1">SUMIF(ВвозЭкоПлант[ООО "ТЭК"],"&lt;&gt;#Н/Д",ВвозЭкоПлант[ООО "ТЭК"])</f>
        <v>0</v>
      </c>
      <c r="E173" s="131">
        <f ca="1">SUMIF(ВвозЭкоПлант[ООО "Эко Лэнд"],"&lt;&gt;#Н/Д",ВвозЭкоПлант[ООО "Эко Лэнд"])</f>
        <v>0</v>
      </c>
      <c r="F173" s="131">
        <f ca="1">SUMIF(ВвозЭкоПлант[Парнас ООО "Эковаст"],"&lt;&gt;#Н/Д",ВвозЭкоПлант[Парнас ООО "Эковаст"])</f>
        <v>2951.0800000000004</v>
      </c>
      <c r="G173" s="131">
        <f ca="1">SUMIF(ВвозЭкоПлант[Предпортовый ООО "Новый Свет.ЭКО"],"&lt;&gt;#Н/Д",ВвозЭкоПлант[Предпортовый ООО "Новый Свет.ЭКО"])</f>
        <v>0</v>
      </c>
      <c r="H173" s="131">
        <f ca="1">SUMIF(ВвозЭкоПлант[Рыбацкое ООО "Эковаст"],"&lt;&gt;#Н/Д",ВвозЭкоПлант[Рыбацкое ООО "Эковаст"])</f>
        <v>708.32999999999993</v>
      </c>
      <c r="I173" s="131">
        <f ca="1">SUMIF(ВвозЭкоПлант[Софийская ООО "Эковаст"],"&lt;&gt;#Н/Д",ВвозЭкоПлант[Софийская ООО "Эковаст"])</f>
        <v>1160.54</v>
      </c>
      <c r="J173" s="131">
        <f ca="1">SUMIF(ВвозЭкоПлант[Старообрядческая ООО "Новый Свет-ЭКО"],"&lt;&gt;#Н/Д",ВвозЭкоПлант[Старообрядческая ООО "Новый Свет-ЭКО"])</f>
        <v>181.39999999999998</v>
      </c>
      <c r="K173" s="131">
        <f ca="1">SUMIF(ВвозЭкоПлант[Уманский ООО "ПСК "Ржевка"],"&lt;&gt;#Н/Д",ВвозЭкоПлант[Уманский ООО "ПСК "Ржевка"])</f>
        <v>353.29999999999995</v>
      </c>
      <c r="L173" s="131">
        <f ca="1">SUMIF(ВвозЭкоПлант[Уткина заводь ООО "Гамма"],"&lt;&gt;#Н/Д",ВвозЭкоПлант[Уткина заводь ООО "Гамма"])</f>
        <v>8041.7999999999993</v>
      </c>
      <c r="M173" s="131">
        <f ca="1">SUMIF(ВвозЭкоПлант[Прямой вывоз],"&lt;&gt;#Н/Д",ВвозЭкоПлант[Прямой вывоз])</f>
        <v>0</v>
      </c>
      <c r="N173" s="125">
        <f ca="1">SUBTOTAL(109,ВвозЭкоПлант[Итого])</f>
        <v>22711.03</v>
      </c>
    </row>
    <row r="175" spans="1:14" x14ac:dyDescent="0.25">
      <c r="A175" s="129" t="str">
        <f ca="1">"Среднесуточный ввоз - "&amp;TEXT(ROUND(AVERAGE(ВвозЭкоПлант[Итого]),2),"# ##0,00")</f>
        <v>Среднесуточный ввоз - 1 622,22</v>
      </c>
    </row>
    <row r="183" spans="3:6" x14ac:dyDescent="0.25">
      <c r="F183" s="105"/>
    </row>
    <row r="184" spans="3:6" x14ac:dyDescent="0.25">
      <c r="C184" s="105"/>
    </row>
    <row r="205" spans="15:15" x14ac:dyDescent="0.25">
      <c r="O205" s="124"/>
    </row>
    <row r="209" spans="1:14" x14ac:dyDescent="0.25">
      <c r="A209" s="96" t="s">
        <v>9</v>
      </c>
      <c r="B209" s="128" t="s">
        <v>261</v>
      </c>
      <c r="C209" s="97"/>
      <c r="D209" s="97"/>
      <c r="E209" s="97"/>
      <c r="F209" s="97"/>
      <c r="G209" s="97"/>
      <c r="H209" s="97"/>
      <c r="I209" s="97"/>
      <c r="J209" s="97"/>
      <c r="K209" s="97"/>
      <c r="L209" s="97"/>
      <c r="M209" s="97"/>
      <c r="N209" s="97"/>
    </row>
    <row r="210" spans="1:14" ht="45" x14ac:dyDescent="0.25">
      <c r="A210" s="98" t="s">
        <v>21</v>
      </c>
      <c r="B210" s="99" t="s">
        <v>86</v>
      </c>
      <c r="C210" s="99" t="s">
        <v>87</v>
      </c>
      <c r="D210" s="99" t="s">
        <v>88</v>
      </c>
      <c r="E210" s="99" t="s">
        <v>89</v>
      </c>
      <c r="F210" s="99" t="s">
        <v>90</v>
      </c>
      <c r="G210" s="99" t="s">
        <v>91</v>
      </c>
      <c r="H210" s="99" t="s">
        <v>99</v>
      </c>
      <c r="I210" s="99" t="s">
        <v>100</v>
      </c>
      <c r="J210" s="99" t="s">
        <v>92</v>
      </c>
      <c r="K210" s="99" t="s">
        <v>101</v>
      </c>
      <c r="L210" s="99" t="s">
        <v>102</v>
      </c>
      <c r="M210" s="100" t="s">
        <v>98</v>
      </c>
      <c r="N210" s="100" t="s">
        <v>126</v>
      </c>
    </row>
    <row r="211" spans="1:14" x14ac:dyDescent="0.25">
      <c r="A211" s="126">
        <v>45413</v>
      </c>
      <c r="B211" s="131"/>
      <c r="C211" s="131"/>
      <c r="D211" s="131"/>
      <c r="E211" s="131"/>
      <c r="F211" s="131"/>
      <c r="G211" s="131"/>
      <c r="H211" s="131"/>
      <c r="I211" s="131"/>
      <c r="J211" s="131"/>
      <c r="K211" s="131"/>
      <c r="L211" s="131"/>
      <c r="M211" s="133"/>
      <c r="N211" s="125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2" spans="1:14" x14ac:dyDescent="0.25">
      <c r="A212" s="134">
        <v>45414</v>
      </c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5"/>
      <c r="N212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3" spans="1:14" x14ac:dyDescent="0.25">
      <c r="A213" s="134">
        <v>45415</v>
      </c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5"/>
      <c r="N213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4" spans="1:14" x14ac:dyDescent="0.25">
      <c r="A214" s="134">
        <v>45416</v>
      </c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5"/>
      <c r="N214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5" spans="1:14" x14ac:dyDescent="0.25">
      <c r="A215" s="134">
        <v>45417</v>
      </c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5"/>
      <c r="N215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6" spans="1:14" x14ac:dyDescent="0.25">
      <c r="A216" s="134">
        <v>45418</v>
      </c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5"/>
      <c r="N216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7" spans="1:14" x14ac:dyDescent="0.25">
      <c r="A217" s="134">
        <v>45419</v>
      </c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5"/>
      <c r="N217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8" spans="1:14" x14ac:dyDescent="0.25">
      <c r="A218" s="134">
        <v>45420</v>
      </c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5"/>
      <c r="N218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19" spans="1:14" x14ac:dyDescent="0.25">
      <c r="A219" s="134">
        <v>45421</v>
      </c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5"/>
      <c r="N219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20" spans="1:14" x14ac:dyDescent="0.25">
      <c r="A220" s="134">
        <v>45422</v>
      </c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5"/>
      <c r="N220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21" spans="1:14" x14ac:dyDescent="0.25">
      <c r="A221" s="134">
        <v>45423</v>
      </c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5"/>
      <c r="N221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22" spans="1:14" x14ac:dyDescent="0.25">
      <c r="A222" s="134">
        <v>45424</v>
      </c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5"/>
      <c r="N222" s="136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23" spans="1:14" x14ac:dyDescent="0.25">
      <c r="A223" s="138">
        <v>45425</v>
      </c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39"/>
      <c r="N223" s="140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24" spans="1:14" x14ac:dyDescent="0.25">
      <c r="A224" s="185">
        <v>45426</v>
      </c>
      <c r="B224" s="190"/>
      <c r="C224" s="190"/>
      <c r="D224" s="190"/>
      <c r="E224" s="190"/>
      <c r="F224" s="190"/>
      <c r="G224" s="190"/>
      <c r="H224" s="190"/>
      <c r="I224" s="190"/>
      <c r="J224" s="190"/>
      <c r="K224" s="190"/>
      <c r="L224" s="190"/>
      <c r="M224" s="188"/>
      <c r="N224" s="189">
        <f>SUMIF(ВвозУКЛО[[#This Row],[Волхонка АО "Невский экологический оператор"]:[Уткина заводь ООО "Гамма"]],"&lt;&gt;#Н/Д",ВвозУКЛО[[#This Row],[Волхонка АО "Невский экологический оператор"]:[Уткина заводь ООО "Гамма"]])</f>
        <v>0</v>
      </c>
    </row>
    <row r="225" spans="1:14" x14ac:dyDescent="0.25">
      <c r="A225" s="126" t="s">
        <v>37</v>
      </c>
      <c r="B225" s="131">
        <f>SUMIF(ВвозУКЛО[Волхонка АО "Невский экологический оператор"],"&lt;&gt;#Н/Д",ВвозУКЛО[Волхонка АО "Невский экологический оператор"])</f>
        <v>0</v>
      </c>
      <c r="C225" s="131">
        <f>SUMIF(ВвозУКЛО[Грузовой АО "Автопарк №1 Спецтранс"],"&lt;&gt;#Н/Д",ВвозУКЛО[Грузовой АО "Автопарк №1 Спецтранс"])</f>
        <v>0</v>
      </c>
      <c r="D225" s="131">
        <f>SUMIF(ВвозУКЛО[ООО "ТЭК"],"&lt;&gt;#Н/Д",ВвозУКЛО[ООО "ТЭК"])</f>
        <v>0</v>
      </c>
      <c r="E225" s="131">
        <f>SUMIF(ВвозУКЛО[ООО "Эко Лэнд"],"&lt;&gt;#Н/Д",ВвозУКЛО[ООО "Эко Лэнд"])</f>
        <v>0</v>
      </c>
      <c r="F225" s="131">
        <f>SUMIF(ВвозУКЛО[Парнас ООО "Эковаст"],"&lt;&gt;#Н/Д",ВвозУКЛО[Парнас ООО "Эковаст"])</f>
        <v>0</v>
      </c>
      <c r="G225" s="131">
        <f>SUMIF(ВвозУКЛО[Предпортовый ООО "Новый Свет.ЭКО"],"&lt;&gt;#Н/Д",ВвозУКЛО[Предпортовый ООО "Новый Свет.ЭКО"])</f>
        <v>0</v>
      </c>
      <c r="H225" s="131">
        <f>SUMIF(ВвозУКЛО[Рыбацкое ООО "Эковаст"],"&lt;&gt;#Н/Д",ВвозУКЛО[Рыбацкое ООО "Эковаст"])</f>
        <v>0</v>
      </c>
      <c r="I225" s="131">
        <f>SUMIF(ВвозУКЛО[Софийская ООО "Эковаст"],"&lt;&gt;#Н/Д",ВвозУКЛО[Софийская ООО "Эковаст"])</f>
        <v>0</v>
      </c>
      <c r="J225" s="131">
        <f>SUMIF(ВвозУКЛО[Старообрядческая ООО "Новый Свет-ЭКО"],"&lt;&gt;#Н/Д",ВвозУКЛО[Старообрядческая ООО "Новый Свет-ЭКО"])</f>
        <v>0</v>
      </c>
      <c r="K225" s="131">
        <f>SUMIF(ВвозУКЛО[Уманский ООО "ПСК "Ржевка"],"&lt;&gt;#Н/Д",ВвозУКЛО[Уманский ООО "ПСК "Ржевка"])</f>
        <v>0</v>
      </c>
      <c r="L225" s="131">
        <f>SUMIF(ВвозУКЛО[Уткина заводь ООО "Гамма"],"&lt;&gt;#Н/Д",ВвозУКЛО[Уткина заводь ООО "Гамма"])</f>
        <v>0</v>
      </c>
      <c r="M225" s="131">
        <f>SUMIF(ВвозУКЛО[Прямой вывоз],"&lt;&gt;#Н/Д",ВвозУКЛО[Прямой вывоз])</f>
        <v>0</v>
      </c>
      <c r="N225" s="125">
        <f>SUBTOTAL(109,ВвозУКЛО[Итого])</f>
        <v>0</v>
      </c>
    </row>
    <row r="226" spans="1:14" x14ac:dyDescent="0.25">
      <c r="A226" s="129" t="str">
        <f>"Среднесуточный ввоз - "&amp;TEXT(ROUND(AVERAGE(ВвозУКЛО[Итого]),2),"# ##0,00")</f>
        <v>Среднесуточный ввоз - 0,00</v>
      </c>
    </row>
  </sheetData>
  <phoneticPr fontId="15" type="noConversion"/>
  <conditionalFormatting sqref="B17:M17 M69 M173 M225 M121">
    <cfRule type="cellIs" dxfId="41" priority="5" operator="greaterThan">
      <formula>0</formula>
    </cfRule>
  </conditionalFormatting>
  <conditionalFormatting sqref="B69:L69">
    <cfRule type="cellIs" dxfId="40" priority="4" operator="greaterThan">
      <formula>0</formula>
    </cfRule>
  </conditionalFormatting>
  <conditionalFormatting sqref="B173:L173">
    <cfRule type="cellIs" dxfId="39" priority="3" operator="greaterThan">
      <formula>0</formula>
    </cfRule>
  </conditionalFormatting>
  <conditionalFormatting sqref="B225:L225">
    <cfRule type="cellIs" dxfId="38" priority="2" operator="greaterThan">
      <formula>0</formula>
    </cfRule>
  </conditionalFormatting>
  <conditionalFormatting sqref="B121:L121">
    <cfRule type="cellIs" dxfId="37" priority="1" operator="greaterThan">
      <formula>0</formula>
    </cfRule>
  </conditionalFormatting>
  <pageMargins left="0.7" right="0.7" top="0.75" bottom="0.75" header="0.3" footer="0.3"/>
  <pageSetup paperSize="9" scale="20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M108"/>
  <sheetViews>
    <sheetView showGridLines="0" topLeftCell="A38" zoomScale="70" zoomScaleNormal="70" workbookViewId="0">
      <selection activeCell="G51" sqref="G51"/>
    </sheetView>
  </sheetViews>
  <sheetFormatPr defaultColWidth="9.140625" defaultRowHeight="15" x14ac:dyDescent="0.25"/>
  <cols>
    <col min="1" max="3" width="24.28515625" style="56" customWidth="1"/>
    <col min="4" max="5" width="9.140625" style="56"/>
    <col min="6" max="6" width="29.85546875" style="56" customWidth="1"/>
    <col min="7" max="17" width="22" style="56" customWidth="1"/>
    <col min="18" max="16384" width="9.140625" style="56"/>
  </cols>
  <sheetData>
    <row r="1" spans="1:13" ht="45" customHeight="1" x14ac:dyDescent="0.25">
      <c r="A1" s="57" t="s">
        <v>56</v>
      </c>
      <c r="B1" s="58" t="s">
        <v>58</v>
      </c>
      <c r="C1" s="59" t="s">
        <v>63</v>
      </c>
      <c r="F1" s="57" t="s">
        <v>95</v>
      </c>
      <c r="G1" s="59" t="s">
        <v>96</v>
      </c>
      <c r="J1" s="56" t="s">
        <v>125</v>
      </c>
      <c r="L1" s="56" t="s">
        <v>130</v>
      </c>
      <c r="M1" s="56" t="s">
        <v>251</v>
      </c>
    </row>
    <row r="2" spans="1:13" ht="60" x14ac:dyDescent="0.25">
      <c r="A2" s="60" t="s">
        <v>54</v>
      </c>
      <c r="B2" s="61" t="s">
        <v>58</v>
      </c>
      <c r="C2" s="62" t="s">
        <v>59</v>
      </c>
      <c r="F2" s="60" t="s">
        <v>86</v>
      </c>
      <c r="G2" s="62" t="s">
        <v>40</v>
      </c>
      <c r="J2" s="56" t="s">
        <v>86</v>
      </c>
      <c r="L2" s="56" t="s">
        <v>6</v>
      </c>
      <c r="M2" s="56" t="s">
        <v>252</v>
      </c>
    </row>
    <row r="3" spans="1:13" ht="45" x14ac:dyDescent="0.25">
      <c r="A3" s="60" t="s">
        <v>55</v>
      </c>
      <c r="B3" s="61" t="s">
        <v>60</v>
      </c>
      <c r="C3" s="62" t="s">
        <v>61</v>
      </c>
      <c r="F3" s="60" t="s">
        <v>87</v>
      </c>
      <c r="G3" s="62" t="s">
        <v>41</v>
      </c>
      <c r="J3" s="56" t="s">
        <v>87</v>
      </c>
      <c r="L3" s="56" t="s">
        <v>7</v>
      </c>
      <c r="M3" s="56" t="s">
        <v>253</v>
      </c>
    </row>
    <row r="4" spans="1:13" x14ac:dyDescent="0.25">
      <c r="A4" s="60" t="s">
        <v>56</v>
      </c>
      <c r="B4" s="61" t="s">
        <v>62</v>
      </c>
      <c r="C4" s="62" t="s">
        <v>63</v>
      </c>
      <c r="F4" s="60" t="s">
        <v>88</v>
      </c>
      <c r="G4" s="62" t="s">
        <v>47</v>
      </c>
      <c r="J4" s="56" t="s">
        <v>88</v>
      </c>
      <c r="L4" s="56" t="s">
        <v>4</v>
      </c>
      <c r="M4" s="56" t="s">
        <v>254</v>
      </c>
    </row>
    <row r="5" spans="1:13" ht="30" x14ac:dyDescent="0.25">
      <c r="A5" s="60" t="s">
        <v>57</v>
      </c>
      <c r="B5" s="61" t="s">
        <v>64</v>
      </c>
      <c r="C5" s="62" t="s">
        <v>65</v>
      </c>
      <c r="F5" s="60" t="s">
        <v>89</v>
      </c>
      <c r="G5" s="62" t="s">
        <v>48</v>
      </c>
      <c r="J5" s="56" t="s">
        <v>89</v>
      </c>
      <c r="L5" s="56" t="s">
        <v>8</v>
      </c>
      <c r="M5" s="56" t="s">
        <v>255</v>
      </c>
    </row>
    <row r="6" spans="1:13" ht="60" x14ac:dyDescent="0.25">
      <c r="A6" s="60" t="s">
        <v>69</v>
      </c>
      <c r="B6" s="61" t="s">
        <v>66</v>
      </c>
      <c r="C6" s="62" t="s">
        <v>67</v>
      </c>
      <c r="F6" s="60" t="s">
        <v>90</v>
      </c>
      <c r="G6" s="62" t="s">
        <v>42</v>
      </c>
      <c r="J6" s="56" t="s">
        <v>90</v>
      </c>
      <c r="L6" s="56" t="s">
        <v>9</v>
      </c>
      <c r="M6" s="56" t="s">
        <v>256</v>
      </c>
    </row>
    <row r="7" spans="1:13" ht="30" x14ac:dyDescent="0.25">
      <c r="A7" s="63"/>
      <c r="B7" s="64" t="s">
        <v>68</v>
      </c>
      <c r="C7" s="65" t="s">
        <v>67</v>
      </c>
      <c r="F7" s="60" t="s">
        <v>91</v>
      </c>
      <c r="G7" s="62" t="s">
        <v>43</v>
      </c>
      <c r="J7" s="56" t="s">
        <v>91</v>
      </c>
    </row>
    <row r="8" spans="1:13" ht="30" x14ac:dyDescent="0.25">
      <c r="F8" s="60" t="s">
        <v>99</v>
      </c>
      <c r="G8" s="62" t="s">
        <v>44</v>
      </c>
      <c r="J8" s="56" t="s">
        <v>99</v>
      </c>
    </row>
    <row r="9" spans="1:13" ht="30" x14ac:dyDescent="0.25">
      <c r="F9" s="60" t="s">
        <v>100</v>
      </c>
      <c r="G9" s="62" t="s">
        <v>45</v>
      </c>
      <c r="J9" s="56" t="s">
        <v>100</v>
      </c>
    </row>
    <row r="10" spans="1:13" ht="45" x14ac:dyDescent="0.25">
      <c r="F10" s="60" t="s">
        <v>92</v>
      </c>
      <c r="G10" s="62" t="s">
        <v>46</v>
      </c>
      <c r="J10" s="56" t="s">
        <v>92</v>
      </c>
    </row>
    <row r="11" spans="1:13" ht="30" x14ac:dyDescent="0.25">
      <c r="F11" s="60" t="s">
        <v>101</v>
      </c>
      <c r="G11" s="62" t="s">
        <v>49</v>
      </c>
      <c r="J11" s="56" t="s">
        <v>101</v>
      </c>
    </row>
    <row r="12" spans="1:13" ht="30" x14ac:dyDescent="0.25">
      <c r="F12" s="60" t="s">
        <v>102</v>
      </c>
      <c r="G12" s="62" t="s">
        <v>53</v>
      </c>
      <c r="J12" s="56" t="s">
        <v>102</v>
      </c>
    </row>
    <row r="13" spans="1:13" x14ac:dyDescent="0.25">
      <c r="F13" s="60" t="s">
        <v>39</v>
      </c>
      <c r="G13" s="62" t="s">
        <v>50</v>
      </c>
      <c r="J13"/>
    </row>
    <row r="14" spans="1:13" x14ac:dyDescent="0.25">
      <c r="F14" s="60" t="s">
        <v>6</v>
      </c>
      <c r="G14" s="62" t="s">
        <v>73</v>
      </c>
      <c r="J14"/>
    </row>
    <row r="15" spans="1:13" x14ac:dyDescent="0.25">
      <c r="F15" s="60" t="s">
        <v>7</v>
      </c>
      <c r="G15" s="62" t="s">
        <v>51</v>
      </c>
      <c r="J15"/>
    </row>
    <row r="16" spans="1:13" x14ac:dyDescent="0.25">
      <c r="F16" s="60" t="s">
        <v>4</v>
      </c>
      <c r="G16" s="66" t="s">
        <v>71</v>
      </c>
      <c r="H16" s="93"/>
      <c r="J16"/>
    </row>
    <row r="17" spans="6:10" x14ac:dyDescent="0.25">
      <c r="F17" s="60" t="s">
        <v>8</v>
      </c>
      <c r="G17" s="62" t="s">
        <v>72</v>
      </c>
      <c r="J17"/>
    </row>
    <row r="18" spans="6:10" ht="45" x14ac:dyDescent="0.25">
      <c r="F18" s="60" t="s">
        <v>9</v>
      </c>
      <c r="G18" s="62" t="s">
        <v>52</v>
      </c>
      <c r="J18"/>
    </row>
    <row r="19" spans="6:10" ht="45" x14ac:dyDescent="0.25">
      <c r="F19" s="60" t="s">
        <v>6</v>
      </c>
      <c r="G19" s="62" t="s">
        <v>74</v>
      </c>
      <c r="J19"/>
    </row>
    <row r="20" spans="6:10" ht="30" x14ac:dyDescent="0.25">
      <c r="F20" s="60" t="s">
        <v>6</v>
      </c>
      <c r="G20" s="62" t="s">
        <v>75</v>
      </c>
      <c r="J20"/>
    </row>
    <row r="21" spans="6:10" ht="30" x14ac:dyDescent="0.25">
      <c r="F21" s="60" t="s">
        <v>6</v>
      </c>
      <c r="G21" s="62" t="s">
        <v>76</v>
      </c>
      <c r="J21"/>
    </row>
    <row r="22" spans="6:10" ht="45" x14ac:dyDescent="0.25">
      <c r="F22" s="60" t="s">
        <v>6</v>
      </c>
      <c r="G22" s="62" t="s">
        <v>77</v>
      </c>
      <c r="J22"/>
    </row>
    <row r="23" spans="6:10" x14ac:dyDescent="0.25">
      <c r="F23" s="60" t="s">
        <v>39</v>
      </c>
      <c r="G23" s="62" t="s">
        <v>78</v>
      </c>
      <c r="J23"/>
    </row>
    <row r="24" spans="6:10" x14ac:dyDescent="0.25">
      <c r="F24" s="60" t="s">
        <v>39</v>
      </c>
      <c r="G24" s="62" t="s">
        <v>79</v>
      </c>
      <c r="J24"/>
    </row>
    <row r="25" spans="6:10" x14ac:dyDescent="0.25">
      <c r="F25" s="60" t="s">
        <v>39</v>
      </c>
      <c r="G25" s="62" t="s">
        <v>80</v>
      </c>
      <c r="J25"/>
    </row>
    <row r="26" spans="6:10" x14ac:dyDescent="0.25">
      <c r="F26" s="60" t="s">
        <v>39</v>
      </c>
      <c r="G26" s="62" t="s">
        <v>81</v>
      </c>
      <c r="J26"/>
    </row>
    <row r="27" spans="6:10" ht="30" x14ac:dyDescent="0.25">
      <c r="F27" s="60" t="s">
        <v>39</v>
      </c>
      <c r="G27" s="62" t="s">
        <v>82</v>
      </c>
      <c r="J27"/>
    </row>
    <row r="28" spans="6:10" ht="30" x14ac:dyDescent="0.25">
      <c r="F28" s="60" t="s">
        <v>6</v>
      </c>
      <c r="G28" s="62" t="s">
        <v>83</v>
      </c>
      <c r="J28"/>
    </row>
    <row r="29" spans="6:10" ht="30" x14ac:dyDescent="0.25">
      <c r="F29" s="60" t="s">
        <v>4</v>
      </c>
      <c r="G29" s="62" t="s">
        <v>84</v>
      </c>
      <c r="J29"/>
    </row>
    <row r="30" spans="6:10" ht="30" x14ac:dyDescent="0.25">
      <c r="F30" s="60" t="s">
        <v>6</v>
      </c>
      <c r="G30" s="62" t="s">
        <v>85</v>
      </c>
      <c r="J30"/>
    </row>
    <row r="31" spans="6:10" ht="30" x14ac:dyDescent="0.25">
      <c r="F31" s="60" t="s">
        <v>39</v>
      </c>
      <c r="G31" s="62" t="s">
        <v>93</v>
      </c>
      <c r="J31"/>
    </row>
    <row r="32" spans="6:10" ht="30" x14ac:dyDescent="0.25">
      <c r="F32" s="60" t="s">
        <v>4</v>
      </c>
      <c r="G32" s="62" t="s">
        <v>94</v>
      </c>
      <c r="J32"/>
    </row>
    <row r="33" spans="6:10" x14ac:dyDescent="0.25">
      <c r="F33" s="60" t="s">
        <v>7</v>
      </c>
      <c r="G33" s="62" t="s">
        <v>7</v>
      </c>
      <c r="J33"/>
    </row>
    <row r="34" spans="6:10" x14ac:dyDescent="0.25">
      <c r="F34" s="60" t="s">
        <v>8</v>
      </c>
      <c r="G34" s="62" t="s">
        <v>8</v>
      </c>
      <c r="J34"/>
    </row>
    <row r="35" spans="6:10" ht="30" x14ac:dyDescent="0.25">
      <c r="F35" s="60" t="s">
        <v>6</v>
      </c>
      <c r="G35" s="62" t="s">
        <v>6</v>
      </c>
      <c r="J35"/>
    </row>
    <row r="36" spans="6:10" x14ac:dyDescent="0.25">
      <c r="F36" s="60" t="s">
        <v>4</v>
      </c>
      <c r="G36" s="62" t="s">
        <v>4</v>
      </c>
      <c r="J36"/>
    </row>
    <row r="37" spans="6:10" x14ac:dyDescent="0.25">
      <c r="F37" s="60" t="s">
        <v>100</v>
      </c>
      <c r="G37" s="62" t="s">
        <v>104</v>
      </c>
      <c r="J37"/>
    </row>
    <row r="38" spans="6:10" x14ac:dyDescent="0.25">
      <c r="F38" s="60" t="s">
        <v>100</v>
      </c>
      <c r="G38" s="62" t="s">
        <v>105</v>
      </c>
      <c r="J38"/>
    </row>
    <row r="39" spans="6:10" ht="30" x14ac:dyDescent="0.25">
      <c r="F39" s="60" t="s">
        <v>7</v>
      </c>
      <c r="G39" s="62" t="s">
        <v>106</v>
      </c>
      <c r="J39"/>
    </row>
    <row r="40" spans="6:10" x14ac:dyDescent="0.25">
      <c r="F40" s="60" t="s">
        <v>8</v>
      </c>
      <c r="G40" s="62" t="s">
        <v>107</v>
      </c>
      <c r="J40"/>
    </row>
    <row r="41" spans="6:10" x14ac:dyDescent="0.25">
      <c r="F41" s="60" t="s">
        <v>6</v>
      </c>
      <c r="G41" s="62" t="s">
        <v>108</v>
      </c>
      <c r="J41"/>
    </row>
    <row r="42" spans="6:10" ht="30" x14ac:dyDescent="0.25">
      <c r="F42" s="60" t="s">
        <v>7</v>
      </c>
      <c r="G42" s="62" t="s">
        <v>109</v>
      </c>
      <c r="J42"/>
    </row>
    <row r="43" spans="6:10" ht="30" x14ac:dyDescent="0.25">
      <c r="F43" s="60" t="s">
        <v>8</v>
      </c>
      <c r="G43" s="62" t="s">
        <v>110</v>
      </c>
      <c r="J43"/>
    </row>
    <row r="44" spans="6:10" x14ac:dyDescent="0.25">
      <c r="F44" s="60" t="s">
        <v>6</v>
      </c>
      <c r="G44" s="62" t="s">
        <v>111</v>
      </c>
      <c r="J44"/>
    </row>
    <row r="45" spans="6:10" x14ac:dyDescent="0.25">
      <c r="F45" s="60" t="s">
        <v>6</v>
      </c>
      <c r="G45" s="62" t="s">
        <v>112</v>
      </c>
      <c r="J45"/>
    </row>
    <row r="46" spans="6:10" x14ac:dyDescent="0.25">
      <c r="F46" s="60" t="s">
        <v>6</v>
      </c>
      <c r="G46" s="62" t="s">
        <v>113</v>
      </c>
      <c r="J46"/>
    </row>
    <row r="47" spans="6:10" ht="30" x14ac:dyDescent="0.25">
      <c r="F47" s="60" t="s">
        <v>6</v>
      </c>
      <c r="G47" s="62" t="s">
        <v>114</v>
      </c>
      <c r="J47"/>
    </row>
    <row r="48" spans="6:10" ht="30" x14ac:dyDescent="0.25">
      <c r="F48" s="60" t="s">
        <v>6</v>
      </c>
      <c r="G48" s="62" t="s">
        <v>115</v>
      </c>
      <c r="J48"/>
    </row>
    <row r="49" spans="6:10" ht="30" x14ac:dyDescent="0.25">
      <c r="F49" s="60" t="s">
        <v>6</v>
      </c>
      <c r="G49" s="62" t="s">
        <v>116</v>
      </c>
      <c r="J49"/>
    </row>
    <row r="50" spans="6:10" ht="30" x14ac:dyDescent="0.25">
      <c r="F50" s="60" t="s">
        <v>6</v>
      </c>
      <c r="G50" s="62" t="s">
        <v>117</v>
      </c>
      <c r="J50"/>
    </row>
    <row r="51" spans="6:10" ht="30" x14ac:dyDescent="0.25">
      <c r="F51" s="60" t="s">
        <v>7</v>
      </c>
      <c r="G51" s="62" t="s">
        <v>118</v>
      </c>
      <c r="J51"/>
    </row>
    <row r="52" spans="6:10" ht="30" x14ac:dyDescent="0.25">
      <c r="F52" s="60" t="s">
        <v>6</v>
      </c>
      <c r="G52" s="62" t="s">
        <v>119</v>
      </c>
      <c r="J52"/>
    </row>
    <row r="53" spans="6:10" x14ac:dyDescent="0.25">
      <c r="F53" s="60" t="s">
        <v>8</v>
      </c>
      <c r="G53" s="62" t="s">
        <v>120</v>
      </c>
      <c r="J53"/>
    </row>
    <row r="54" spans="6:10" x14ac:dyDescent="0.25">
      <c r="F54" s="63" t="s">
        <v>6</v>
      </c>
      <c r="G54" s="65" t="s">
        <v>108</v>
      </c>
      <c r="J54"/>
    </row>
    <row r="55" spans="6:10" ht="30" x14ac:dyDescent="0.25">
      <c r="F55" s="60" t="s">
        <v>8</v>
      </c>
      <c r="G55" s="65" t="s">
        <v>121</v>
      </c>
      <c r="J55"/>
    </row>
    <row r="56" spans="6:10" ht="30" x14ac:dyDescent="0.25">
      <c r="F56" s="60" t="s">
        <v>8</v>
      </c>
      <c r="G56" s="65" t="s">
        <v>241</v>
      </c>
      <c r="H56"/>
      <c r="J56"/>
    </row>
    <row r="57" spans="6:10" ht="30" x14ac:dyDescent="0.25">
      <c r="F57" s="63" t="s">
        <v>91</v>
      </c>
      <c r="G57" s="65" t="s">
        <v>245</v>
      </c>
      <c r="H57"/>
      <c r="J57"/>
    </row>
    <row r="58" spans="6:10" ht="30" x14ac:dyDescent="0.25">
      <c r="F58" s="63" t="s">
        <v>87</v>
      </c>
      <c r="G58" s="65" t="s">
        <v>244</v>
      </c>
      <c r="H58"/>
      <c r="J58"/>
    </row>
    <row r="59" spans="6:10" x14ac:dyDescent="0.25">
      <c r="F59" s="63" t="s">
        <v>6</v>
      </c>
      <c r="G59" s="65" t="s">
        <v>246</v>
      </c>
      <c r="H59"/>
      <c r="J59"/>
    </row>
    <row r="60" spans="6:10" ht="30" x14ac:dyDescent="0.25">
      <c r="F60" s="60" t="s">
        <v>8</v>
      </c>
      <c r="G60" s="65" t="s">
        <v>247</v>
      </c>
      <c r="H60"/>
      <c r="J60"/>
    </row>
    <row r="61" spans="6:10" ht="30" x14ac:dyDescent="0.25">
      <c r="F61" s="60" t="s">
        <v>8</v>
      </c>
      <c r="G61" s="65" t="s">
        <v>248</v>
      </c>
      <c r="H61"/>
      <c r="J61"/>
    </row>
    <row r="62" spans="6:10" ht="30" x14ac:dyDescent="0.25">
      <c r="F62" s="60" t="s">
        <v>8</v>
      </c>
      <c r="G62" s="65" t="s">
        <v>250</v>
      </c>
      <c r="H62"/>
      <c r="J62"/>
    </row>
    <row r="63" spans="6:10" x14ac:dyDescent="0.25">
      <c r="F63" s="60" t="s">
        <v>4</v>
      </c>
      <c r="G63" s="65" t="s">
        <v>262</v>
      </c>
      <c r="H63"/>
      <c r="J63"/>
    </row>
    <row r="64" spans="6:10" ht="60" x14ac:dyDescent="0.25">
      <c r="F64" s="63" t="s">
        <v>6</v>
      </c>
      <c r="G64" s="65" t="s">
        <v>264</v>
      </c>
      <c r="H64"/>
      <c r="J64"/>
    </row>
    <row r="65" spans="6:11" x14ac:dyDescent="0.25">
      <c r="F65" s="60" t="s">
        <v>4</v>
      </c>
      <c r="G65" s="62" t="s">
        <v>265</v>
      </c>
      <c r="H65"/>
      <c r="J65"/>
    </row>
    <row r="66" spans="6:11" x14ac:dyDescent="0.25">
      <c r="F66" s="60" t="s">
        <v>4</v>
      </c>
      <c r="G66" s="65" t="s">
        <v>262</v>
      </c>
      <c r="H66"/>
      <c r="J66"/>
    </row>
    <row r="67" spans="6:11" ht="60" x14ac:dyDescent="0.25">
      <c r="F67" s="60" t="s">
        <v>8</v>
      </c>
      <c r="G67" s="65" t="s">
        <v>266</v>
      </c>
      <c r="H67"/>
      <c r="J67"/>
    </row>
    <row r="68" spans="6:11" x14ac:dyDescent="0.25">
      <c r="F68"/>
      <c r="G68"/>
      <c r="H68"/>
      <c r="J68"/>
    </row>
    <row r="69" spans="6:11" x14ac:dyDescent="0.25">
      <c r="F69"/>
      <c r="G69"/>
      <c r="H69"/>
      <c r="J69"/>
    </row>
    <row r="70" spans="6:11" x14ac:dyDescent="0.25">
      <c r="F70"/>
      <c r="G70"/>
      <c r="H70"/>
      <c r="J70"/>
    </row>
    <row r="71" spans="6:11" x14ac:dyDescent="0.25">
      <c r="F71"/>
      <c r="G71"/>
      <c r="H71"/>
      <c r="J71"/>
    </row>
    <row r="72" spans="6:11" x14ac:dyDescent="0.25">
      <c r="F72"/>
      <c r="G72"/>
      <c r="H72"/>
      <c r="J72"/>
    </row>
    <row r="73" spans="6:11" x14ac:dyDescent="0.25">
      <c r="F73"/>
      <c r="G73"/>
      <c r="H73"/>
      <c r="J73"/>
    </row>
    <row r="74" spans="6:11" x14ac:dyDescent="0.25">
      <c r="F74"/>
      <c r="G74"/>
      <c r="H74"/>
      <c r="J74"/>
    </row>
    <row r="75" spans="6:11" x14ac:dyDescent="0.25">
      <c r="F75"/>
      <c r="G75"/>
      <c r="H75"/>
      <c r="J75"/>
    </row>
    <row r="76" spans="6:11" x14ac:dyDescent="0.25">
      <c r="F76"/>
      <c r="G76"/>
      <c r="H76"/>
      <c r="J76"/>
    </row>
    <row r="77" spans="6:11" x14ac:dyDescent="0.25">
      <c r="F77"/>
      <c r="G77"/>
      <c r="H77"/>
      <c r="J77"/>
    </row>
    <row r="78" spans="6:11" x14ac:dyDescent="0.25">
      <c r="F78"/>
      <c r="G78"/>
      <c r="H78"/>
      <c r="J78"/>
    </row>
    <row r="79" spans="6:11" x14ac:dyDescent="0.25">
      <c r="F79"/>
      <c r="G79"/>
      <c r="H79"/>
      <c r="J79"/>
      <c r="K79"/>
    </row>
    <row r="80" spans="6:11" x14ac:dyDescent="0.25">
      <c r="H80"/>
      <c r="J80"/>
      <c r="K80"/>
    </row>
    <row r="81" spans="10:11" x14ac:dyDescent="0.25">
      <c r="J81"/>
      <c r="K81"/>
    </row>
    <row r="82" spans="10:11" x14ac:dyDescent="0.25">
      <c r="J82"/>
      <c r="K82"/>
    </row>
    <row r="83" spans="10:11" x14ac:dyDescent="0.25">
      <c r="J83"/>
      <c r="K83"/>
    </row>
    <row r="84" spans="10:11" x14ac:dyDescent="0.25">
      <c r="J84"/>
      <c r="K84"/>
    </row>
    <row r="85" spans="10:11" x14ac:dyDescent="0.25">
      <c r="J85"/>
      <c r="K85"/>
    </row>
    <row r="86" spans="10:11" x14ac:dyDescent="0.25">
      <c r="J86"/>
      <c r="K86"/>
    </row>
    <row r="87" spans="10:11" x14ac:dyDescent="0.25">
      <c r="J87"/>
      <c r="K87"/>
    </row>
    <row r="88" spans="10:11" x14ac:dyDescent="0.25">
      <c r="J88"/>
      <c r="K88"/>
    </row>
    <row r="89" spans="10:11" x14ac:dyDescent="0.25">
      <c r="J89"/>
      <c r="K89"/>
    </row>
    <row r="90" spans="10:11" x14ac:dyDescent="0.25">
      <c r="J90"/>
      <c r="K90"/>
    </row>
    <row r="91" spans="10:11" x14ac:dyDescent="0.25">
      <c r="J91"/>
      <c r="K91"/>
    </row>
    <row r="92" spans="10:11" x14ac:dyDescent="0.25">
      <c r="J92"/>
      <c r="K92"/>
    </row>
    <row r="93" spans="10:11" x14ac:dyDescent="0.25">
      <c r="J93"/>
      <c r="K93"/>
    </row>
    <row r="94" spans="10:11" x14ac:dyDescent="0.25">
      <c r="J94"/>
      <c r="K94"/>
    </row>
    <row r="95" spans="10:11" x14ac:dyDescent="0.25">
      <c r="J95"/>
      <c r="K95"/>
    </row>
    <row r="96" spans="10:11" x14ac:dyDescent="0.25">
      <c r="J96"/>
    </row>
    <row r="97" spans="10:10" x14ac:dyDescent="0.25">
      <c r="J97"/>
    </row>
    <row r="98" spans="10:10" x14ac:dyDescent="0.25">
      <c r="J98"/>
    </row>
    <row r="99" spans="10:10" x14ac:dyDescent="0.25">
      <c r="J99"/>
    </row>
    <row r="100" spans="10:10" x14ac:dyDescent="0.25">
      <c r="J100"/>
    </row>
    <row r="101" spans="10:10" x14ac:dyDescent="0.25">
      <c r="J101"/>
    </row>
    <row r="102" spans="10:10" x14ac:dyDescent="0.25">
      <c r="J102"/>
    </row>
    <row r="103" spans="10:10" x14ac:dyDescent="0.25">
      <c r="J103"/>
    </row>
    <row r="104" spans="10:10" x14ac:dyDescent="0.25">
      <c r="J104"/>
    </row>
    <row r="105" spans="10:10" x14ac:dyDescent="0.25">
      <c r="J105"/>
    </row>
    <row r="106" spans="10:10" x14ac:dyDescent="0.25">
      <c r="J106"/>
    </row>
    <row r="107" spans="10:10" x14ac:dyDescent="0.25">
      <c r="J107"/>
    </row>
    <row r="108" spans="10:10" x14ac:dyDescent="0.25">
      <c r="J108"/>
    </row>
  </sheetData>
  <conditionalFormatting sqref="B3 B2:C2">
    <cfRule type="cellIs" dxfId="36" priority="54" operator="equal">
      <formula>"МПС"</formula>
    </cfRule>
    <cfRule type="cellIs" dxfId="35" priority="55" operator="equal">
      <formula>"МСС"</formula>
    </cfRule>
    <cfRule type="cellIs" dxfId="34" priority="56" operator="equal">
      <formula>"ОР"</formula>
    </cfRule>
  </conditionalFormatting>
  <conditionalFormatting sqref="A3:A7">
    <cfRule type="cellIs" dxfId="33" priority="48" operator="equal">
      <formula>"МПС"</formula>
    </cfRule>
    <cfRule type="cellIs" dxfId="32" priority="49" operator="equal">
      <formula>"МСС"</formula>
    </cfRule>
    <cfRule type="cellIs" dxfId="31" priority="50" operator="equal">
      <formula>"ОР"</formula>
    </cfRule>
  </conditionalFormatting>
  <conditionalFormatting sqref="G21:H21">
    <cfRule type="cellIs" dxfId="30" priority="45" operator="equal">
      <formula>"МПС"</formula>
    </cfRule>
    <cfRule type="cellIs" dxfId="29" priority="46" operator="equal">
      <formula>"МСС"</formula>
    </cfRule>
    <cfRule type="cellIs" dxfId="28" priority="47" operator="equal">
      <formula>"ОР"</formula>
    </cfRule>
  </conditionalFormatting>
  <conditionalFormatting sqref="G22:H22">
    <cfRule type="cellIs" dxfId="27" priority="42" operator="equal">
      <formula>"МПС"</formula>
    </cfRule>
    <cfRule type="cellIs" dxfId="26" priority="43" operator="equal">
      <formula>"МСС"</formula>
    </cfRule>
    <cfRule type="cellIs" dxfId="25" priority="44" operator="equal">
      <formula>"ОР"</formula>
    </cfRule>
  </conditionalFormatting>
  <conditionalFormatting sqref="G51:H51">
    <cfRule type="cellIs" dxfId="24" priority="18" operator="equal">
      <formula>"МПС"</formula>
    </cfRule>
    <cfRule type="cellIs" dxfId="23" priority="19" operator="equal">
      <formula>"МСС"</formula>
    </cfRule>
    <cfRule type="cellIs" dxfId="22" priority="20" operator="equal">
      <formula>"ОР"</formula>
    </cfRule>
  </conditionalFormatting>
  <conditionalFormatting sqref="G52:H52">
    <cfRule type="cellIs" dxfId="21" priority="15" operator="equal">
      <formula>"МПС"</formula>
    </cfRule>
    <cfRule type="cellIs" dxfId="20" priority="16" operator="equal">
      <formula>"МСС"</formula>
    </cfRule>
    <cfRule type="cellIs" dxfId="19" priority="17" operator="equal">
      <formula>"ОР"</formula>
    </cfRule>
  </conditionalFormatting>
  <conditionalFormatting sqref="B1:C1">
    <cfRule type="cellIs" dxfId="18" priority="12" operator="equal">
      <formula>"МПС"</formula>
    </cfRule>
    <cfRule type="cellIs" dxfId="17" priority="13" operator="equal">
      <formula>"МСС"</formula>
    </cfRule>
    <cfRule type="cellIs" dxfId="16" priority="14" operator="equal">
      <formula>"ОР"</formula>
    </cfRule>
  </conditionalFormatting>
  <conditionalFormatting sqref="F1:F1048576">
    <cfRule type="endsWith" dxfId="15" priority="1" operator="endsWith" text=" ">
      <formula>RIGHT(F1,LEN(" "))=" "</formula>
    </cfRule>
  </conditionalFormatting>
  <conditionalFormatting sqref="G2:H55">
    <cfRule type="duplicateValues" dxfId="14" priority="116"/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Лимиты полигонов</vt:lpstr>
      <vt:lpstr>Объекты</vt:lpstr>
      <vt:lpstr>Распределение 1 полугодие</vt:lpstr>
      <vt:lpstr>Графики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Ivan Zabolotny</cp:lastModifiedBy>
  <dcterms:created xsi:type="dcterms:W3CDTF">2015-06-05T18:19:34Z</dcterms:created>
  <dcterms:modified xsi:type="dcterms:W3CDTF">2024-05-15T09:07:32Z</dcterms:modified>
</cp:coreProperties>
</file>