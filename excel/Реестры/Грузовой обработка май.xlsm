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4D1C537B-E38A-612A-F078-A93A15B4B7F4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Y:\Отдел аналитической работы\Сверка\2024\05. Май\"/>
    </mc:Choice>
  </mc:AlternateContent>
  <xr:revisionPtr revIDLastSave="0" documentId="13_ncr:1_{E90CBE31-4861-465F-9DAE-3EEBD3B4194E}" xr6:coauthVersionLast="47" xr6:coauthVersionMax="47" xr10:uidLastSave="{00000000-0000-0000-0000-000000000000}"/>
  <bookViews>
    <workbookView xWindow="-108" yWindow="-108" windowWidth="23256" windowHeight="12576" activeTab="6" xr2:uid="{00000000-000D-0000-FFFF-FFFF00000000}"/>
  </bookViews>
  <sheets>
    <sheet name="Бронка" sheetId="1" r:id="rId1"/>
    <sheet name="Сводная Ввоз" sheetId="40" r:id="rId2"/>
    <sheet name="Сводная Вывоз" sheetId="45" r:id="rId3"/>
    <sheet name="Кол-во рейсов ввоз" sheetId="46" state="hidden" r:id="rId4"/>
    <sheet name="Кол-во рейсов вывоз" sheetId="47" state="hidden" r:id="rId5"/>
    <sheet name="Ввоз" sheetId="5" r:id="rId6"/>
    <sheet name="Вывоз" sheetId="2" r:id="rId7"/>
    <sheet name="Лист1" sheetId="48" r:id="rId8"/>
  </sheets>
  <definedNames>
    <definedName name="_xlnm._FilterDatabase" localSheetId="5" hidden="1">Ввоз!$A$1:$G$1</definedName>
    <definedName name="_xlnm._FilterDatabase" localSheetId="6" hidden="1">Вывоз!$A$1:$K$1</definedName>
  </definedNames>
  <calcPr calcId="191029" concurrentManualCount="6"/>
  <pivotCaches>
    <pivotCache cacheId="3" r:id="rId9"/>
    <pivotCache cacheId="4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45" l="1"/>
  <c r="J71" i="45" s="1"/>
  <c r="B15" i="45"/>
  <c r="J69" i="45" s="1"/>
  <c r="H46" i="45"/>
  <c r="H47" i="45"/>
  <c r="H48" i="45"/>
  <c r="H49" i="45"/>
  <c r="H50" i="45"/>
  <c r="H43" i="45"/>
  <c r="H44" i="45"/>
  <c r="H45" i="45"/>
  <c r="H42" i="45"/>
  <c r="C3" i="45"/>
  <c r="G7" i="1" s="1"/>
  <c r="C4" i="45"/>
  <c r="G8" i="1" s="1"/>
  <c r="C5" i="45"/>
  <c r="G9" i="1" s="1"/>
  <c r="C6" i="45"/>
  <c r="G10" i="1" s="1"/>
  <c r="C7" i="45"/>
  <c r="G11" i="1" s="1"/>
  <c r="C8" i="45"/>
  <c r="G12" i="1" s="1"/>
  <c r="C9" i="45"/>
  <c r="G13" i="1" s="1"/>
  <c r="C10" i="45"/>
  <c r="G14" i="1" s="1"/>
  <c r="C11" i="45"/>
  <c r="G15" i="1" s="1"/>
  <c r="C12" i="45"/>
  <c r="G16" i="1" s="1"/>
  <c r="C13" i="45"/>
  <c r="G17" i="1" s="1"/>
  <c r="C14" i="45"/>
  <c r="G18" i="1" s="1"/>
  <c r="C15" i="45"/>
  <c r="G19" i="1" s="1"/>
  <c r="C16" i="45"/>
  <c r="G20" i="1" s="1"/>
  <c r="C17" i="45"/>
  <c r="G21" i="1" s="1"/>
  <c r="C18" i="45"/>
  <c r="G22" i="1" s="1"/>
  <c r="C19" i="45"/>
  <c r="G23" i="1" s="1"/>
  <c r="C20" i="45"/>
  <c r="G24" i="1" s="1"/>
  <c r="C21" i="45"/>
  <c r="G25" i="1" s="1"/>
  <c r="C22" i="45"/>
  <c r="G26" i="1" s="1"/>
  <c r="C23" i="45"/>
  <c r="G27" i="1" s="1"/>
  <c r="C24" i="45"/>
  <c r="G28" i="1" s="1"/>
  <c r="C25" i="45"/>
  <c r="G29" i="1" s="1"/>
  <c r="C26" i="45"/>
  <c r="G30" i="1" s="1"/>
  <c r="C27" i="45"/>
  <c r="G31" i="1" s="1"/>
  <c r="C28" i="45"/>
  <c r="G32" i="1" s="1"/>
  <c r="C29" i="45"/>
  <c r="G33" i="1" s="1"/>
  <c r="C30" i="45"/>
  <c r="G34" i="1" s="1"/>
  <c r="C31" i="45"/>
  <c r="G35" i="1" s="1"/>
  <c r="C32" i="45"/>
  <c r="G36" i="1" s="1"/>
  <c r="C2" i="45"/>
  <c r="G6" i="1" s="1"/>
  <c r="B3" i="45"/>
  <c r="J45" i="45" s="1"/>
  <c r="B4" i="45"/>
  <c r="J47" i="45" s="1"/>
  <c r="B5" i="45"/>
  <c r="J49" i="45" s="1"/>
  <c r="B6" i="45"/>
  <c r="B7" i="45"/>
  <c r="B8" i="45"/>
  <c r="J55" i="45" s="1"/>
  <c r="B9" i="45"/>
  <c r="J57" i="45" s="1"/>
  <c r="B10" i="45"/>
  <c r="J59" i="45" s="1"/>
  <c r="B11" i="45"/>
  <c r="J61" i="45" s="1"/>
  <c r="B12" i="45"/>
  <c r="J63" i="45" s="1"/>
  <c r="B13" i="45"/>
  <c r="J65" i="45" s="1"/>
  <c r="B14" i="45"/>
  <c r="J67" i="45" s="1"/>
  <c r="B17" i="45"/>
  <c r="F21" i="1" s="1"/>
  <c r="B18" i="45"/>
  <c r="F22" i="1" s="1"/>
  <c r="B19" i="45"/>
  <c r="F23" i="1" s="1"/>
  <c r="B20" i="45"/>
  <c r="F24" i="1" s="1"/>
  <c r="B21" i="45"/>
  <c r="F25" i="1" s="1"/>
  <c r="B22" i="45"/>
  <c r="F26" i="1" s="1"/>
  <c r="B23" i="45"/>
  <c r="F27" i="1" s="1"/>
  <c r="B24" i="45"/>
  <c r="F28" i="1" s="1"/>
  <c r="B25" i="45"/>
  <c r="F29" i="1" s="1"/>
  <c r="B26" i="45"/>
  <c r="F30" i="1" s="1"/>
  <c r="B27" i="45"/>
  <c r="F31" i="1" s="1"/>
  <c r="B28" i="45"/>
  <c r="F32" i="1" s="1"/>
  <c r="B29" i="45"/>
  <c r="F33" i="1" s="1"/>
  <c r="B30" i="45"/>
  <c r="F34" i="1" s="1"/>
  <c r="B31" i="45"/>
  <c r="F35" i="1" s="1"/>
  <c r="B32" i="45"/>
  <c r="F36" i="1" s="1"/>
  <c r="B2" i="45"/>
  <c r="J43" i="45" s="1"/>
  <c r="C3" i="40"/>
  <c r="D7" i="1" s="1"/>
  <c r="C4" i="40"/>
  <c r="D8" i="1" s="1"/>
  <c r="C5" i="40"/>
  <c r="D9" i="1" s="1"/>
  <c r="C6" i="40"/>
  <c r="D10" i="1" s="1"/>
  <c r="C7" i="40"/>
  <c r="D11" i="1" s="1"/>
  <c r="C8" i="40"/>
  <c r="D12" i="1" s="1"/>
  <c r="C9" i="40"/>
  <c r="D13" i="1" s="1"/>
  <c r="C10" i="40"/>
  <c r="D14" i="1" s="1"/>
  <c r="C11" i="40"/>
  <c r="D15" i="1" s="1"/>
  <c r="C12" i="40"/>
  <c r="D16" i="1" s="1"/>
  <c r="C13" i="40"/>
  <c r="D17" i="1" s="1"/>
  <c r="C14" i="40"/>
  <c r="D18" i="1" s="1"/>
  <c r="C15" i="40"/>
  <c r="D19" i="1" s="1"/>
  <c r="C16" i="40"/>
  <c r="D20" i="1" s="1"/>
  <c r="C17" i="40"/>
  <c r="D21" i="1" s="1"/>
  <c r="C18" i="40"/>
  <c r="D22" i="1" s="1"/>
  <c r="C19" i="40"/>
  <c r="D23" i="1" s="1"/>
  <c r="C20" i="40"/>
  <c r="D24" i="1" s="1"/>
  <c r="C21" i="40"/>
  <c r="D25" i="1" s="1"/>
  <c r="C22" i="40"/>
  <c r="D26" i="1" s="1"/>
  <c r="C23" i="40"/>
  <c r="D27" i="1" s="1"/>
  <c r="C24" i="40"/>
  <c r="D28" i="1" s="1"/>
  <c r="C25" i="40"/>
  <c r="D29" i="1" s="1"/>
  <c r="C26" i="40"/>
  <c r="D30" i="1" s="1"/>
  <c r="C27" i="40"/>
  <c r="D31" i="1" s="1"/>
  <c r="C28" i="40"/>
  <c r="D32" i="1" s="1"/>
  <c r="C29" i="40"/>
  <c r="D33" i="1" s="1"/>
  <c r="C30" i="40"/>
  <c r="D34" i="1" s="1"/>
  <c r="C31" i="40"/>
  <c r="D35" i="1" s="1"/>
  <c r="C32" i="40"/>
  <c r="D36" i="1" s="1"/>
  <c r="C2" i="40"/>
  <c r="D6" i="1" s="1"/>
  <c r="B3" i="40"/>
  <c r="I44" i="45" s="1"/>
  <c r="B4" i="40"/>
  <c r="I46" i="45" s="1"/>
  <c r="B5" i="40"/>
  <c r="I48" i="45" s="1"/>
  <c r="B6" i="40"/>
  <c r="B7" i="40"/>
  <c r="B8" i="40"/>
  <c r="I54" i="45" s="1"/>
  <c r="B9" i="40"/>
  <c r="I56" i="45" s="1"/>
  <c r="B10" i="40"/>
  <c r="I58" i="45" s="1"/>
  <c r="B11" i="40"/>
  <c r="I60" i="45" s="1"/>
  <c r="B12" i="40"/>
  <c r="I62" i="45" s="1"/>
  <c r="B13" i="40"/>
  <c r="I64" i="45" s="1"/>
  <c r="B14" i="40"/>
  <c r="I66" i="45" s="1"/>
  <c r="B15" i="40"/>
  <c r="I68" i="45" s="1"/>
  <c r="B16" i="40"/>
  <c r="I70" i="45" s="1"/>
  <c r="B17" i="40"/>
  <c r="C21" i="1" s="1"/>
  <c r="B18" i="40"/>
  <c r="C22" i="1" s="1"/>
  <c r="B19" i="40"/>
  <c r="C23" i="1" s="1"/>
  <c r="B20" i="40"/>
  <c r="C24" i="1" s="1"/>
  <c r="B21" i="40"/>
  <c r="C25" i="1" s="1"/>
  <c r="B22" i="40"/>
  <c r="C26" i="1" s="1"/>
  <c r="B23" i="40"/>
  <c r="C27" i="1" s="1"/>
  <c r="B24" i="40"/>
  <c r="C28" i="1" s="1"/>
  <c r="B25" i="40"/>
  <c r="C29" i="1" s="1"/>
  <c r="B26" i="40"/>
  <c r="C30" i="1" s="1"/>
  <c r="B27" i="40"/>
  <c r="C31" i="1" s="1"/>
  <c r="B28" i="40"/>
  <c r="C32" i="1" s="1"/>
  <c r="B29" i="40"/>
  <c r="C33" i="1" s="1"/>
  <c r="B30" i="40"/>
  <c r="C34" i="1" s="1"/>
  <c r="B31" i="40"/>
  <c r="C35" i="1" s="1"/>
  <c r="B32" i="40"/>
  <c r="C36" i="1" s="1"/>
  <c r="B2" i="40"/>
  <c r="I42" i="45" s="1"/>
  <c r="D3" i="47"/>
  <c r="D3" i="46"/>
  <c r="I52" i="45" l="1"/>
  <c r="J53" i="45"/>
  <c r="J51" i="45"/>
  <c r="I50" i="45"/>
  <c r="J32" i="45"/>
  <c r="J34" i="45"/>
  <c r="J36" i="45"/>
  <c r="I31" i="45"/>
  <c r="I33" i="45"/>
  <c r="I35" i="45"/>
  <c r="J30" i="45"/>
  <c r="I29" i="45"/>
  <c r="I27" i="45"/>
  <c r="J28" i="45"/>
  <c r="J26" i="45"/>
  <c r="I25" i="45"/>
  <c r="J16" i="45"/>
  <c r="I23" i="45"/>
  <c r="J24" i="45"/>
  <c r="J22" i="45"/>
  <c r="J20" i="45"/>
  <c r="J18" i="45"/>
  <c r="I19" i="45"/>
  <c r="I17" i="45"/>
  <c r="I21" i="45"/>
  <c r="I15" i="45"/>
  <c r="J14" i="45"/>
  <c r="I13" i="45"/>
  <c r="J12" i="45"/>
  <c r="I11" i="45"/>
  <c r="J4" i="45"/>
  <c r="J8" i="45"/>
  <c r="J10" i="45"/>
  <c r="J6" i="45"/>
  <c r="I5" i="45"/>
  <c r="I7" i="45"/>
  <c r="I9" i="45"/>
  <c r="I3" i="45"/>
  <c r="J73" i="45"/>
  <c r="J75" i="45"/>
  <c r="I72" i="45"/>
  <c r="I74" i="45"/>
  <c r="F20" i="1"/>
  <c r="F19" i="1"/>
  <c r="F18" i="1"/>
  <c r="F17" i="1"/>
  <c r="H11" i="1"/>
  <c r="H10" i="1"/>
  <c r="C16" i="1"/>
  <c r="C15" i="1"/>
  <c r="C20" i="1"/>
  <c r="C19" i="1"/>
  <c r="C18" i="1"/>
  <c r="C33" i="40"/>
  <c r="D37" i="1" s="1"/>
  <c r="C33" i="45"/>
  <c r="G37" i="1" s="1"/>
  <c r="B33" i="45"/>
  <c r="F37" i="1" s="1"/>
  <c r="B33" i="40"/>
  <c r="F2" i="40"/>
  <c r="A12" i="48" s="1"/>
  <c r="B1" i="48"/>
  <c r="A7" i="48" s="1"/>
  <c r="F2" i="45" l="1"/>
  <c r="A13" i="48" s="1"/>
  <c r="F1" i="45"/>
  <c r="A10" i="48" s="1"/>
  <c r="F1" i="40"/>
  <c r="A9" i="48" s="1"/>
  <c r="C37" i="1"/>
  <c r="A3" i="48"/>
  <c r="A4" i="48"/>
  <c r="A6" i="48"/>
  <c r="A1" i="48"/>
  <c r="H37" i="1" l="1"/>
  <c r="H33" i="1" l="1"/>
  <c r="H22" i="1"/>
  <c r="H23" i="1"/>
  <c r="H24" i="1"/>
  <c r="H25" i="1"/>
  <c r="H26" i="1"/>
  <c r="H27" i="1"/>
  <c r="H28" i="1"/>
  <c r="H29" i="1"/>
  <c r="H30" i="1"/>
  <c r="H31" i="1"/>
  <c r="H32" i="1"/>
  <c r="H34" i="1"/>
  <c r="H35" i="1"/>
  <c r="H36" i="1"/>
  <c r="H21" i="1" l="1"/>
  <c r="H20" i="1"/>
  <c r="H7" i="1" l="1"/>
  <c r="E7" i="1"/>
  <c r="I7" i="1"/>
  <c r="E36" i="1" l="1"/>
  <c r="I36" i="1"/>
  <c r="J18" i="1" l="1"/>
  <c r="K30" i="1" l="1"/>
  <c r="J30" i="1" l="1"/>
  <c r="I24" i="1" l="1"/>
  <c r="I19" i="1" l="1"/>
  <c r="I21" i="1"/>
  <c r="H15" i="1" l="1"/>
  <c r="H16" i="1"/>
  <c r="H17" i="1"/>
  <c r="H18" i="1"/>
  <c r="H19" i="1"/>
  <c r="E12" i="1" l="1"/>
  <c r="E13" i="1"/>
  <c r="E14" i="1"/>
  <c r="E11" i="1" l="1"/>
  <c r="I9" i="1"/>
  <c r="I11" i="1"/>
  <c r="E35" i="1" l="1"/>
  <c r="I35" i="1"/>
  <c r="K6" i="1" l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J6" i="1"/>
  <c r="J7" i="1" s="1"/>
  <c r="E10" i="1"/>
  <c r="J8" i="1" l="1"/>
  <c r="I6" i="1" l="1"/>
  <c r="K26" i="1" l="1"/>
  <c r="E34" i="1"/>
  <c r="K27" i="1" l="1"/>
  <c r="K28" i="1" s="1"/>
  <c r="K29" i="1" s="1"/>
  <c r="K31" i="1" s="1"/>
  <c r="K32" i="1" s="1"/>
  <c r="K33" i="1" s="1"/>
  <c r="B40" i="1"/>
  <c r="B39" i="1"/>
  <c r="I34" i="1"/>
  <c r="E32" i="1"/>
  <c r="I31" i="1"/>
  <c r="I30" i="1"/>
  <c r="I29" i="1"/>
  <c r="I28" i="1"/>
  <c r="I25" i="1"/>
  <c r="I23" i="1"/>
  <c r="E22" i="1"/>
  <c r="I20" i="1"/>
  <c r="I18" i="1"/>
  <c r="I15" i="1"/>
  <c r="I14" i="1"/>
  <c r="I13" i="1"/>
  <c r="K34" i="1" l="1"/>
  <c r="K35" i="1" s="1"/>
  <c r="K36" i="1" s="1"/>
  <c r="K37" i="1"/>
  <c r="B41" i="1" s="1"/>
  <c r="E30" i="1"/>
  <c r="E28" i="1"/>
  <c r="E9" i="1"/>
  <c r="E17" i="1"/>
  <c r="E27" i="1"/>
  <c r="E8" i="1"/>
  <c r="E16" i="1"/>
  <c r="E26" i="1"/>
  <c r="E15" i="1"/>
  <c r="E33" i="1"/>
  <c r="E6" i="1"/>
  <c r="E24" i="1"/>
  <c r="E20" i="1"/>
  <c r="I26" i="1"/>
  <c r="I10" i="1"/>
  <c r="I16" i="1"/>
  <c r="E29" i="1"/>
  <c r="E31" i="1"/>
  <c r="I8" i="1"/>
  <c r="E23" i="1"/>
  <c r="E25" i="1"/>
  <c r="I33" i="1"/>
  <c r="E19" i="1"/>
  <c r="E21" i="1"/>
  <c r="E18" i="1"/>
  <c r="J9" i="1"/>
  <c r="J10" i="1" s="1"/>
  <c r="H13" i="1"/>
  <c r="H8" i="1"/>
  <c r="H12" i="1"/>
  <c r="H9" i="1"/>
  <c r="H14" i="1"/>
  <c r="I12" i="1"/>
  <c r="I17" i="1"/>
  <c r="I22" i="1"/>
  <c r="I27" i="1"/>
  <c r="I32" i="1"/>
  <c r="H6" i="1"/>
  <c r="E37" i="1" l="1"/>
  <c r="J11" i="1"/>
  <c r="J12" i="1" s="1"/>
  <c r="J13" i="1" s="1"/>
  <c r="J14" i="1" s="1"/>
  <c r="J15" i="1" s="1"/>
  <c r="J16" i="1" s="1"/>
  <c r="J17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1" i="1" s="1"/>
  <c r="J32" i="1" s="1"/>
  <c r="J33" i="1" s="1"/>
  <c r="I37" i="1"/>
  <c r="J34" i="1" l="1"/>
  <c r="J35" i="1" s="1"/>
  <c r="J36" i="1" s="1"/>
  <c r="J3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ТКО - твердные коммунальные отходы</t>
        </r>
      </text>
    </comment>
    <comment ref="D3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Кол-во рейсов согласно заданному числу месяца</t>
        </r>
      </text>
    </comment>
    <comment ref="E3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Ввоз по данным/кол-во рейсов</t>
        </r>
      </text>
    </comment>
    <comment ref="G3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Кол-во рейсов согласно заданному числу месяца
</t>
        </r>
      </text>
    </comment>
    <comment ref="H3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Вывоз по данным/кол-во рейсов</t>
        </r>
      </text>
    </comment>
    <comment ref="I3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Ввоз по данным - вывоз по данным</t>
        </r>
      </text>
    </comment>
    <comment ref="J3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остаток 1 числа + ввоз по данным - вывоз по данным</t>
        </r>
      </text>
    </comment>
    <comment ref="K3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остаток 1 числа + ввоз по данным - вывоз по данным</t>
        </r>
      </text>
    </comment>
    <comment ref="A5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Остаток на конец апреля</t>
        </r>
      </text>
    </comment>
  </commentList>
</comments>
</file>

<file path=xl/sharedStrings.xml><?xml version="1.0" encoding="utf-8"?>
<sst xmlns="http://schemas.openxmlformats.org/spreadsheetml/2006/main" count="191" uniqueCount="82">
  <si>
    <t>Учет баланса масс в двух вариантах</t>
  </si>
  <si>
    <t>Дата</t>
  </si>
  <si>
    <t>Вид отходов</t>
  </si>
  <si>
    <t>Ввоз по данным</t>
  </si>
  <si>
    <t xml:space="preserve">Кол-во рейсов по </t>
  </si>
  <si>
    <t xml:space="preserve">Средний вес разгрузки по данным </t>
  </si>
  <si>
    <t xml:space="preserve">Вывоз по данным </t>
  </si>
  <si>
    <t xml:space="preserve">Кол-во рейсов по данным </t>
  </si>
  <si>
    <t xml:space="preserve">Средний вес загрузки по </t>
  </si>
  <si>
    <t xml:space="preserve">Баланс масс по данным </t>
  </si>
  <si>
    <t xml:space="preserve">Остаток </t>
  </si>
  <si>
    <t xml:space="preserve">Остаток по данным объекта </t>
  </si>
  <si>
    <t>ТКО</t>
  </si>
  <si>
    <t>Ввоз:</t>
  </si>
  <si>
    <t>Вывоз:</t>
  </si>
  <si>
    <t xml:space="preserve">Дата </t>
  </si>
  <si>
    <t>Куда: Полигон</t>
  </si>
  <si>
    <t>Вес на погрузке</t>
  </si>
  <si>
    <t>Вес на разгрузке</t>
  </si>
  <si>
    <t>Примечание</t>
  </si>
  <si>
    <t>Время</t>
  </si>
  <si>
    <t>Наименование перевозчика</t>
  </si>
  <si>
    <t>Госномер ТС</t>
  </si>
  <si>
    <t>Данные Бронка (ввоз/вывоз)</t>
  </si>
  <si>
    <t>Названия строк</t>
  </si>
  <si>
    <t>Общий итог</t>
  </si>
  <si>
    <t>Сумма по полю Вес на погрузке</t>
  </si>
  <si>
    <t>№ Лота</t>
  </si>
  <si>
    <t>Площадка</t>
  </si>
  <si>
    <t>Масса брутто, т</t>
  </si>
  <si>
    <t>Масса авто</t>
  </si>
  <si>
    <t>Марка АМ</t>
  </si>
  <si>
    <t>Отклонение тонны</t>
  </si>
  <si>
    <t>Отклоенние %</t>
  </si>
  <si>
    <t>Итого за ыевраль 2024 года</t>
  </si>
  <si>
    <t>Остаток по данным на конец февраля 2024</t>
  </si>
  <si>
    <t>Остаток по данным на 29 февраля:</t>
  </si>
  <si>
    <t>Ввоз</t>
  </si>
  <si>
    <t>Вывоз Авто-Беркут</t>
  </si>
  <si>
    <t>Количество по полю Госномер ТС</t>
  </si>
  <si>
    <t>АВТО-БЕРКУТ</t>
  </si>
  <si>
    <t>15 марта</t>
  </si>
  <si>
    <t>(пусто)</t>
  </si>
  <si>
    <t>Масса</t>
  </si>
  <si>
    <t>Рейсы</t>
  </si>
  <si>
    <t>Среднесуточный ввоз</t>
  </si>
  <si>
    <t>Среднесуточное количество рейсов (ввоз)</t>
  </si>
  <si>
    <t>Итого</t>
  </si>
  <si>
    <t>Объект</t>
  </si>
  <si>
    <t>Масса нетто, т</t>
  </si>
  <si>
    <t>Среднесуточный вывоз</t>
  </si>
  <si>
    <t>16 марта</t>
  </si>
  <si>
    <t>17 марта</t>
  </si>
  <si>
    <t>18 марта</t>
  </si>
  <si>
    <t>19 марта</t>
  </si>
  <si>
    <t>20 марта</t>
  </si>
  <si>
    <t>21 марта</t>
  </si>
  <si>
    <t>22 марта</t>
  </si>
  <si>
    <t>23 марта</t>
  </si>
  <si>
    <t>24 марта</t>
  </si>
  <si>
    <t>25 марта</t>
  </si>
  <si>
    <t>26 марта</t>
  </si>
  <si>
    <t>27 марта</t>
  </si>
  <si>
    <t>28 марта</t>
  </si>
  <si>
    <t>29 марта</t>
  </si>
  <si>
    <t>30 марта</t>
  </si>
  <si>
    <t>31 марта</t>
  </si>
  <si>
    <t>05 апреля</t>
  </si>
  <si>
    <t>06 апреля</t>
  </si>
  <si>
    <t>07 апреля</t>
  </si>
  <si>
    <t>08 апреля</t>
  </si>
  <si>
    <t>09 апреля</t>
  </si>
  <si>
    <t>10 апреля</t>
  </si>
  <si>
    <t>11 апреля</t>
  </si>
  <si>
    <t>12 апреля</t>
  </si>
  <si>
    <t>13 апреля</t>
  </si>
  <si>
    <t>14 апреля</t>
  </si>
  <si>
    <t>15 апреля</t>
  </si>
  <si>
    <t>16 апреля</t>
  </si>
  <si>
    <t>17 апреля</t>
  </si>
  <si>
    <t>Новый Свет</t>
  </si>
  <si>
    <t>Эко Плант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</si>
</sst>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3" borderId="1" xfId="0" applyFill="1" applyBorder="1"/>
    <xf numFmtId="3" fontId="4" fillId="4" borderId="1" xfId="0" applyNumberFormat="1" applyFont="1" applyFill="1" applyBorder="1" applyAlignment="1">
      <alignment horizontal="center" vertical="center" wrapText="1"/>
    </xf>
    <xf numFmtId="3" fontId="4" fillId="3" borderId="1" xfId="0" applyNumberFormat="1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 wrapText="1"/>
    </xf>
    <xf numFmtId="3" fontId="4" fillId="2" borderId="1" xfId="0" applyNumberFormat="1" applyFont="1" applyFill="1" applyBorder="1" applyAlignment="1">
      <alignment horizontal="center" vertical="center" wrapText="1"/>
    </xf>
    <xf numFmtId="3" fontId="4" fillId="5" borderId="1" xfId="0" applyNumberFormat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horizontal="center" vertical="center" wrapText="1"/>
    </xf>
    <xf numFmtId="14" fontId="2" fillId="6" borderId="1" xfId="0" applyNumberFormat="1" applyFont="1" applyFill="1" applyBorder="1" applyAlignment="1">
      <alignment horizontal="center" vertical="center"/>
    </xf>
    <xf numFmtId="4" fontId="5" fillId="7" borderId="1" xfId="0" applyNumberFormat="1" applyFont="1" applyFill="1" applyBorder="1" applyAlignment="1">
      <alignment horizontal="center" vertical="center" wrapText="1"/>
    </xf>
    <xf numFmtId="3" fontId="5" fillId="7" borderId="1" xfId="0" applyNumberFormat="1" applyFont="1" applyFill="1" applyBorder="1" applyAlignment="1">
      <alignment horizontal="center" vertical="center" wrapText="1"/>
    </xf>
    <xf numFmtId="4" fontId="0" fillId="7" borderId="1" xfId="0" applyNumberFormat="1" applyFill="1" applyBorder="1" applyAlignment="1">
      <alignment horizontal="center" vertical="center"/>
    </xf>
    <xf numFmtId="4" fontId="5" fillId="6" borderId="1" xfId="0" applyNumberFormat="1" applyFont="1" applyFill="1" applyBorder="1" applyAlignment="1">
      <alignment horizontal="center" vertical="center" wrapText="1"/>
    </xf>
    <xf numFmtId="3" fontId="5" fillId="6" borderId="1" xfId="0" applyNumberFormat="1" applyFont="1" applyFill="1" applyBorder="1" applyAlignment="1">
      <alignment horizontal="center" vertical="center" wrapText="1"/>
    </xf>
    <xf numFmtId="4" fontId="0" fillId="6" borderId="1" xfId="0" applyNumberFormat="1" applyFill="1" applyBorder="1" applyAlignment="1">
      <alignment horizontal="center" vertical="center"/>
    </xf>
    <xf numFmtId="4" fontId="5" fillId="6" borderId="1" xfId="0" applyNumberFormat="1" applyFont="1" applyFill="1" applyBorder="1" applyAlignment="1">
      <alignment horizontal="right" vertical="center" wrapText="1"/>
    </xf>
    <xf numFmtId="14" fontId="2" fillId="4" borderId="1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4" fontId="0" fillId="4" borderId="1" xfId="0" applyNumberFormat="1" applyFill="1" applyBorder="1" applyAlignment="1">
      <alignment horizontal="center" vertical="center"/>
    </xf>
    <xf numFmtId="4" fontId="0" fillId="8" borderId="1" xfId="0" applyNumberFormat="1" applyFill="1" applyBorder="1"/>
    <xf numFmtId="4" fontId="4" fillId="4" borderId="1" xfId="0" applyNumberFormat="1" applyFont="1" applyFill="1" applyBorder="1" applyAlignment="1">
      <alignment horizontal="center" vertical="center"/>
    </xf>
    <xf numFmtId="0" fontId="0" fillId="0" borderId="2" xfId="0" applyBorder="1"/>
    <xf numFmtId="4" fontId="0" fillId="0" borderId="0" xfId="0" applyNumberFormat="1"/>
    <xf numFmtId="0" fontId="2" fillId="3" borderId="1" xfId="0" applyFont="1" applyFill="1" applyBorder="1"/>
    <xf numFmtId="4" fontId="2" fillId="3" borderId="1" xfId="0" applyNumberFormat="1" applyFont="1" applyFill="1" applyBorder="1"/>
    <xf numFmtId="4" fontId="4" fillId="6" borderId="1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49" fontId="4" fillId="2" borderId="1" xfId="0" applyNumberFormat="1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11" borderId="0" xfId="0" applyFill="1"/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12" borderId="0" xfId="0" applyFill="1"/>
    <xf numFmtId="4" fontId="0" fillId="12" borderId="0" xfId="0" applyNumberFormat="1" applyFill="1"/>
    <xf numFmtId="14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4" fontId="2" fillId="0" borderId="1" xfId="0" applyNumberFormat="1" applyFont="1" applyBorder="1" applyAlignment="1">
      <alignment horizontal="center"/>
    </xf>
    <xf numFmtId="0" fontId="1" fillId="0" borderId="0" xfId="0" applyFont="1"/>
    <xf numFmtId="14" fontId="1" fillId="0" borderId="0" xfId="0" applyNumberFormat="1" applyFont="1"/>
    <xf numFmtId="164" fontId="1" fillId="0" borderId="0" xfId="0" applyNumberFormat="1" applyFont="1"/>
    <xf numFmtId="0" fontId="2" fillId="10" borderId="1" xfId="0" applyFont="1" applyFill="1" applyBorder="1" applyAlignment="1">
      <alignment horizontal="center" vertical="center" wrapText="1"/>
    </xf>
    <xf numFmtId="2" fontId="2" fillId="1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4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2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4" fontId="11" fillId="0" borderId="1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8" fillId="0" borderId="1" xfId="0" applyFont="1" applyBorder="1" applyAlignment="1">
      <alignment vertical="center"/>
    </xf>
    <xf numFmtId="4" fontId="0" fillId="0" borderId="1" xfId="0" applyNumberFormat="1" applyBorder="1" applyAlignment="1">
      <alignment vertical="center"/>
    </xf>
    <xf numFmtId="20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vertical="center"/>
    </xf>
    <xf numFmtId="4" fontId="0" fillId="0" borderId="0" xfId="0" applyNumberFormat="1" applyAlignment="1">
      <alignment vertical="center"/>
    </xf>
    <xf numFmtId="16" fontId="0" fillId="0" borderId="1" xfId="0" applyNumberFormat="1" applyBorder="1"/>
    <xf numFmtId="4" fontId="0" fillId="0" borderId="1" xfId="0" applyNumberFormat="1" applyBorder="1"/>
    <xf numFmtId="0" fontId="2" fillId="0" borderId="1" xfId="0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1" fillId="0" borderId="0" xfId="0" applyNumberFormat="1" applyFont="1"/>
    <xf numFmtId="2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vertical="center"/>
    </xf>
    <xf numFmtId="4" fontId="0" fillId="3" borderId="1" xfId="0" applyNumberFormat="1" applyFill="1" applyBorder="1" applyAlignment="1">
      <alignment horizontal="center"/>
    </xf>
    <xf numFmtId="16" fontId="0" fillId="0" borderId="5" xfId="0" applyNumberFormat="1" applyBorder="1"/>
    <xf numFmtId="14" fontId="2" fillId="0" borderId="0" xfId="0" applyNumberFormat="1" applyFont="1" applyAlignment="1">
      <alignment horizontal="center"/>
    </xf>
    <xf numFmtId="4" fontId="2" fillId="0" borderId="0" xfId="0" applyNumberFormat="1" applyFont="1" applyAlignment="1">
      <alignment horizontal="center"/>
    </xf>
    <xf numFmtId="14" fontId="11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1"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ysClr val="windowText" lastClr="000000"/>
                </a:solidFill>
              </a:rPr>
              <a:t>Бронка Ввоз</a:t>
            </a:r>
            <a:r>
              <a:rPr lang="en-US">
                <a:solidFill>
                  <a:sysClr val="windowText" lastClr="000000"/>
                </a:solidFill>
              </a:rPr>
              <a:t>/</a:t>
            </a:r>
            <a:r>
              <a:rPr lang="ru-RU">
                <a:solidFill>
                  <a:sysClr val="windowText" lastClr="000000"/>
                </a:solidFill>
              </a:rPr>
              <a:t>Вывоз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'Сводная Вывоз'!$I$2</c:f>
              <c:strCache>
                <c:ptCount val="1"/>
                <c:pt idx="0">
                  <c:v>Ввоз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'Сводная Вывоз'!$H$69:$H$75</c:f>
              <c:strCache>
                <c:ptCount val="7"/>
                <c:pt idx="0">
                  <c:v>14 апреля</c:v>
                </c:pt>
                <c:pt idx="1">
                  <c:v>15 апреля</c:v>
                </c:pt>
                <c:pt idx="2">
                  <c:v>15 апреля</c:v>
                </c:pt>
                <c:pt idx="3">
                  <c:v>16 апреля</c:v>
                </c:pt>
                <c:pt idx="4">
                  <c:v>16 апреля</c:v>
                </c:pt>
                <c:pt idx="5">
                  <c:v>17 апреля</c:v>
                </c:pt>
                <c:pt idx="6">
                  <c:v>17 апреля</c:v>
                </c:pt>
              </c:strCache>
            </c:strRef>
          </c:cat>
          <c:val>
            <c:numRef>
              <c:f>'Сводная Вывоз'!$I$69:$I$75</c:f>
              <c:numCache>
                <c:formatCode>#,##0.00</c:formatCode>
                <c:ptCount val="7"/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5B-4502-B26F-A84CE12F32D5}"/>
            </c:ext>
          </c:extLst>
        </c:ser>
        <c:ser>
          <c:idx val="1"/>
          <c:order val="1"/>
          <c:tx>
            <c:strRef>
              <c:f>'Сводная Вывоз'!$J$2</c:f>
              <c:strCache>
                <c:ptCount val="1"/>
                <c:pt idx="0">
                  <c:v>Вывоз Авто-Беркут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'Сводная Вывоз'!$H$69:$H$75</c:f>
              <c:strCache>
                <c:ptCount val="7"/>
                <c:pt idx="0">
                  <c:v>14 апреля</c:v>
                </c:pt>
                <c:pt idx="1">
                  <c:v>15 апреля</c:v>
                </c:pt>
                <c:pt idx="2">
                  <c:v>15 апреля</c:v>
                </c:pt>
                <c:pt idx="3">
                  <c:v>16 апреля</c:v>
                </c:pt>
                <c:pt idx="4">
                  <c:v>16 апреля</c:v>
                </c:pt>
                <c:pt idx="5">
                  <c:v>17 апреля</c:v>
                </c:pt>
                <c:pt idx="6">
                  <c:v>17 апреля</c:v>
                </c:pt>
              </c:strCache>
            </c:strRef>
          </c:cat>
          <c:val>
            <c:numRef>
              <c:f>'Сводная Вывоз'!$J$69:$J$75</c:f>
              <c:numCache>
                <c:formatCode>#,##0.00</c:formatCode>
                <c:ptCount val="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5B-4502-B26F-A84CE12F32D5}"/>
            </c:ext>
          </c:extLst>
        </c:ser>
        <c:ser>
          <c:idx val="2"/>
          <c:order val="2"/>
          <c:tx>
            <c:strRef>
              <c:f>'Сводная Вывоз'!$K$2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'Сводная Вывоз'!$H$69:$H$75</c:f>
              <c:strCache>
                <c:ptCount val="7"/>
                <c:pt idx="0">
                  <c:v>14 апреля</c:v>
                </c:pt>
                <c:pt idx="1">
                  <c:v>15 апреля</c:v>
                </c:pt>
                <c:pt idx="2">
                  <c:v>15 апреля</c:v>
                </c:pt>
                <c:pt idx="3">
                  <c:v>16 апреля</c:v>
                </c:pt>
                <c:pt idx="4">
                  <c:v>16 апреля</c:v>
                </c:pt>
                <c:pt idx="5">
                  <c:v>17 апреля</c:v>
                </c:pt>
                <c:pt idx="6">
                  <c:v>17 апреля</c:v>
                </c:pt>
              </c:strCache>
            </c:strRef>
          </c:cat>
          <c:val>
            <c:numRef>
              <c:f>'Сводная Вывоз'!$K$69:$K$75</c:f>
              <c:numCache>
                <c:formatCode>d\-mmm</c:formatCode>
                <c:ptCount val="7"/>
                <c:pt idx="0">
                  <c:v>45396</c:v>
                </c:pt>
                <c:pt idx="1">
                  <c:v>45397</c:v>
                </c:pt>
                <c:pt idx="2">
                  <c:v>45397</c:v>
                </c:pt>
                <c:pt idx="3" formatCode="m/d/yyyy">
                  <c:v>45398</c:v>
                </c:pt>
                <c:pt idx="4" formatCode="m/d/yyyy">
                  <c:v>45398</c:v>
                </c:pt>
                <c:pt idx="5" formatCode="m/d/yyyy">
                  <c:v>45399</c:v>
                </c:pt>
                <c:pt idx="6" formatCode="m/d/yyyy">
                  <c:v>45399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30-4F90-B9C2-398A632F3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1619199"/>
        <c:axId val="1131612959"/>
      </c:barChart>
      <c:catAx>
        <c:axId val="11316191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>
                    <a:solidFill>
                      <a:sysClr val="windowText" lastClr="000000"/>
                    </a:solidFill>
                  </a:rPr>
                  <a:t>Дата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612959"/>
        <c:crosses val="autoZero"/>
        <c:auto val="1"/>
        <c:lblAlgn val="ctr"/>
        <c:lblOffset val="100"/>
        <c:noMultiLvlLbl val="0"/>
      </c:catAx>
      <c:valAx>
        <c:axId val="1131612959"/>
        <c:scaling>
          <c:orientation val="minMax"/>
          <c:max val="4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>
                    <a:solidFill>
                      <a:sysClr val="windowText" lastClr="000000"/>
                    </a:solidFill>
                  </a:rPr>
                  <a:t>Масса, 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619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1161513</xdr:colOff>
      <xdr:row>85</xdr:row>
      <xdr:rowOff>173601</xdr:rowOff>
    </xdr:from>
    <xdr:to>
      <xdr:col>10</xdr:col>
      <xdr:colOff>582706</xdr:colOff>
      <xdr:row>111</xdr:row>
      <xdr:rowOff>67235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220980</xdr:colOff>
          <xdr:row>0</xdr:row>
          <xdr:rowOff>99060</xdr:rowOff>
        </xdr:from>
        <xdr:to>
          <xdr:col>17</xdr:col>
          <xdr:colOff>76200</xdr:colOff>
          <xdr:row>1</xdr:row>
          <xdr:rowOff>121920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втор" refreshedDate="45352.571366550925" createdVersion="7" refreshedVersion="7" minRefreshableVersion="3" recordCount="1634" xr:uid="{7BD7090E-0F10-4B0A-BDC8-B585D4E4A799}">
  <cacheSource type="worksheet">
    <worksheetSource ref="A1:I1" sheet="Ввоз"/>
  </cacheSource>
  <cacheFields count="9">
    <cacheField name="Дата" numFmtId="14">
      <sharedItems containsSemiMixedTypes="0" containsNonDate="0" containsDate="1" containsString="0" minDate="2024-02-01T00:00:00" maxDate="2024-03-01T00:00:00" count="29"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</sharedItems>
    </cacheField>
    <cacheField name="Время" numFmtId="0">
      <sharedItems containsSemiMixedTypes="0" containsDate="1" containsString="0" containsMixedTypes="1" minDate="1899-12-30T00:00:00" maxDate="1945-07-31T00:00:00"/>
    </cacheField>
    <cacheField name="№ Лота" numFmtId="0">
      <sharedItems containsSemiMixedTypes="0" containsString="0" containsNumber="1" containsInteger="1" minValue="1" maxValue="4"/>
    </cacheField>
    <cacheField name="Наименование перевозчика" numFmtId="0">
      <sharedItems/>
    </cacheField>
    <cacheField name="Место разгруза" numFmtId="0">
      <sharedItems/>
    </cacheField>
    <cacheField name="Госномер ТС" numFmtId="0">
      <sharedItems/>
    </cacheField>
    <cacheField name="Масса нетто,_x000a_т" numFmtId="0">
      <sharedItems containsSemiMixedTypes="0" containsString="0" containsNumber="1" minValue="0.2" maxValue="22.4"/>
    </cacheField>
    <cacheField name="Масса брутто, т" numFmtId="0">
      <sharedItems containsSemiMixedTypes="0" containsString="0" containsNumber="1" minValue="5.75" maxValue="48.5"/>
    </cacheField>
    <cacheField name="Масса авто" numFmtId="0">
      <sharedItems containsSemiMixedTypes="0" containsString="0" containsNumber="1" minValue="5.25" maxValue="26.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втор" refreshedDate="45352.571497685189" createdVersion="7" refreshedVersion="7" minRefreshableVersion="3" recordCount="266" xr:uid="{115E3608-3086-4D67-96B9-7FAAF53F4EA9}">
  <cacheSource type="worksheet">
    <worksheetSource ref="A1:L1" sheet="Вывоз"/>
  </cacheSource>
  <cacheFields count="12">
    <cacheField name="Дата " numFmtId="14">
      <sharedItems containsSemiMixedTypes="0" containsNonDate="0" containsDate="1" containsString="0" minDate="2024-02-01T00:00:00" maxDate="2024-03-01T00:00:00" count="29"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</sharedItems>
    </cacheField>
    <cacheField name="Время" numFmtId="0">
      <sharedItems containsString="0" containsBlank="1" containsNumber="1" containsInteger="1" minValue="0" maxValue="2313"/>
    </cacheField>
    <cacheField name="№ Лота" numFmtId="0">
      <sharedItems containsSemiMixedTypes="0" containsString="0" containsNumber="1" containsInteger="1" minValue="1" maxValue="1"/>
    </cacheField>
    <cacheField name="От куда забор" numFmtId="0">
      <sharedItems/>
    </cacheField>
    <cacheField name="Наименование перевозчика" numFmtId="0">
      <sharedItems/>
    </cacheField>
    <cacheField name="Марка АМ" numFmtId="0">
      <sharedItems/>
    </cacheField>
    <cacheField name="Госномер ТС" numFmtId="0">
      <sharedItems/>
    </cacheField>
    <cacheField name="Куда: Полигон" numFmtId="0">
      <sharedItems/>
    </cacheField>
    <cacheField name="Вес на погрузке" numFmtId="0">
      <sharedItems containsSemiMixedTypes="0" containsString="0" containsNumber="1" containsInteger="1" minValue="14050" maxValue="31200"/>
    </cacheField>
    <cacheField name="Вес на разгрузке" numFmtId="0">
      <sharedItems containsString="0" containsBlank="1" containsNumber="1" containsInteger="1" minValue="14720" maxValue="31280"/>
    </cacheField>
    <cacheField name="Примечание" numFmtId="0">
      <sharedItems containsSemiMixedTypes="0" containsString="0" containsNumber="1" containsInteger="1" minValue="-27550" maxValue="5100"/>
    </cacheField>
    <cacheField name="Площадка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втор" refreshedDate="45357.607133101854" createdVersion="7" refreshedVersion="7" minRefreshableVersion="3" recordCount="57" xr:uid="{E6108AEF-4123-4BC0-8391-5F488C1CD69A}">
  <cacheSource type="worksheet">
    <worksheetSource ref="A1:L1048576" sheet="Вывоз"/>
  </cacheSource>
  <cacheFields count="12">
    <cacheField name="Дата " numFmtId="14">
      <sharedItems containsNonDate="0" containsDate="1" containsString="0" containsBlank="1" minDate="2024-03-01T00:00:00" maxDate="2024-03-06T00:00:00" count="6">
        <d v="2024-03-01T00:00:00"/>
        <d v="2024-03-02T00:00:00"/>
        <d v="2024-03-03T00:00:00"/>
        <d v="2024-03-04T00:00:00"/>
        <d v="2024-03-05T00:00:00"/>
        <m/>
      </sharedItems>
    </cacheField>
    <cacheField name="Время" numFmtId="0">
      <sharedItems containsDate="1" containsString="0" containsBlank="1" containsMixedTypes="1" minDate="1900-01-08T01:48:04" maxDate="1899-12-30T23:54:00"/>
    </cacheField>
    <cacheField name="№ Лота" numFmtId="0">
      <sharedItems containsString="0" containsBlank="1" containsNumber="1" containsInteger="1" minValue="1" maxValue="1"/>
    </cacheField>
    <cacheField name="Объект" numFmtId="0">
      <sharedItems containsBlank="1"/>
    </cacheField>
    <cacheField name="Наименование перевозчика" numFmtId="0">
      <sharedItems containsBlank="1"/>
    </cacheField>
    <cacheField name="Марка АМ" numFmtId="0">
      <sharedItems containsBlank="1"/>
    </cacheField>
    <cacheField name="Госномер ТС" numFmtId="0">
      <sharedItems containsBlank="1"/>
    </cacheField>
    <cacheField name="Куда: Полигон" numFmtId="0">
      <sharedItems containsBlank="1" count="2">
        <s v="АВТО-БЕРКУТ"/>
        <m/>
      </sharedItems>
    </cacheField>
    <cacheField name="Вес на погрузке" numFmtId="4">
      <sharedItems containsString="0" containsBlank="1" containsNumber="1" containsInteger="1" minValue="15520" maxValue="29450"/>
    </cacheField>
    <cacheField name="Вес на разгрузке" numFmtId="4">
      <sharedItems containsString="0" containsBlank="1" containsNumber="1" containsInteger="1" minValue="16800" maxValue="29540"/>
    </cacheField>
    <cacheField name="Примечание" numFmtId="0">
      <sharedItems containsString="0" containsBlank="1" containsNumber="1" containsInteger="1" minValue="-29000" maxValue="2800"/>
    </cacheField>
    <cacheField name="Площадка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4">
  <r>
    <x v="0"/>
    <d v="1903-12-22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9.0500000000000007"/>
    <n v="24.4"/>
    <n v="15.35"/>
  </r>
  <r>
    <x v="0"/>
    <d v="1904-10-13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1.85"/>
    <n v="14.05"/>
    <n v="12.2"/>
  </r>
  <r>
    <x v="0"/>
    <d v="1904-12-24T00:00:00"/>
    <n v="4"/>
    <s v="ООО &quot;Петро-Васт&quot;"/>
    <s v="ООО &quot;Эко Лэнд&quot;,ЛО, Ломоносовский р-н, п.г.т Большая Ижора, промзона «Бронка-2», квартал 1"/>
    <s v="А360РЕ147"/>
    <n v="7.55"/>
    <n v="23.3"/>
    <n v="15.75"/>
  </r>
  <r>
    <x v="0"/>
    <d v="1903-02-17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3.35"/>
    <n v="18.2"/>
    <n v="14.85"/>
  </r>
  <r>
    <x v="0"/>
    <d v="1903-11-0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3.75"/>
    <n v="18.55"/>
    <n v="14.8"/>
  </r>
  <r>
    <x v="0"/>
    <d v="1904-03-29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9.4499999999999993"/>
    <n v="24.95"/>
    <n v="15.5"/>
  </r>
  <r>
    <x v="0"/>
    <d v="1904-02-29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0.65"/>
    <n v="26.6"/>
    <n v="15.95"/>
  </r>
  <r>
    <x v="0"/>
    <d v="1905-11-03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3.25"/>
    <n v="18.75"/>
    <n v="15.5"/>
  </r>
  <r>
    <x v="0"/>
    <d v="1904-03-09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1.4"/>
    <n v="27"/>
    <n v="15.6"/>
  </r>
  <r>
    <x v="0"/>
    <d v="1902-04-21T00:00:00"/>
    <n v="4"/>
    <s v="ООО &quot;Петро-Васт&quot;"/>
    <s v="ООО &quot;Эко Лэнд&quot;,ЛО, Ломоносовский р-н, п.г.т Большая Ижора, промзона «Бронка-2», квартал 1"/>
    <s v="О068ТЕ47"/>
    <n v="2.75"/>
    <n v="17.95"/>
    <n v="15.2"/>
  </r>
  <r>
    <x v="0"/>
    <d v="1903-01-29T00:00:00"/>
    <n v="4"/>
    <s v="ООО &quot;Петро-Васт&quot;"/>
    <s v="ООО &quot;Эко Лэнд&quot;,ЛО, Ломоносовский р-н, п.г.т Большая Ижора, промзона «Бронка-2», квартал 1"/>
    <s v="О068ТЕ47"/>
    <n v="2.7"/>
    <n v="17.7"/>
    <n v="15"/>
  </r>
  <r>
    <x v="0"/>
    <d v="1901-10-1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85"/>
    <n v="9"/>
    <n v="6.15"/>
  </r>
  <r>
    <x v="0"/>
    <d v="1902-07-0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25"/>
    <n v="8.35"/>
    <n v="6.1"/>
  </r>
  <r>
    <x v="0"/>
    <d v="1903-05-2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55"/>
    <n v="7.5"/>
    <n v="5.95"/>
  </r>
  <r>
    <x v="0"/>
    <d v="1904-05-2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5"/>
    <n v="7.55"/>
    <n v="6.05"/>
  </r>
  <r>
    <x v="0"/>
    <d v="1902-04-1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35"/>
    <n v="7.45"/>
    <n v="6.1"/>
  </r>
  <r>
    <x v="0"/>
    <d v="1903-02-14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35"/>
    <n v="7.45"/>
    <n v="6.1"/>
  </r>
  <r>
    <x v="0"/>
    <d v="1904-03-04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2"/>
    <n v="7.1"/>
    <n v="5.9"/>
  </r>
  <r>
    <x v="0"/>
    <d v="1905-04-17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5.3"/>
    <n v="13.45"/>
    <n v="8.15"/>
  </r>
  <r>
    <x v="0"/>
    <d v="1905-11-20T00:00:00"/>
    <n v="1"/>
    <s v="ООО &quot;Эко Лэнд&quot;"/>
    <s v="ООО &quot;Эко Лэнд&quot;,ЛО, Ломоносовский р-н, п.г.т Большая Ижора, промзона «Бронка-2», квартал 1"/>
    <s v="Н206МН198"/>
    <n v="1.8"/>
    <n v="15.3"/>
    <n v="13.5"/>
  </r>
  <r>
    <x v="0"/>
    <d v="1905-11-04T00:00:00"/>
    <n v="1"/>
    <s v="ООО &quot;Эко Лэнд&quot;"/>
    <s v="ООО &quot;Эко Лэнд&quot;,ЛО, Ломоносовский р-н, п.г.т Большая Ижора, промзона «Бронка-2», квартал 1"/>
    <s v="О753НН198"/>
    <n v="6.15"/>
    <n v="21.6"/>
    <n v="15.45"/>
  </r>
  <r>
    <x v="0"/>
    <d v="1902-04-12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6"/>
    <n v="12.6"/>
    <n v="10"/>
  </r>
  <r>
    <x v="0"/>
    <d v="1903-02-03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1.4"/>
    <n v="11.6"/>
    <n v="10.199999999999999"/>
  </r>
  <r>
    <x v="0"/>
    <d v="1904-06-0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9"/>
    <n v="13"/>
    <n v="10.1"/>
  </r>
  <r>
    <x v="0"/>
    <d v="1903-11-30T00:00:00"/>
    <n v="1"/>
    <s v="ООО &quot;Эко Лэнд&quot;"/>
    <s v="ООО &quot;Эко Лэнд&quot;,ЛО, Ломоносовский р-н, п.г.т Большая Ижора, промзона «Бронка-2», квартал 1"/>
    <s v="О980ТТ198"/>
    <n v="8.1999999999999993"/>
    <n v="21.9"/>
    <n v="13.7"/>
  </r>
  <r>
    <x v="0"/>
    <d v="1901-06-25T00:00:00"/>
    <n v="1"/>
    <s v="ООО &quot;Эко Лэнд&quot;"/>
    <s v="ООО &quot;Эко Лэнд&quot;,ЛО, Ломоносовский р-н, п.г.т Большая Ижора, промзона «Бронка-2», квартал 1"/>
    <s v="О980ТТ198"/>
    <n v="6.15"/>
    <n v="19.850000000000001"/>
    <n v="13.7"/>
  </r>
  <r>
    <x v="0"/>
    <d v="1902-07-0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2.7"/>
    <n v="8.25"/>
    <n v="5.55"/>
  </r>
  <r>
    <x v="0"/>
    <d v="1903-09-0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75"/>
    <n v="7.2"/>
    <n v="5.45"/>
  </r>
  <r>
    <x v="0"/>
    <d v="1904-09-10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5"/>
    <n v="7.05"/>
    <n v="5.55"/>
  </r>
  <r>
    <x v="0"/>
    <d v="1904-02-15T00:00:00"/>
    <n v="1"/>
    <s v="ООО &quot;Эко Лэнд&quot;"/>
    <s v="ООО &quot;Эко Лэнд&quot;,ЛО, Ломоносовский р-н, п.г.т Большая Ижора, промзона «Бронка-2», квартал 1"/>
    <s v="С214ТЕ178"/>
    <n v="2.9"/>
    <n v="13.85"/>
    <n v="10.95"/>
  </r>
  <r>
    <x v="0"/>
    <d v="1905-05-08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5.8"/>
    <n v="18"/>
    <n v="12.2"/>
  </r>
  <r>
    <x v="0"/>
    <d v="1903-12-02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3.35"/>
    <n v="18.7"/>
    <n v="15.35"/>
  </r>
  <r>
    <x v="0"/>
    <d v="1903-08-17T00:00:00"/>
    <n v="1"/>
    <s v="ООО &quot;Эко Лэнд&quot;"/>
    <s v="ООО &quot;Эко Лэнд&quot;,ЛО, Ломоносовский р-н, п.г.т Большая Ижора, промзона «Бронка-2», квартал 1"/>
    <s v="О889УТ47"/>
    <n v="2.7"/>
    <n v="18.600000000000001"/>
    <n v="15.9"/>
  </r>
  <r>
    <x v="0"/>
    <d v="1904-07-07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4.4000000000000004"/>
    <n v="18.100000000000001"/>
    <n v="13.7"/>
  </r>
  <r>
    <x v="0"/>
    <d v="1904-06-30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2.5"/>
    <n v="10.199999999999999"/>
    <n v="7.7"/>
  </r>
  <r>
    <x v="0"/>
    <d v="1905-04-22T00:00:00"/>
    <n v="1"/>
    <s v="ООО &quot;Эко Лэнд&quot;"/>
    <s v="ООО &quot;Эко Лэнд&quot;,ЛО, Ломоносовский р-н, п.г.т Большая Ижора, промзона «Бронка-2», квартал 1"/>
    <s v="Р188ОС198"/>
    <n v="3.5"/>
    <n v="16.899999999999999"/>
    <n v="13.4"/>
  </r>
  <r>
    <x v="0"/>
    <d v="1904-10-05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9.15"/>
    <n v="22.7"/>
    <n v="13.55"/>
  </r>
  <r>
    <x v="0"/>
    <d v="1904-02-08T00:00:00"/>
    <n v="1"/>
    <s v="ООО &quot;Эко Лэнд&quot;"/>
    <s v="ООО &quot;Эко Лэнд&quot;,ЛО, Ломоносовский р-н, п.г.т Большая Ижора, промзона «Бронка-2», квартал 1"/>
    <s v="Р050НН198"/>
    <n v="10.35"/>
    <n v="25.85"/>
    <n v="15.5"/>
  </r>
  <r>
    <x v="0"/>
    <d v="1904-09-25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0.8"/>
    <n v="14.2"/>
    <n v="13.4"/>
  </r>
  <r>
    <x v="0"/>
    <d v="1904-07-02T00:00:00"/>
    <n v="1"/>
    <s v="ООО &quot;Эко Лэнд&quot;"/>
    <s v="ООО &quot;Эко Лэнд&quot;,ЛО, Ломоносовский р-н, п.г.т Большая Ижора, промзона «Бронка-2», квартал 1"/>
    <s v="Р851ОХ198"/>
    <n v="1.8"/>
    <n v="8.65"/>
    <n v="6.85"/>
  </r>
  <r>
    <x v="0"/>
    <d v="1904-12-05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7.5"/>
    <n v="19.8"/>
    <n v="12.3"/>
  </r>
  <r>
    <x v="0"/>
    <d v="1904-10-10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6.05"/>
    <n v="20.149999999999999"/>
    <n v="14.1"/>
  </r>
  <r>
    <x v="0"/>
    <d v="1903-12-01T00:00:00"/>
    <n v="1"/>
    <s v="ООО &quot;Эко Лэнд&quot;"/>
    <s v="ООО &quot;Эко Лэнд&quot;,ЛО, Ломоносовский р-н, п.г.т Большая Ижора, промзона «Бронка-2», квартал 1"/>
    <s v="Р057НР198"/>
    <n v="8.1"/>
    <n v="20.399999999999999"/>
    <n v="12.3"/>
  </r>
  <r>
    <x v="0"/>
    <d v="1904-12-27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2.85"/>
    <n v="9.6999999999999993"/>
    <n v="6.85"/>
  </r>
  <r>
    <x v="0"/>
    <d v="1904-10-15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7"/>
    <n v="20.399999999999999"/>
    <n v="13.4"/>
  </r>
  <r>
    <x v="0"/>
    <d v="1905-05-11T00:00:00"/>
    <n v="1"/>
    <s v="ООО &quot;Эко Лэнд&quot;"/>
    <s v="ООО &quot;Эко Лэнд&quot;,ЛО, Ломоносовский р-н, п.г.т Большая Ижора, промзона «Бронка-2», квартал 1"/>
    <s v="С 869 ЕТ 198"/>
    <n v="3.55"/>
    <n v="17.3"/>
    <n v="13.75"/>
  </r>
  <r>
    <x v="0"/>
    <d v="1904-02-09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6.65"/>
    <n v="20.2"/>
    <n v="13.55"/>
  </r>
  <r>
    <x v="0"/>
    <d v="1905-01-23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4.75"/>
    <n v="16.100000000000001"/>
    <n v="11.35"/>
  </r>
  <r>
    <x v="0"/>
    <d v="1904-03-09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6.7"/>
    <n v="18.899999999999999"/>
    <n v="12.2"/>
  </r>
  <r>
    <x v="0"/>
    <d v="1903-12-21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"/>
    <n v="6.45"/>
    <n v="5.45"/>
  </r>
  <r>
    <x v="0"/>
    <d v="1903-11-03T00:00:00"/>
    <n v="1"/>
    <s v="ООО &quot;Эко Лэнд&quot;"/>
    <s v="ООО &quot;Эко Лэнд&quot;,ЛО, Ломоносовский р-н, п.г.т Большая Ижора, промзона «Бронка-2», квартал 1"/>
    <s v="С621РО198"/>
    <n v="2.35"/>
    <n v="11"/>
    <n v="8.65"/>
  </r>
  <r>
    <x v="0"/>
    <d v="1900-11-03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2999999999999998"/>
    <n v="10.85"/>
    <n v="8.5500000000000007"/>
  </r>
  <r>
    <x v="0"/>
    <d v="1905-09-30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2.15"/>
    <n v="8.35"/>
    <n v="6.2"/>
  </r>
  <r>
    <x v="0"/>
    <d v="1900-01-31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2.6"/>
    <n v="8.85"/>
    <n v="6.25"/>
  </r>
  <r>
    <x v="0"/>
    <d v="1904-09-27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0499999999999998"/>
    <n v="9.15"/>
    <n v="7.1"/>
  </r>
  <r>
    <x v="0"/>
    <d v="1904-12-20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5.0999999999999996"/>
    <n v="16.75"/>
    <n v="11.65"/>
  </r>
  <r>
    <x v="1"/>
    <d v="1900-04-12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65"/>
    <n v="19.3"/>
    <n v="12.65"/>
  </r>
  <r>
    <x v="1"/>
    <d v="1905-05-06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85"/>
    <n v="19.55"/>
    <n v="12.7"/>
  </r>
  <r>
    <x v="1"/>
    <d v="1901-12-16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2.9"/>
    <n v="14.7"/>
    <n v="11.8"/>
  </r>
  <r>
    <x v="1"/>
    <d v="1903-05-16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7.35"/>
    <n v="19.75"/>
    <n v="12.4"/>
  </r>
  <r>
    <x v="1"/>
    <d v="1903-11-18T00:00:00"/>
    <n v="4"/>
    <s v="ООО &quot;Петро-Васт&quot;"/>
    <s v="ООО &quot;Эко Лэнд&quot;,ЛО, Ломоносовский р-н, п.г.т Большая Ижора, промзона «Бронка-2», квартал 1"/>
    <s v="А360РЕ147"/>
    <n v="6.55"/>
    <n v="22.3"/>
    <n v="15.75"/>
  </r>
  <r>
    <x v="1"/>
    <n v="935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1.75"/>
    <n v="16.649999999999999"/>
    <n v="14.9"/>
  </r>
  <r>
    <x v="1"/>
    <d v="1903-05-04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4.55"/>
    <n v="19.45"/>
    <n v="14.9"/>
  </r>
  <r>
    <x v="1"/>
    <d v="1905-04-06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8.85"/>
    <n v="24.35"/>
    <n v="15.5"/>
  </r>
  <r>
    <x v="1"/>
    <d v="1904-08-27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1.75"/>
    <n v="27.6"/>
    <n v="15.85"/>
  </r>
  <r>
    <x v="1"/>
    <d v="1903-05-24T00:00:00"/>
    <n v="4"/>
    <s v="ООО &quot;Петро-Васт&quot;"/>
    <s v="ООО &quot;Эко Лэнд&quot;,ЛО, Ломоносовский р-н, п.г.т Большая Ижора, промзона «Бронка-2», квартал 1"/>
    <s v="В381РО47"/>
    <n v="10.85"/>
    <n v="26.8"/>
    <n v="15.95"/>
  </r>
  <r>
    <x v="1"/>
    <d v="1903-07-23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0.25"/>
    <n v="25.75"/>
    <n v="15.5"/>
  </r>
  <r>
    <x v="1"/>
    <d v="1904-08-29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6.5"/>
    <n v="21.95"/>
    <n v="15.45"/>
  </r>
  <r>
    <x v="1"/>
    <d v="1902-04-15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95"/>
    <n v="18.25"/>
    <n v="15.3"/>
  </r>
  <r>
    <x v="1"/>
    <d v="1903-05-09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"/>
    <n v="17.2"/>
    <n v="15.2"/>
  </r>
  <r>
    <x v="1"/>
    <d v="1904-02-08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3.95"/>
    <n v="19.149999999999999"/>
    <n v="15.2"/>
  </r>
  <r>
    <x v="1"/>
    <d v="1903-06-03T00:00:00"/>
    <n v="4"/>
    <s v="ООО &quot;Петро-Васт&quot;"/>
    <s v="ООО &quot;Эко Лэнд&quot;,ЛО, Ломоносовский р-н, п.г.т Большая Ижора, промзона «Бронка-2», квартал 1"/>
    <s v="К182РС147"/>
    <n v="1.95"/>
    <n v="18.399999999999999"/>
    <n v="16.45"/>
  </r>
  <r>
    <x v="1"/>
    <d v="1902-01-1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1000000000000001"/>
    <n v="6.9"/>
    <n v="5.8"/>
  </r>
  <r>
    <x v="1"/>
    <d v="1904-03-1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25"/>
    <n v="7.95"/>
    <n v="5.7"/>
  </r>
  <r>
    <x v="1"/>
    <d v="1902-04-11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0.95"/>
    <n v="7.05"/>
    <n v="6.1"/>
  </r>
  <r>
    <x v="1"/>
    <d v="1903-04-1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1000000000000001"/>
    <n v="7.1"/>
    <n v="6"/>
  </r>
  <r>
    <x v="1"/>
    <d v="1904-07-0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7"/>
    <n v="7.65"/>
    <n v="5.95"/>
  </r>
  <r>
    <x v="1"/>
    <d v="1905-04-10T00:00:00"/>
    <n v="1"/>
    <s v="ООО &quot;Эко Лэнд&quot;"/>
    <s v="ООО &quot;Эко Лэнд&quot;,ЛО, Ломоносовский р-н, п.г.т Большая Ижора, промзона «Бронка-2», квартал 1"/>
    <s v="С926ЕТ198"/>
    <n v="5.6"/>
    <n v="19.100000000000001"/>
    <n v="13.5"/>
  </r>
  <r>
    <x v="1"/>
    <d v="1905-07-11T00:00:00"/>
    <n v="1"/>
    <s v="ООО &quot;Эко Лэнд&quot;"/>
    <s v="ООО &quot;Эко Лэнд&quot;,ЛО, Ломоносовский р-н, п.г.т Большая Ижора, промзона «Бронка-2», квартал 1"/>
    <s v="С621РО198"/>
    <n v="3.35"/>
    <n v="12"/>
    <n v="8.65"/>
  </r>
  <r>
    <x v="1"/>
    <d v="1904-09-21T00:00:00"/>
    <n v="1"/>
    <s v="ООО &quot;Эко Лэнд&quot;"/>
    <s v="ООО &quot;Эко Лэнд&quot;,ЛО, Ломоносовский р-н, п.г.т Большая Ижора, промзона «Бронка-2», квартал 1"/>
    <s v="О690НО198"/>
    <n v="4.9000000000000004"/>
    <n v="20.2"/>
    <n v="15.3"/>
  </r>
  <r>
    <x v="1"/>
    <d v="1902-04-22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5499999999999998"/>
    <n v="12.3"/>
    <n v="9.75"/>
  </r>
  <r>
    <x v="1"/>
    <d v="1903-02-1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85"/>
    <n v="13.05"/>
    <n v="10.199999999999999"/>
  </r>
  <r>
    <x v="1"/>
    <d v="1903-12-1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95"/>
    <n v="13.15"/>
    <n v="10.199999999999999"/>
  </r>
  <r>
    <x v="1"/>
    <d v="1904-09-2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1.8"/>
    <n v="12"/>
    <n v="10.199999999999999"/>
  </r>
  <r>
    <x v="1"/>
    <d v="1905-04-01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1.45"/>
    <n v="13.05"/>
    <n v="11.6"/>
  </r>
  <r>
    <x v="1"/>
    <d v="1904-08-26T00:00:00"/>
    <n v="1"/>
    <s v="ООО &quot;Эко Лэнд&quot;"/>
    <s v="ООО &quot;Эко Лэнд&quot;,ЛО, Ломоносовский р-н, п.г.т Большая Ижора, промзона «Бронка-2», квартал 1"/>
    <s v="О980ТТ198"/>
    <n v="7"/>
    <n v="20.65"/>
    <n v="13.65"/>
  </r>
  <r>
    <x v="1"/>
    <d v="1902-10-0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65"/>
    <n v="6.05"/>
    <n v="5.4"/>
  </r>
  <r>
    <x v="1"/>
    <d v="1903-08-16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8"/>
    <n v="6.2"/>
    <n v="5.4"/>
  </r>
  <r>
    <x v="1"/>
    <d v="1904-12-04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95"/>
    <n v="8.15"/>
    <n v="6.2"/>
  </r>
  <r>
    <x v="1"/>
    <d v="1905-10-1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4"/>
    <n v="7"/>
    <n v="5.6"/>
  </r>
  <r>
    <x v="1"/>
    <d v="1904-02-18T00:00:00"/>
    <n v="1"/>
    <s v="ООО &quot;Эко Лэнд&quot;"/>
    <s v="ООО &quot;Эко Лэнд&quot;,ЛО, Ломоносовский р-н, п.г.т Большая Ижора, промзона «Бронка-2», квартал 1"/>
    <s v="Р094МУ198"/>
    <n v="12"/>
    <n v="27.95"/>
    <n v="15.95"/>
  </r>
  <r>
    <x v="1"/>
    <d v="1905-07-30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3.8"/>
    <n v="11.9"/>
    <n v="8.1"/>
  </r>
  <r>
    <x v="1"/>
    <d v="1904-10-05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6.55"/>
    <n v="18.75"/>
    <n v="12.2"/>
  </r>
  <r>
    <x v="1"/>
    <d v="1904-10-16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7"/>
    <n v="20.65"/>
    <n v="13.65"/>
  </r>
  <r>
    <x v="1"/>
    <d v="1904-10-02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4.5999999999999996"/>
    <n v="18.649999999999999"/>
    <n v="14.05"/>
  </r>
  <r>
    <x v="1"/>
    <d v="1903-01-10T00:00:00"/>
    <n v="1"/>
    <s v="ООО &quot;Эко Лэнд&quot;"/>
    <s v="ООО &quot;Эко Лэнд&quot;,ЛО, Ломоносовский р-н, п.г.т Большая Ижора, промзона «Бронка-2», квартал 1"/>
    <s v="Р584ОО198"/>
    <n v="7.5"/>
    <n v="23.3"/>
    <n v="15.8"/>
  </r>
  <r>
    <x v="1"/>
    <d v="1905-05-01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4.25"/>
    <n v="17.8"/>
    <n v="13.55"/>
  </r>
  <r>
    <x v="1"/>
    <d v="1904-05-18T00:00:00"/>
    <n v="1"/>
    <s v="ООО &quot;Эко Лэнд&quot;"/>
    <s v="ООО &quot;Эко Лэнд&quot;,ЛО, Ломоносовский р-н, п.г.т Большая Ижора, промзона «Бронка-2», квартал 1"/>
    <s v="Р050НН198"/>
    <n v="11.25"/>
    <n v="26.85"/>
    <n v="15.6"/>
  </r>
  <r>
    <x v="1"/>
    <d v="1903-08-04T00:00:00"/>
    <n v="1"/>
    <s v="ООО &quot;Эко Лэнд&quot;"/>
    <s v="ООО &quot;Эко Лэнд&quot;,ЛО, Ломоносовский р-н, п.г.т Большая Ижора, промзона «Бронка-2», квартал 1"/>
    <s v="В143КН178"/>
    <n v="13.3"/>
    <n v="26.75"/>
    <n v="13.45"/>
  </r>
  <r>
    <x v="1"/>
    <d v="1905-04-05T00:00:00"/>
    <n v="1"/>
    <s v="ООО &quot;Эко Лэнд&quot;"/>
    <s v="ООО &quot;Эко Лэнд&quot;,ЛО, Ломоносовский р-н, п.г.т Большая Ижора, промзона «Бронка-2», квартал 1"/>
    <s v="Е058НО198"/>
    <n v="6.4"/>
    <n v="18.350000000000001"/>
    <n v="11.95"/>
  </r>
  <r>
    <x v="1"/>
    <d v="1902-11-19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5.25"/>
    <n v="21.25"/>
    <n v="16"/>
  </r>
  <r>
    <x v="1"/>
    <d v="1905-01-17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7.7"/>
    <n v="23.75"/>
    <n v="16.05"/>
  </r>
  <r>
    <x v="1"/>
    <d v="1903-09-11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8.5500000000000007"/>
    <n v="20.8"/>
    <n v="12.25"/>
  </r>
  <r>
    <x v="1"/>
    <d v="1906-03-07T00:00:00"/>
    <n v="1"/>
    <s v="ООО &quot;Эко Лэнд&quot;"/>
    <s v="ООО &quot;Эко Лэнд&quot;,ЛО, Ломоносовский р-н, п.г.т Большая Ижора, промзона «Бронка-2», квартал 1"/>
    <s v="Н206МН198"/>
    <n v="2.8"/>
    <n v="16.3"/>
    <n v="13.5"/>
  </r>
  <r>
    <x v="1"/>
    <d v="1905-04-24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8.8000000000000007"/>
    <n v="22.8"/>
    <n v="14"/>
  </r>
  <r>
    <x v="1"/>
    <d v="1904-03-19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1.25"/>
    <n v="7"/>
    <n v="5.75"/>
  </r>
  <r>
    <x v="1"/>
    <d v="1905-01-05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1.55"/>
    <n v="8.3000000000000007"/>
    <n v="6.75"/>
  </r>
  <r>
    <x v="1"/>
    <d v="1904-06-28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25"/>
    <n v="9.15"/>
    <n v="7.9"/>
  </r>
  <r>
    <x v="1"/>
    <d v="1903-12-16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7.9"/>
    <n v="21.4"/>
    <n v="13.5"/>
  </r>
  <r>
    <x v="1"/>
    <d v="1905-05-01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2.5499999999999998"/>
    <n v="13.85"/>
    <n v="11.3"/>
  </r>
  <r>
    <x v="1"/>
    <d v="1905-01-19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3.8"/>
    <n v="16.100000000000001"/>
    <n v="12.3"/>
  </r>
  <r>
    <x v="1"/>
    <d v="1905-11-15T00:00:00"/>
    <n v="1"/>
    <s v="ООО &quot;Эко Лэнд&quot;"/>
    <s v="ООО &quot;Эко Лэнд&quot;,ЛО, Ломоносовский р-н, п.г.т Большая Ижора, промзона «Бронка-2», квартал 1"/>
    <s v="Н921МЕ198"/>
    <n v="8.75"/>
    <n v="22.2"/>
    <n v="13.45"/>
  </r>
  <r>
    <x v="1"/>
    <d v="1905-10-11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0.95"/>
    <n v="7.2"/>
    <n v="6.25"/>
  </r>
  <r>
    <x v="1"/>
    <d v="1905-08-14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3.1"/>
    <n v="10.199999999999999"/>
    <n v="7.1"/>
  </r>
  <r>
    <x v="1"/>
    <d v="1905-04-17T00:00:00"/>
    <n v="1"/>
    <s v="ООО &quot;Эко Лэнд&quot;"/>
    <s v="ООО &quot;Эко Лэнд&quot;,ЛО, Ломоносовский р-н, п.г.т Большая Ижора, промзона «Бронка-2», квартал 1"/>
    <s v="М113ХХ198"/>
    <n v="4.75"/>
    <n v="12.95"/>
    <n v="8.1999999999999993"/>
  </r>
  <r>
    <x v="1"/>
    <d v="1905-04-23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7.1"/>
    <n v="18.7"/>
    <n v="11.6"/>
  </r>
  <r>
    <x v="2"/>
    <d v="1904-09-10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7"/>
    <n v="19.850000000000001"/>
    <n v="12.85"/>
  </r>
  <r>
    <x v="2"/>
    <n v="1711"/>
    <n v="1"/>
    <s v="ООО &quot;ЛЭК&quot;"/>
    <s v="ООО &quot;Эко Лэнд&quot;,ЛО, Ломоносовский р-н, п.г.т Большая Ижора, промзона «Бронка-2», квартал 1"/>
    <s v="Н540УК198"/>
    <n v="9.6"/>
    <n v="24.9"/>
    <n v="15.3"/>
  </r>
  <r>
    <x v="2"/>
    <d v="1904-02-19T00:00:00"/>
    <n v="4"/>
    <s v="ООО &quot;Петро-Васт&quot;"/>
    <s v="ООО &quot;Эко Лэнд&quot;,ЛО, Ломоносовский р-н, п.г.т Большая Ижора, промзона «Бронка-2», квартал 1"/>
    <s v="В568СС47"/>
    <n v="4.8"/>
    <n v="19.850000000000001"/>
    <n v="15.05"/>
  </r>
  <r>
    <x v="2"/>
    <d v="1903-02-03T00:00:00"/>
    <n v="4"/>
    <s v="ООО &quot;Петро-Васт&quot;"/>
    <s v="ООО &quot;Эко Лэнд&quot;,ЛО, Ломоносовский р-н, п.г.т Большая Ижора, промзона «Бронка-2», квартал 1"/>
    <s v="В626УХ47"/>
    <n v="2.95"/>
    <n v="18.399999999999999"/>
    <n v="15.45"/>
  </r>
  <r>
    <x v="2"/>
    <d v="1905-01-06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8.0500000000000007"/>
    <n v="23.5"/>
    <n v="15.45"/>
  </r>
  <r>
    <x v="2"/>
    <d v="1903-11-16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8.9"/>
    <n v="24.8"/>
    <n v="15.9"/>
  </r>
  <r>
    <x v="2"/>
    <d v="1903-09-16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8.9499999999999993"/>
    <n v="24.55"/>
    <n v="15.6"/>
  </r>
  <r>
    <x v="2"/>
    <d v="1905-05-06T00:00:00"/>
    <n v="4"/>
    <s v="ООО &quot;Петро-Васт&quot;"/>
    <s v="ООО &quot;Эко Лэнд&quot;,ЛО, Ломоносовский р-н, п.г.т Большая Ижора, промзона «Бронка-2», квартал 1"/>
    <s v="В749УУ47"/>
    <n v="8.75"/>
    <n v="24.95"/>
    <n v="16.2"/>
  </r>
  <r>
    <x v="2"/>
    <d v="1902-03-21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1"/>
    <n v="17.399999999999999"/>
    <n v="15.3"/>
  </r>
  <r>
    <x v="2"/>
    <n v="1035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4"/>
    <n v="16.649999999999999"/>
    <n v="15.25"/>
  </r>
  <r>
    <x v="2"/>
    <d v="1903-09-01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4"/>
    <n v="17.600000000000001"/>
    <n v="15.2"/>
  </r>
  <r>
    <x v="2"/>
    <d v="1902-11-1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25"/>
    <n v="7"/>
    <n v="5.75"/>
  </r>
  <r>
    <x v="2"/>
    <d v="1904-12-1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3"/>
    <n v="7.1"/>
    <n v="5.8"/>
  </r>
  <r>
    <x v="2"/>
    <d v="1905-10-2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4"/>
    <n v="8.1999999999999993"/>
    <n v="5.8"/>
  </r>
  <r>
    <x v="2"/>
    <d v="1903-08-0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35"/>
    <n v="7.35"/>
    <n v="6"/>
  </r>
  <r>
    <x v="2"/>
    <d v="1904-06-23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0499999999999998"/>
    <n v="8.1999999999999993"/>
    <n v="6.15"/>
  </r>
  <r>
    <x v="2"/>
    <d v="1905-04-23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25"/>
    <n v="7.15"/>
    <n v="5.9"/>
  </r>
  <r>
    <x v="2"/>
    <d v="1901-07-08T00:00:00"/>
    <n v="1"/>
    <s v="ООО &quot;Эко Лэнд&quot;"/>
    <s v="ООО &quot;Эко Лэнд&quot;,ЛО, Ломоносовский р-н, п.г.т Большая Ижора, промзона «Бронка-2», квартал 1"/>
    <s v="С621РО198"/>
    <n v="3.3"/>
    <n v="11.95"/>
    <n v="8.65"/>
  </r>
  <r>
    <x v="2"/>
    <d v="1906-02-21T00:00:00"/>
    <n v="1"/>
    <s v="ООО &quot;Эко Лэнд&quot;"/>
    <s v="ООО &quot;Эко Лэнд&quot;,ЛО, Ломоносовский р-н, п.г.т Большая Ижора, промзона «Бронка-2», квартал 1"/>
    <s v="С621РО198"/>
    <n v="2.4500000000000002"/>
    <n v="11.1"/>
    <n v="8.65"/>
  </r>
  <r>
    <x v="2"/>
    <d v="1903-12-13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55"/>
    <n v="14.75"/>
    <n v="10.199999999999999"/>
  </r>
  <r>
    <x v="2"/>
    <d v="1905-10-20T00:00:00"/>
    <n v="1"/>
    <s v="ООО &quot;Эко Лэнд&quot;"/>
    <s v="ООО &quot;Эко Лэнд&quot;,ЛО, Ломоносовский р-н, п.г.т Большая Ижора, промзона «Бронка-2», квартал 1"/>
    <s v="О857УН47"/>
    <n v="3.75"/>
    <n v="17.75"/>
    <n v="14"/>
  </r>
  <r>
    <x v="2"/>
    <d v="1904-08-26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5.45"/>
    <n v="17.05"/>
    <n v="11.6"/>
  </r>
  <r>
    <x v="2"/>
    <d v="1902-07-2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7"/>
    <n v="6.3"/>
    <n v="5.6"/>
  </r>
  <r>
    <x v="2"/>
    <d v="1903-04-2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9"/>
    <n v="6.25"/>
    <n v="5.35"/>
  </r>
  <r>
    <x v="2"/>
    <d v="1904-05-23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85"/>
    <n v="6.4"/>
    <n v="5.55"/>
  </r>
  <r>
    <x v="2"/>
    <d v="1905-01-25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1.85"/>
    <n v="10"/>
    <n v="8.15"/>
  </r>
  <r>
    <x v="2"/>
    <d v="1904-06-01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5.45"/>
    <n v="17.649999999999999"/>
    <n v="12.2"/>
  </r>
  <r>
    <x v="2"/>
    <d v="1903-12-10T00:00:00"/>
    <n v="1"/>
    <s v="ООО &quot;Эко Лэнд&quot;"/>
    <s v="ООО &quot;Эко Лэнд&quot;,ЛО, Ломоносовский р-н, п.г.т Большая Ижора, промзона «Бронка-2», квартал 1"/>
    <s v="Р806НК198"/>
    <n v="8.4499999999999993"/>
    <n v="20.6"/>
    <n v="12.15"/>
  </r>
  <r>
    <x v="2"/>
    <d v="1903-02-28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0.8"/>
    <n v="6.4"/>
    <n v="5.6"/>
  </r>
  <r>
    <x v="2"/>
    <d v="1904-02-13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1.9"/>
    <n v="15.45"/>
    <n v="13.55"/>
  </r>
  <r>
    <x v="2"/>
    <d v="1903-12-15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1.05"/>
    <n v="8.8000000000000007"/>
    <n v="7.75"/>
  </r>
  <r>
    <x v="2"/>
    <d v="1904-02-26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3.65"/>
    <n v="18.45"/>
    <n v="14.8"/>
  </r>
  <r>
    <x v="2"/>
    <d v="1904-12-07T00:00:00"/>
    <n v="1"/>
    <s v="ООО &quot;Эко Лэнд&quot;"/>
    <s v="ООО &quot;Эко Лэнд&quot;,ЛО, Ломоносовский р-н, п.г.т Большая Ижора, промзона «Бронка-2», квартал 1"/>
    <s v="Р584ОО198"/>
    <n v="5.75"/>
    <n v="21.55"/>
    <n v="15.8"/>
  </r>
  <r>
    <x v="2"/>
    <d v="1903-12-02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4.5"/>
    <n v="20.7"/>
    <n v="16.2"/>
  </r>
  <r>
    <x v="2"/>
    <d v="1903-05-09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7.75"/>
    <n v="20.100000000000001"/>
    <n v="12.35"/>
  </r>
  <r>
    <x v="2"/>
    <d v="1904-02-08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0.65"/>
    <n v="6.45"/>
    <n v="5.8"/>
  </r>
  <r>
    <x v="2"/>
    <d v="1903-07-23T00:00:00"/>
    <n v="1"/>
    <s v="ООО &quot;Эко Лэнд&quot;"/>
    <s v="ООО &quot;Эко Лэнд&quot;,ЛО, Ломоносовский р-н, п.г.т Большая Ижора, промзона «Бронка-2», квартал 1"/>
    <s v="Р181МУ198"/>
    <n v="0.9"/>
    <n v="9.15"/>
    <n v="8.25"/>
  </r>
  <r>
    <x v="2"/>
    <d v="1903-11-25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3.2"/>
    <n v="11.1"/>
    <n v="7.9"/>
  </r>
  <r>
    <x v="2"/>
    <d v="1904-02-11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5.9"/>
    <n v="19.350000000000001"/>
    <n v="13.45"/>
  </r>
  <r>
    <x v="2"/>
    <d v="1904-10-14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3.1"/>
    <n v="14.35"/>
    <n v="11.25"/>
  </r>
  <r>
    <x v="2"/>
    <d v="1901-10-11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4"/>
    <n v="11.95"/>
    <n v="8.5500000000000007"/>
  </r>
  <r>
    <x v="2"/>
    <d v="1905-10-10T00:00:00"/>
    <n v="1"/>
    <s v="ООО &quot;Эко Лэнд&quot;"/>
    <s v="ООО &quot;Эко Лэнд&quot;,ЛО, Ломоносовский р-н, п.г.т Большая Ижора, промзона «Бронка-2», квартал 1"/>
    <s v="С372РО198"/>
    <n v="2.5499999999999998"/>
    <n v="11.15"/>
    <n v="8.6"/>
  </r>
  <r>
    <x v="2"/>
    <d v="1905-04-04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2000000000000002"/>
    <n v="9.3000000000000007"/>
    <n v="7.1"/>
  </r>
  <r>
    <x v="2"/>
    <d v="1904-09-01T00:00:00"/>
    <n v="1"/>
    <s v="ООО &quot;Эко Лэнд&quot;"/>
    <s v="ООО &quot;Эко Лэнд&quot;,ЛО, Ломоносовский р-н, п.г.т Большая Ижора, промзона «Бронка-2», квартал 1"/>
    <s v="В036ОТ198"/>
    <n v="6.5"/>
    <n v="18.399999999999999"/>
    <n v="11.9"/>
  </r>
  <r>
    <x v="2"/>
    <d v="1901-09-02T00:00:00"/>
    <n v="1"/>
    <s v="ООО &quot;Эко Лэнд&quot;"/>
    <s v="ООО &quot;Эко Лэнд&quot;,ЛО, Ломоносовский р-н, п.г.т Большая Ижора, промзона «Бронка-2», квартал 1"/>
    <s v="М113ХХ198"/>
    <n v="4.9000000000000004"/>
    <n v="13"/>
    <n v="8.1"/>
  </r>
  <r>
    <x v="3"/>
    <d v="1905-03-30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7"/>
    <n v="19.399999999999999"/>
    <n v="12.7"/>
  </r>
  <r>
    <x v="3"/>
    <d v="1905-06-28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7.5"/>
    <n v="22.8"/>
    <n v="15.3"/>
  </r>
  <r>
    <x v="3"/>
    <d v="1902-07-05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10"/>
    <n v="22"/>
    <n v="12"/>
  </r>
  <r>
    <x v="3"/>
    <d v="1904-06-20T00:00:00"/>
    <n v="4"/>
    <s v="ООО &quot;Петро-Васт&quot;"/>
    <s v="ООО &quot;Эко Лэнд&quot;,ЛО, Ломоносовский р-н, п.г.т Большая Ижора, промзона «Бронка-2», квартал 1"/>
    <s v="А309АК147"/>
    <n v="5.95"/>
    <n v="16.899999999999999"/>
    <n v="10.95"/>
  </r>
  <r>
    <x v="3"/>
    <d v="1905-04-20T00:00:00"/>
    <n v="4"/>
    <s v="ООО &quot;Петро-Васт&quot;"/>
    <s v="ООО &quot;Эко Лэнд&quot;,ЛО, Ломоносовский р-н, п.г.т Большая Ижора, промзона «Бронка-2», квартал 1"/>
    <s v="А309АК147"/>
    <n v="3.45"/>
    <n v="14.4"/>
    <n v="10.95"/>
  </r>
  <r>
    <x v="3"/>
    <d v="1904-09-10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7"/>
    <n v="22.5"/>
    <n v="15.5"/>
  </r>
  <r>
    <x v="3"/>
    <d v="1903-11-15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9.75"/>
    <n v="25.6"/>
    <n v="15.85"/>
  </r>
  <r>
    <x v="3"/>
    <d v="1903-09-16T00:00:00"/>
    <n v="4"/>
    <s v="ООО &quot;Петро-Васт&quot;"/>
    <s v="ООО &quot;Эко Лэнд&quot;,ЛО, Ломоносовский р-н, п.г.т Большая Ижора, промзона «Бронка-2», квартал 1"/>
    <s v="В749УУ47"/>
    <n v="5.6"/>
    <n v="21.7"/>
    <n v="16.100000000000001"/>
  </r>
  <r>
    <x v="3"/>
    <d v="1902-07-08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3.65"/>
    <n v="18.899999999999999"/>
    <n v="15.25"/>
  </r>
  <r>
    <x v="3"/>
    <d v="1903-02-28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85"/>
    <n v="18.149999999999999"/>
    <n v="15.3"/>
  </r>
  <r>
    <x v="3"/>
    <d v="1902-08-1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"/>
    <n v="7.6"/>
    <n v="5.8"/>
  </r>
  <r>
    <x v="3"/>
    <d v="1903-05-04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1499999999999999"/>
    <n v="6.9"/>
    <n v="5.75"/>
  </r>
  <r>
    <x v="3"/>
    <d v="1904-02-1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5"/>
    <n v="7.8"/>
    <n v="5.95"/>
  </r>
  <r>
    <x v="3"/>
    <d v="1902-06-1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55"/>
    <n v="7.45"/>
    <n v="5.9"/>
  </r>
  <r>
    <x v="3"/>
    <d v="1903-05-2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45"/>
    <n v="7.6"/>
    <n v="6.15"/>
  </r>
  <r>
    <x v="3"/>
    <d v="1904-06-02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5"/>
    <n v="8.5"/>
    <n v="6"/>
  </r>
  <r>
    <x v="3"/>
    <d v="1905-07-0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0.85"/>
    <n v="7.1"/>
    <n v="6.25"/>
  </r>
  <r>
    <x v="3"/>
    <d v="1905-03-26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2.25"/>
    <n v="16.25"/>
    <n v="14"/>
  </r>
  <r>
    <x v="3"/>
    <d v="1905-10-13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2.35"/>
    <n v="9.6999999999999993"/>
    <n v="7.35"/>
  </r>
  <r>
    <x v="3"/>
    <d v="1903-05-1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5.65"/>
    <n v="15.9"/>
    <n v="10.25"/>
  </r>
  <r>
    <x v="3"/>
    <d v="1904-05-2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9"/>
    <n v="13.1"/>
    <n v="10.199999999999999"/>
  </r>
  <r>
    <x v="3"/>
    <d v="1904-09-10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6"/>
    <n v="14.15"/>
    <n v="11.55"/>
  </r>
  <r>
    <x v="3"/>
    <d v="1903-02-04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95"/>
    <n v="7.5"/>
    <n v="5.55"/>
  </r>
  <r>
    <x v="3"/>
    <d v="1904-10-05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8"/>
    <n v="7.45"/>
    <n v="5.65"/>
  </r>
  <r>
    <x v="3"/>
    <d v="1905-10-11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4.2"/>
    <n v="12.3"/>
    <n v="8.1"/>
  </r>
  <r>
    <x v="3"/>
    <d v="1904-05-29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7.5"/>
    <n v="19.7"/>
    <n v="12.2"/>
  </r>
  <r>
    <x v="3"/>
    <d v="1902-07-23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2.5499999999999998"/>
    <n v="17.850000000000001"/>
    <n v="15.3"/>
  </r>
  <r>
    <x v="3"/>
    <d v="1904-09-30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2.0499999999999998"/>
    <n v="7.6"/>
    <n v="5.55"/>
  </r>
  <r>
    <x v="3"/>
    <d v="1904-02-18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4.8499999999999996"/>
    <n v="18.649999999999999"/>
    <n v="13.8"/>
  </r>
  <r>
    <x v="3"/>
    <d v="1903-05-15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1.1499999999999999"/>
    <n v="8.9499999999999993"/>
    <n v="7.8"/>
  </r>
  <r>
    <x v="3"/>
    <d v="1904-12-24T00:00:00"/>
    <n v="1"/>
    <s v="ООО &quot;Эко Лэнд&quot;"/>
    <s v="ООО &quot;Эко Лэнд&quot;,ЛО, Ломоносовский р-н, п.г.т Большая Ижора, промзона «Бронка-2», квартал 1"/>
    <s v="Р188ОС198"/>
    <n v="6.1"/>
    <n v="19.5"/>
    <n v="13.4"/>
  </r>
  <r>
    <x v="3"/>
    <d v="1902-09-26T00:00:00"/>
    <n v="1"/>
    <s v="ООО &quot;Эко Лэнд&quot;"/>
    <s v="ООО &quot;Эко Лэнд&quot;,ЛО, Ломоносовский р-н, п.г.т Большая Ижора, промзона «Бронка-2», квартал 1"/>
    <s v="Р584ОО198"/>
    <n v="0.2"/>
    <n v="16.05"/>
    <n v="15.85"/>
  </r>
  <r>
    <x v="3"/>
    <d v="1905-07-31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5.8"/>
    <n v="19.45"/>
    <n v="13.65"/>
  </r>
  <r>
    <x v="3"/>
    <d v="1904-05-18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2.5499999999999998"/>
    <n v="8"/>
    <n v="5.45"/>
  </r>
  <r>
    <x v="3"/>
    <d v="1903-12-20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4.5999999999999996"/>
    <n v="20.65"/>
    <n v="16.05"/>
  </r>
  <r>
    <x v="3"/>
    <d v="1904-12-10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9.1"/>
    <n v="21.4"/>
    <n v="12.3"/>
  </r>
  <r>
    <x v="3"/>
    <d v="1904-12-16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8.8000000000000007"/>
    <n v="22.8"/>
    <n v="14"/>
  </r>
  <r>
    <x v="3"/>
    <d v="1903-05-20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0.75"/>
    <n v="6.4"/>
    <n v="5.65"/>
  </r>
  <r>
    <x v="3"/>
    <d v="1904-03-19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1.2"/>
    <n v="6.85"/>
    <n v="5.65"/>
  </r>
  <r>
    <x v="3"/>
    <d v="1905-04-29T00:00:00"/>
    <n v="1"/>
    <s v="ООО &quot;Эко Лэнд&quot;"/>
    <s v="ООО &quot;Эко Лэнд&quot;,ЛО, Ломоносовский р-н, п.г.т Большая Ижора, промзона «Бронка-2», квартал 1"/>
    <s v="С 869 ЕТ 198"/>
    <n v="4.3499999999999996"/>
    <n v="18.05"/>
    <n v="13.7"/>
  </r>
  <r>
    <x v="3"/>
    <d v="1903-08-22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5.6"/>
    <n v="19.149999999999999"/>
    <n v="13.55"/>
  </r>
  <r>
    <x v="3"/>
    <d v="1903-11-03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0.75"/>
    <n v="12.2"/>
    <n v="11.45"/>
  </r>
  <r>
    <x v="3"/>
    <d v="1904-05-23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3"/>
    <n v="15.25"/>
    <n v="12.25"/>
  </r>
  <r>
    <x v="3"/>
    <d v="1904-05-30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7"/>
    <n v="7.3"/>
    <n v="5.6"/>
  </r>
  <r>
    <x v="3"/>
    <d v="1902-03-30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1.9"/>
    <n v="10.5"/>
    <n v="8.6"/>
  </r>
  <r>
    <x v="3"/>
    <d v="1905-01-31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3"/>
    <n v="8.35"/>
    <n v="7.05"/>
  </r>
  <r>
    <x v="4"/>
    <d v="1904-12-12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4.75"/>
    <n v="17.399999999999999"/>
    <n v="12.65"/>
  </r>
  <r>
    <x v="4"/>
    <d v="1900-08-12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7.15"/>
    <n v="22.4"/>
    <n v="15.25"/>
  </r>
  <r>
    <x v="4"/>
    <d v="1905-01-24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8.9"/>
    <n v="24.25"/>
    <n v="15.35"/>
  </r>
  <r>
    <x v="4"/>
    <d v="1906-05-22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8.1"/>
    <n v="19.850000000000001"/>
    <n v="11.75"/>
  </r>
  <r>
    <x v="4"/>
    <d v="1903-12-19T00:00:00"/>
    <n v="4"/>
    <s v="ООО &quot;Петро-Васт&quot;"/>
    <s v="ООО &quot;Эко Лэнд&quot;,ЛО, Ломоносовский р-н, п.г.т Большая Ижора, промзона «Бронка-2», квартал 1"/>
    <s v="В568СС47"/>
    <n v="3.7"/>
    <n v="18.8"/>
    <n v="15.1"/>
  </r>
  <r>
    <x v="4"/>
    <d v="1903-06-03T00:00:00"/>
    <n v="4"/>
    <s v="ООО &quot;Петро-Васт&quot;"/>
    <s v="ООО &quot;Эко Лэнд&quot;,ЛО, Ломоносовский р-н, п.г.т Большая Ижора, промзона «Бронка-2», квартал 1"/>
    <s v="А360РЕ147"/>
    <n v="9.85"/>
    <n v="25.55"/>
    <n v="15.7"/>
  </r>
  <r>
    <x v="4"/>
    <d v="1904-10-10T00:00:00"/>
    <n v="4"/>
    <s v="ООО &quot;Петро-Васт&quot;"/>
    <s v="ООО &quot;Эко Лэнд&quot;,ЛО, Ломоносовский р-н, п.г.т Большая Ижора, промзона «Бронка-2», квартал 1"/>
    <s v="А360РЕ147"/>
    <n v="6.3"/>
    <n v="22.05"/>
    <n v="15.75"/>
  </r>
  <r>
    <x v="4"/>
    <d v="1903-01-06T00:00:00"/>
    <n v="4"/>
    <s v="ООО &quot;Петро-Васт&quot;"/>
    <s v="ООО &quot;Эко Лэнд&quot;,ЛО, Ломоносовский р-н, п.г.т Большая Ижора, промзона «Бронка-2», квартал 1"/>
    <s v="В626УХ47"/>
    <n v="2.35"/>
    <n v="17.8"/>
    <n v="15.45"/>
  </r>
  <r>
    <x v="4"/>
    <d v="1903-09-14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10.7"/>
    <n v="26.2"/>
    <n v="15.5"/>
  </r>
  <r>
    <x v="4"/>
    <d v="1903-08-12T00:00:00"/>
    <n v="4"/>
    <s v="ООО &quot;Петро-Васт&quot;"/>
    <s v="ООО &quot;Эко Лэнд&quot;,ЛО, Ломоносовский р-н, п.г.т Большая Ижора, промзона «Бронка-2», квартал 1"/>
    <s v="В626УХ47"/>
    <n v="1.5"/>
    <n v="16.899999999999999"/>
    <n v="15.4"/>
  </r>
  <r>
    <x v="4"/>
    <d v="1900-06-04T00:00:00"/>
    <n v="4"/>
    <s v="ООО &quot;Петро-Васт&quot;"/>
    <s v="ООО &quot;Эко Лэнд&quot;,ЛО, Ломоносовский р-н, п.г.т Большая Ижора, промзона «Бронка-2», квартал 1"/>
    <s v="В872УА47"/>
    <n v="2.5"/>
    <n v="18.600000000000001"/>
    <n v="16.100000000000001"/>
  </r>
  <r>
    <x v="4"/>
    <d v="1903-08-15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1.85"/>
    <n v="27.3"/>
    <n v="15.45"/>
  </r>
  <r>
    <x v="4"/>
    <d v="1904-12-09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5.9"/>
    <n v="21.3"/>
    <n v="15.4"/>
  </r>
  <r>
    <x v="4"/>
    <d v="1904-02-16T00:00:00"/>
    <n v="4"/>
    <s v="ООО &quot;Петро-Васт&quot;"/>
    <s v="ООО &quot;Эко Лэнд&quot;,ЛО, Ломоносовский р-н, п.г.т Большая Ижора, промзона «Бронка-2», квартал 1"/>
    <s v="В749УУ47"/>
    <n v="11.25"/>
    <n v="27.45"/>
    <n v="16.2"/>
  </r>
  <r>
    <x v="4"/>
    <d v="1903-01-07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1000000000000001"/>
    <n v="16.350000000000001"/>
    <n v="15.25"/>
  </r>
  <r>
    <x v="4"/>
    <d v="1903-09-16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"/>
    <n v="17.25"/>
    <n v="15.25"/>
  </r>
  <r>
    <x v="4"/>
    <d v="1902-03-1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5499999999999998"/>
    <n v="8.6"/>
    <n v="6.05"/>
  </r>
  <r>
    <x v="4"/>
    <d v="1903-02-24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2999999999999998"/>
    <n v="8.15"/>
    <n v="5.85"/>
  </r>
  <r>
    <x v="4"/>
    <n v="1456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5"/>
    <n v="7.35"/>
    <n v="5.85"/>
  </r>
  <r>
    <x v="4"/>
    <d v="1902-09-2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"/>
    <n v="6.9"/>
    <n v="5.9"/>
  </r>
  <r>
    <x v="4"/>
    <n v="13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0.85"/>
    <n v="6.75"/>
    <n v="5.9"/>
  </r>
  <r>
    <x v="4"/>
    <d v="1904-05-2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25"/>
    <n v="7.45"/>
    <n v="6.2"/>
  </r>
  <r>
    <x v="4"/>
    <d v="1905-03-2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1000000000000001"/>
    <n v="7.2"/>
    <n v="6.1"/>
  </r>
  <r>
    <x v="4"/>
    <d v="1905-11-25T00:00:00"/>
    <n v="1"/>
    <s v="ООО &quot;Эко Лэнд&quot;"/>
    <s v="ООО &quot;Эко Лэнд&quot;,ЛО, Ломоносовский р-н, п.г.т Большая Ижора, промзона «Бронка-2», квартал 1"/>
    <s v="Н206МН198"/>
    <n v="7.1"/>
    <n v="20.65"/>
    <n v="13.55"/>
  </r>
  <r>
    <x v="4"/>
    <d v="1905-10-16T00:00:00"/>
    <n v="1"/>
    <s v="ООО &quot;Эко Лэнд&quot;"/>
    <s v="ООО &quot;Эко Лэнд&quot;,ЛО, Ломоносовский р-н, п.г.т Большая Ижора, промзона «Бронка-2», квартал 1"/>
    <s v="М201ХХ198"/>
    <n v="5.0999999999999996"/>
    <n v="13.3"/>
    <n v="8.1999999999999993"/>
  </r>
  <r>
    <x v="4"/>
    <d v="1903-06-07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3.25"/>
    <n v="17.149999999999999"/>
    <n v="13.9"/>
  </r>
  <r>
    <x v="4"/>
    <d v="1906-02-10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6.3"/>
    <n v="20.149999999999999"/>
    <n v="13.85"/>
  </r>
  <r>
    <x v="4"/>
    <d v="1905-07-25T00:00:00"/>
    <n v="1"/>
    <s v="ООО &quot;Эко Лэнд&quot;"/>
    <s v="ООО &quot;Эко Лэнд&quot;,ЛО, Ломоносовский р-н, п.г.т Большая Ижора, промзона «Бронка-2», квартал 1"/>
    <s v="С621РО198"/>
    <n v="1.65"/>
    <n v="10.25"/>
    <n v="8.6"/>
  </r>
  <r>
    <x v="4"/>
    <d v="1904-06-2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15"/>
    <n v="13.3"/>
    <n v="10.15"/>
  </r>
  <r>
    <x v="4"/>
    <d v="1904-06-27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1.25"/>
    <n v="13"/>
    <n v="11.75"/>
  </r>
  <r>
    <x v="4"/>
    <d v="1903-01-19T00:00:00"/>
    <n v="1"/>
    <s v="ООО &quot;Эко Лэнд&quot;"/>
    <s v="ООО &quot;Эко Лэнд&quot;,ЛО, Ломоносовский р-н, п.г.т Большая Ижора, промзона «Бронка-2», квартал 1"/>
    <s v="О980ТТ198"/>
    <n v="3.75"/>
    <n v="17.45"/>
    <n v="13.7"/>
  </r>
  <r>
    <x v="4"/>
    <d v="1902-07-0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1499999999999999"/>
    <n v="6.85"/>
    <n v="5.7"/>
  </r>
  <r>
    <x v="4"/>
    <d v="1903-04-15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8"/>
    <n v="7.25"/>
    <n v="5.45"/>
  </r>
  <r>
    <x v="4"/>
    <d v="1904-07-0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55"/>
    <n v="7.75"/>
    <n v="6.2"/>
  </r>
  <r>
    <x v="4"/>
    <d v="1905-08-0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45"/>
    <n v="6.85"/>
    <n v="5.4"/>
  </r>
  <r>
    <x v="4"/>
    <d v="1904-07-01T00:00:00"/>
    <n v="1"/>
    <s v="ООО &quot;Эко Лэнд&quot;"/>
    <s v="ООО &quot;Эко Лэнд&quot;,ЛО, Ломоносовский р-н, п.г.т Большая Ижора, промзона «Бронка-2», квартал 1"/>
    <s v="Р062ОТ198"/>
    <n v="8.4"/>
    <n v="20.65"/>
    <n v="12.25"/>
  </r>
  <r>
    <x v="4"/>
    <d v="1904-12-14T00:00:00"/>
    <n v="1"/>
    <s v="ООО &quot;Эко Лэнд&quot;"/>
    <s v="ООО &quot;Эко Лэнд&quot;,ЛО, Ломоносовский р-н, п.г.т Большая Ижора, промзона «Бронка-2», квартал 1"/>
    <s v="Р100ОВ198"/>
    <n v="6.4"/>
    <n v="22.2"/>
    <n v="15.8"/>
  </r>
  <r>
    <x v="4"/>
    <d v="1904-02-29T00:00:00"/>
    <n v="1"/>
    <s v="ООО &quot;Эко Лэнд&quot;"/>
    <s v="ООО &quot;Эко Лэнд&quot;,ЛО, Ломоносовский р-н, п.г.т Большая Ижора, промзона «Бронка-2», квартал 1"/>
    <s v="Р114ОК198"/>
    <n v="4.5"/>
    <n v="20.2"/>
    <n v="15.7"/>
  </r>
  <r>
    <x v="4"/>
    <n v="2159"/>
    <n v="1"/>
    <s v="ООО &quot;Эко Лэнд&quot;"/>
    <s v="ООО &quot;Эко Лэнд&quot;,ЛО, Ломоносовский р-н, п.г.т Большая Ижора, промзона «Бронка-2», квартал 1"/>
    <s v="Р114ОК198"/>
    <n v="7.65"/>
    <n v="23.3"/>
    <n v="15.65"/>
  </r>
  <r>
    <x v="4"/>
    <d v="1905-01-28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3.2"/>
    <n v="11.35"/>
    <n v="8.15"/>
  </r>
  <r>
    <x v="4"/>
    <d v="1905-07-23T00:00:00"/>
    <n v="1"/>
    <s v="ООО &quot;Эко Лэнд&quot;"/>
    <s v="ООО &quot;Эко Лэнд&quot;,ЛО, Ломоносовский р-н, п.г.т Большая Ижора, промзона «Бронка-2», квартал 1"/>
    <s v="С984РО198"/>
    <n v="2.9"/>
    <n v="11.45"/>
    <n v="8.5500000000000007"/>
  </r>
  <r>
    <x v="4"/>
    <d v="1904-08-31T00:00:00"/>
    <n v="1"/>
    <s v="ООО &quot;Эко Лэнд&quot;"/>
    <s v="ООО &quot;Эко Лэнд&quot;,ЛО, Ломоносовский р-н, п.г.т Большая Ижора, промзона «Бронка-2», квартал 1"/>
    <s v="С372РО198"/>
    <n v="3.35"/>
    <n v="11.95"/>
    <n v="8.6"/>
  </r>
  <r>
    <x v="4"/>
    <d v="1904-10-14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9.3000000000000007"/>
    <n v="21.5"/>
    <n v="12.2"/>
  </r>
  <r>
    <x v="4"/>
    <d v="1904-02-08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3.7"/>
    <n v="18.95"/>
    <n v="15.25"/>
  </r>
  <r>
    <x v="4"/>
    <d v="1904-12-04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2.2999999999999998"/>
    <n v="7.9"/>
    <n v="5.6"/>
  </r>
  <r>
    <x v="4"/>
    <d v="1903-05-15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6.65"/>
    <n v="20.399999999999999"/>
    <n v="13.75"/>
  </r>
  <r>
    <x v="4"/>
    <d v="1905-05-08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6.35"/>
    <n v="19.95"/>
    <n v="13.6"/>
  </r>
  <r>
    <x v="4"/>
    <d v="1904-10-07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1.6"/>
    <n v="9.35"/>
    <n v="7.75"/>
  </r>
  <r>
    <x v="4"/>
    <d v="1903-03-04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1.95"/>
    <n v="15.8"/>
    <n v="13.85"/>
  </r>
  <r>
    <x v="4"/>
    <d v="1904-02-21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2.6"/>
    <n v="16.5"/>
    <n v="13.9"/>
  </r>
  <r>
    <x v="4"/>
    <d v="1905-04-16T00:00:00"/>
    <n v="1"/>
    <s v="ООО &quot;Эко Лэнд&quot;"/>
    <s v="ООО &quot;Эко Лэнд&quot;,ЛО, Ломоносовский р-н, п.г.т Большая Ижора, промзона «Бронка-2», квартал 1"/>
    <s v="Р188ОС198"/>
    <n v="6.7"/>
    <n v="20.05"/>
    <n v="13.35"/>
  </r>
  <r>
    <x v="4"/>
    <d v="1904-06-13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0.65"/>
    <n v="5.9"/>
    <n v="5.25"/>
  </r>
  <r>
    <x v="4"/>
    <d v="1904-03-24T00:00:00"/>
    <n v="1"/>
    <s v="ООО &quot;Эко Лэнд&quot;"/>
    <s v="ООО &quot;Эко Лэнд&quot;,ЛО, Ломоносовский р-н, п.г.т Большая Ижора, промзона «Бронка-2», квартал 1"/>
    <s v="Р730ОН198"/>
    <n v="9.1"/>
    <n v="24.8"/>
    <n v="15.7"/>
  </r>
  <r>
    <x v="4"/>
    <d v="1903-09-12T00:00:00"/>
    <n v="1"/>
    <s v="ООО &quot;Эко Лэнд&quot;"/>
    <s v="ООО &quot;Эко Лэнд&quot;,ЛО, Ломоносовский р-н, п.г.т Большая Ижора, промзона «Бронка-2», квартал 1"/>
    <s v="Н143ОА198"/>
    <n v="2.15"/>
    <n v="10"/>
    <n v="7.85"/>
  </r>
  <r>
    <x v="4"/>
    <d v="1903-12-25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5.3"/>
    <n v="21.5"/>
    <n v="16.2"/>
  </r>
  <r>
    <x v="4"/>
    <d v="1905-07-06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6.25"/>
    <n v="18.55"/>
    <n v="12.3"/>
  </r>
  <r>
    <x v="4"/>
    <d v="1905-03-23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5.85"/>
    <n v="17.399999999999999"/>
    <n v="11.55"/>
  </r>
  <r>
    <x v="4"/>
    <d v="1905-08-19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6.55"/>
    <n v="20.65"/>
    <n v="14.1"/>
  </r>
  <r>
    <x v="4"/>
    <d v="1903-11-07T00:00:00"/>
    <n v="1"/>
    <s v="ООО &quot;Эко Лэнд&quot;"/>
    <s v="ООО &quot;Эко Лэнд&quot;,ЛО, Ломоносовский р-н, п.г.т Большая Ижора, промзона «Бронка-2», квартал 1"/>
    <s v="Р181МУ198"/>
    <n v="0.45"/>
    <n v="7.25"/>
    <n v="6.8"/>
  </r>
  <r>
    <x v="4"/>
    <d v="1904-12-17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2"/>
    <n v="9.15"/>
    <n v="7.95"/>
  </r>
  <r>
    <x v="4"/>
    <d v="1902-08-12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6.8"/>
    <n v="20.399999999999999"/>
    <n v="13.6"/>
  </r>
  <r>
    <x v="4"/>
    <d v="1904-08-27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1.7"/>
    <n v="13.2"/>
    <n v="11.5"/>
  </r>
  <r>
    <x v="4"/>
    <d v="1904-12-15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8.75"/>
    <n v="25.35"/>
    <n v="16.600000000000001"/>
  </r>
  <r>
    <x v="4"/>
    <d v="1904-06-29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4.5"/>
    <n v="16.8"/>
    <n v="12.3"/>
  </r>
  <r>
    <x v="4"/>
    <d v="1904-08-26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6"/>
    <n v="7.15"/>
    <n v="5.55"/>
  </r>
  <r>
    <x v="4"/>
    <d v="1904-10-20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2.4"/>
    <n v="11"/>
    <n v="8.6"/>
  </r>
  <r>
    <x v="4"/>
    <d v="1905-10-08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.75"/>
    <n v="7.95"/>
    <n v="6.2"/>
  </r>
  <r>
    <x v="4"/>
    <d v="1904-06-08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35"/>
    <n v="9.5"/>
    <n v="7.15"/>
  </r>
  <r>
    <x v="4"/>
    <d v="1906-06-16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6.9"/>
    <n v="18.5"/>
    <n v="11.6"/>
  </r>
  <r>
    <x v="4"/>
    <d v="1902-07-18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4.1500000000000004"/>
    <n v="12.9"/>
    <n v="8.75"/>
  </r>
  <r>
    <x v="5"/>
    <d v="1900-07-23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7.45"/>
    <n v="20.149999999999999"/>
    <n v="12.7"/>
  </r>
  <r>
    <x v="5"/>
    <d v="1906-05-10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4.3499999999999996"/>
    <n v="17.05"/>
    <n v="12.7"/>
  </r>
  <r>
    <x v="5"/>
    <d v="1904-10-16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7.4"/>
    <n v="18.899999999999999"/>
    <n v="11.5"/>
  </r>
  <r>
    <x v="5"/>
    <d v="1902-04-14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2.9"/>
    <n v="15.15"/>
    <n v="12.25"/>
  </r>
  <r>
    <x v="5"/>
    <d v="1904-05-28T00:00:00"/>
    <n v="4"/>
    <s v="ООО &quot;Петро-Васт&quot;"/>
    <s v="ООО &quot;Эко Лэнд&quot;,ЛО, Ломоносовский р-н, п.г.т Большая Ижора, промзона «Бронка-2», квартал 1"/>
    <s v="А360РЕ147"/>
    <n v="11.45"/>
    <n v="27.1"/>
    <n v="15.65"/>
  </r>
  <r>
    <x v="5"/>
    <d v="1904-12-23T00:00:00"/>
    <n v="4"/>
    <s v="ООО &quot;Петро-Васт&quot;"/>
    <s v="ООО &quot;Эко Лэнд&quot;,ЛО, Ломоносовский р-н, п.г.т Большая Ижора, промзона «Бронка-2», квартал 1"/>
    <s v="А335РЕ147"/>
    <n v="5.85"/>
    <n v="21.55"/>
    <n v="15.7"/>
  </r>
  <r>
    <x v="5"/>
    <d v="1903-02-24T00:00:00"/>
    <n v="4"/>
    <s v="ООО &quot;Петро-Васт&quot;"/>
    <s v="ООО &quot;Эко Лэнд&quot;,ЛО, Ломоносовский р-н, п.г.т Большая Ижора, промзона «Бронка-2», квартал 1"/>
    <s v="В626УХ47"/>
    <n v="1.55"/>
    <n v="17.100000000000001"/>
    <n v="15.55"/>
  </r>
  <r>
    <x v="5"/>
    <d v="1903-06-05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6.1"/>
    <n v="21.65"/>
    <n v="15.55"/>
  </r>
  <r>
    <x v="5"/>
    <d v="1903-11-20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9.5500000000000007"/>
    <n v="24.9"/>
    <n v="15.35"/>
  </r>
  <r>
    <x v="5"/>
    <d v="1903-11-05T00:00:00"/>
    <n v="4"/>
    <s v="ООО &quot;Петро-Васт&quot;"/>
    <s v="ООО &quot;Эко Лэнд&quot;,ЛО, Ломоносовский р-н, п.г.т Большая Ижора, промзона «Бронка-2», квартал 1"/>
    <s v="В749УУ47"/>
    <n v="6.15"/>
    <n v="22.2"/>
    <n v="16.05"/>
  </r>
  <r>
    <x v="5"/>
    <d v="1903-05-05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5.05"/>
    <n v="20.3"/>
    <n v="15.25"/>
  </r>
  <r>
    <x v="5"/>
    <d v="1903-01-12T00:00:00"/>
    <n v="4"/>
    <s v="ООО &quot;Курортный берег&quot;"/>
    <s v="ООО &quot;Эко Лэнд&quot;,ЛО, Ломоносовский р-н, п.г.т Большая Ижора, промзона «Бронка-2», квартал 1"/>
    <s v="Н352МХ"/>
    <n v="19.850000000000001"/>
    <n v="46"/>
    <n v="26.15"/>
  </r>
  <r>
    <x v="5"/>
    <d v="1903-05-09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"/>
    <n v="7.75"/>
    <n v="5.95"/>
  </r>
  <r>
    <x v="5"/>
    <d v="1904-07-1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95"/>
    <n v="7.95"/>
    <n v="6"/>
  </r>
  <r>
    <x v="5"/>
    <d v="1905-07-2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"/>
    <n v="7.8"/>
    <n v="6"/>
  </r>
  <r>
    <x v="5"/>
    <d v="1902-01-01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35"/>
    <n v="7.4"/>
    <n v="6.05"/>
  </r>
  <r>
    <x v="5"/>
    <d v="1903-06-0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85"/>
    <n v="7.9"/>
    <n v="6.05"/>
  </r>
  <r>
    <x v="5"/>
    <d v="1904-03-20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1000000000000001"/>
    <n v="7.45"/>
    <n v="6.35"/>
  </r>
  <r>
    <x v="5"/>
    <n v="193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1000000000000001"/>
    <n v="7.15"/>
    <n v="6.05"/>
  </r>
  <r>
    <x v="5"/>
    <d v="1905-11-09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0.55000000000000004"/>
    <n v="8.15"/>
    <n v="7.6"/>
  </r>
  <r>
    <x v="5"/>
    <d v="1903-01-2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1.9"/>
    <n v="12.2"/>
    <n v="10.3"/>
  </r>
  <r>
    <x v="5"/>
    <d v="1903-09-09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15"/>
    <n v="12.35"/>
    <n v="10.199999999999999"/>
  </r>
  <r>
    <x v="5"/>
    <d v="1904-07-09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8"/>
    <n v="13"/>
    <n v="10.199999999999999"/>
  </r>
  <r>
    <x v="5"/>
    <d v="1904-12-20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95"/>
    <n v="14.55"/>
    <n v="11.6"/>
  </r>
  <r>
    <x v="5"/>
    <d v="1903-04-2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8"/>
    <n v="7.25"/>
    <n v="5.45"/>
  </r>
  <r>
    <x v="5"/>
    <d v="1904-12-1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2.0499999999999998"/>
    <n v="8.15"/>
    <n v="6.1"/>
  </r>
  <r>
    <x v="5"/>
    <d v="1906-06-16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"/>
    <n v="7.45"/>
    <n v="6.45"/>
  </r>
  <r>
    <x v="5"/>
    <d v="1903-12-25T00:00:00"/>
    <n v="1"/>
    <s v="ООО &quot;Эко Лэнд&quot;"/>
    <s v="ООО &quot;Эко Лэнд&quot;,ЛО, Ломоносовский р-н, п.г.т Большая Ижора, промзона «Бронка-2», квартал 1"/>
    <s v="С984РО198"/>
    <n v="1.85"/>
    <n v="10.4"/>
    <n v="8.5500000000000007"/>
  </r>
  <r>
    <x v="5"/>
    <d v="1903-05-01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4.3"/>
    <n v="16.600000000000001"/>
    <n v="12.3"/>
  </r>
  <r>
    <x v="5"/>
    <d v="1905-07-17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8.25"/>
    <n v="20.5"/>
    <n v="12.25"/>
  </r>
  <r>
    <x v="5"/>
    <d v="1903-11-03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2.4500000000000002"/>
    <n v="17.850000000000001"/>
    <n v="15.4"/>
  </r>
  <r>
    <x v="5"/>
    <d v="1905-03-26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8"/>
    <n v="7.75"/>
    <n v="5.95"/>
  </r>
  <r>
    <x v="5"/>
    <d v="1903-07-25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3.35"/>
    <n v="17"/>
    <n v="13.65"/>
  </r>
  <r>
    <x v="5"/>
    <d v="1905-01-02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1.05"/>
    <n v="8.85"/>
    <n v="7.8"/>
  </r>
  <r>
    <x v="5"/>
    <d v="1903-09-03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1.1000000000000001"/>
    <n v="16.850000000000001"/>
    <n v="15.75"/>
  </r>
  <r>
    <x v="5"/>
    <d v="1904-09-25T00:00:00"/>
    <n v="1"/>
    <s v="ООО &quot;Эко Лэнд&quot;"/>
    <s v="ООО &quot;Эко Лэнд&quot;,ЛО, Ломоносовский р-н, п.г.т Большая Ижора, промзона «Бронка-2», квартал 1"/>
    <s v="Р188ОС198"/>
    <n v="6.15"/>
    <n v="19.600000000000001"/>
    <n v="13.45"/>
  </r>
  <r>
    <x v="5"/>
    <d v="1904-06-07T00:00:00"/>
    <n v="1"/>
    <s v="ООО &quot;Эко Лэнд&quot;"/>
    <s v="ООО &quot;Эко Лэнд&quot;,ЛО, Ломоносовский р-н, п.г.т Большая Ижора, промзона «Бронка-2», квартал 1"/>
    <s v="Р584ОО198"/>
    <n v="7.05"/>
    <n v="22.75"/>
    <n v="15.7"/>
  </r>
  <r>
    <x v="5"/>
    <d v="1905-01-29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6"/>
    <n v="7.05"/>
    <n v="5.45"/>
  </r>
  <r>
    <x v="5"/>
    <d v="1905-08-07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8.3000000000000007"/>
    <n v="21.8"/>
    <n v="13.5"/>
  </r>
  <r>
    <x v="5"/>
    <d v="1904-03-23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5.3"/>
    <n v="21.45"/>
    <n v="16.149999999999999"/>
  </r>
  <r>
    <x v="5"/>
    <d v="1904-09-25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4.95"/>
    <n v="16.55"/>
    <n v="11.6"/>
  </r>
  <r>
    <x v="5"/>
    <d v="1904-06-19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8.25"/>
    <n v="22.3"/>
    <n v="14.05"/>
  </r>
  <r>
    <x v="5"/>
    <d v="1905-01-19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0.75"/>
    <n v="6.25"/>
    <n v="5.5"/>
  </r>
  <r>
    <x v="5"/>
    <d v="1902-10-22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2.65"/>
    <n v="10.6"/>
    <n v="7.95"/>
  </r>
  <r>
    <x v="5"/>
    <d v="1905-10-08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5.95"/>
    <n v="19.3"/>
    <n v="13.35"/>
  </r>
  <r>
    <x v="5"/>
    <d v="1903-09-13T00:00:00"/>
    <n v="1"/>
    <s v="ООО &quot;Эко Лэнд&quot;"/>
    <s v="ООО &quot;Эко Лэнд&quot;,ЛО, Ломоносовский р-н, п.г.т Большая Ижора, промзона «Бронка-2», квартал 1"/>
    <s v="Р788НО198"/>
    <n v="5.3"/>
    <n v="20.75"/>
    <n v="15.45"/>
  </r>
  <r>
    <x v="5"/>
    <d v="1904-04-03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8.1999999999999993"/>
    <n v="21.65"/>
    <n v="13.45"/>
  </r>
  <r>
    <x v="5"/>
    <d v="1905-07-16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2.85"/>
    <n v="14.2"/>
    <n v="11.35"/>
  </r>
  <r>
    <x v="5"/>
    <d v="1905-07-07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6.85"/>
    <n v="23.5"/>
    <n v="16.649999999999999"/>
  </r>
  <r>
    <x v="5"/>
    <d v="1904-02-08T00:00:00"/>
    <n v="1"/>
    <s v="ООО &quot;Эко Лэнд&quot;"/>
    <s v="ООО &quot;Эко Лэнд&quot;,ЛО, Ломоносовский р-н, п.г.т Большая Ижора, промзона «Бронка-2», квартал 1"/>
    <s v="В622НМ198"/>
    <n v="5.45"/>
    <n v="16.850000000000001"/>
    <n v="11.4"/>
  </r>
  <r>
    <x v="5"/>
    <d v="1903-11-02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7.05"/>
    <n v="19.350000000000001"/>
    <n v="12.3"/>
  </r>
  <r>
    <x v="5"/>
    <d v="1904-06-07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2"/>
    <n v="6.85"/>
    <n v="5.65"/>
  </r>
  <r>
    <x v="5"/>
    <d v="1905-10-06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1.95"/>
    <n v="10.55"/>
    <n v="8.6"/>
  </r>
  <r>
    <x v="5"/>
    <d v="1905-10-10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0.9"/>
    <n v="7.1"/>
    <n v="6.2"/>
  </r>
  <r>
    <x v="5"/>
    <d v="1904-07-07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25"/>
    <n v="9.4"/>
    <n v="7.15"/>
  </r>
  <r>
    <x v="5"/>
    <d v="1905-07-12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65"/>
    <n v="9.8000000000000007"/>
    <n v="7.15"/>
  </r>
  <r>
    <x v="5"/>
    <d v="1903-08-02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6.7"/>
    <n v="18.3"/>
    <n v="11.6"/>
  </r>
  <r>
    <x v="5"/>
    <d v="1905-06-24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6.6"/>
    <n v="18.2"/>
    <n v="11.6"/>
  </r>
  <r>
    <x v="5"/>
    <d v="1900-07-29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1.35"/>
    <n v="10"/>
    <n v="8.65"/>
  </r>
  <r>
    <x v="6"/>
    <d v="1903-01-27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8.3000000000000007"/>
    <n v="23.5"/>
    <n v="15.2"/>
  </r>
  <r>
    <x v="6"/>
    <d v="1904-06-11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7"/>
    <n v="18.7"/>
    <n v="11.7"/>
  </r>
  <r>
    <x v="6"/>
    <d v="1902-10-11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4.55"/>
    <n v="15.9"/>
    <n v="11.35"/>
  </r>
  <r>
    <x v="6"/>
    <d v="1905-10-22T00:00:00"/>
    <n v="4"/>
    <s v="ООО &quot;Петро-Васт&quot;"/>
    <s v="ООО &quot;Эко Лэнд&quot;,ЛО, Ломоносовский р-н, п.г.т Большая Ижора, промзона «Бронка-2», квартал 1"/>
    <s v="А360РЕ147"/>
    <n v="10.15"/>
    <n v="25.85"/>
    <n v="15.7"/>
  </r>
  <r>
    <x v="6"/>
    <d v="1903-12-21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35"/>
    <n v="17.149999999999999"/>
    <n v="14.8"/>
  </r>
  <r>
    <x v="6"/>
    <d v="1904-09-12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6.3"/>
    <n v="21.25"/>
    <n v="14.95"/>
  </r>
  <r>
    <x v="6"/>
    <d v="1904-03-19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9.3000000000000007"/>
    <n v="24.75"/>
    <n v="15.45"/>
  </r>
  <r>
    <x v="6"/>
    <d v="1903-11-16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9.6"/>
    <n v="25.45"/>
    <n v="15.85"/>
  </r>
  <r>
    <x v="6"/>
    <d v="1903-02-23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9.25"/>
    <n v="24.85"/>
    <n v="15.6"/>
  </r>
  <r>
    <x v="6"/>
    <d v="1904-03-20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5.4"/>
    <n v="20.95"/>
    <n v="15.55"/>
  </r>
  <r>
    <x v="6"/>
    <d v="1902-04-14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05"/>
    <n v="16.55"/>
    <n v="15.5"/>
  </r>
  <r>
    <x v="6"/>
    <d v="1903-01-25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9"/>
    <n v="18.100000000000001"/>
    <n v="15.2"/>
  </r>
  <r>
    <x v="6"/>
    <d v="1903-09-10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25"/>
    <n v="17.45"/>
    <n v="15.2"/>
  </r>
  <r>
    <x v="6"/>
    <d v="1902-04-0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"/>
    <n v="8.1"/>
    <n v="6.3"/>
  </r>
  <r>
    <x v="6"/>
    <d v="1903-12-19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1"/>
    <n v="8.15"/>
    <n v="6.05"/>
  </r>
  <r>
    <x v="6"/>
    <d v="1902-03-2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25"/>
    <n v="7.5"/>
    <n v="6.25"/>
  </r>
  <r>
    <x v="6"/>
    <d v="1903-01-0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15"/>
    <n v="8.4"/>
    <n v="6.25"/>
  </r>
  <r>
    <x v="6"/>
    <d v="1904-09-0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55"/>
    <n v="7.4"/>
    <n v="5.85"/>
  </r>
  <r>
    <x v="6"/>
    <d v="1904-06-07T00:00:00"/>
    <n v="1"/>
    <s v="ООО &quot;Эко Лэнд&quot;"/>
    <s v="ООО &quot;Эко Лэнд&quot;,ЛО, Ломоносовский р-н, п.г.т Большая Ижора, промзона «Бронка-2», квартал 1"/>
    <s v="М758НН198"/>
    <n v="1.35"/>
    <n v="8.3000000000000007"/>
    <n v="6.95"/>
  </r>
  <r>
    <x v="6"/>
    <d v="1900-05-03T00:00:00"/>
    <n v="1"/>
    <s v="ООО &quot;Эко Лэнд&quot;"/>
    <s v="ООО &quot;Эко Лэнд&quot;,ЛО, Ломоносовский р-н, п.г.т Большая Ижора, промзона «Бронка-2», квартал 1"/>
    <s v="Н206МН198"/>
    <n v="5.45"/>
    <n v="19.2"/>
    <n v="13.75"/>
  </r>
  <r>
    <x v="6"/>
    <d v="1906-01-31T00:00:00"/>
    <n v="1"/>
    <s v="ООО &quot;Эко Лэнд&quot;"/>
    <s v="ООО &quot;Эко Лэнд&quot;,ЛО, Ломоносовский р-н, п.г.т Большая Ижора, промзона «Бронка-2», квартал 1"/>
    <s v="Н206МН198"/>
    <n v="3.05"/>
    <n v="16.649999999999999"/>
    <n v="13.6"/>
  </r>
  <r>
    <x v="6"/>
    <d v="1903-11-05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2.75"/>
    <n v="16.45"/>
    <n v="13.7"/>
  </r>
  <r>
    <x v="6"/>
    <d v="1905-06-28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45"/>
    <n v="8.9"/>
    <n v="7.45"/>
  </r>
  <r>
    <x v="6"/>
    <d v="1900-05-10T00:00:00"/>
    <n v="1"/>
    <s v="ООО &quot;Эко Лэнд&quot;"/>
    <s v="ООО &quot;Эко Лэнд&quot;,ЛО, Ломоносовский р-н, п.г.т Большая Ижора, промзона «Бронка-2», квартал 1"/>
    <s v="О690НО198"/>
    <n v="2.1"/>
    <n v="17.55"/>
    <n v="15.45"/>
  </r>
  <r>
    <x v="6"/>
    <d v="1903-08-16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6500000000000004"/>
    <n v="14.85"/>
    <n v="10.199999999999999"/>
  </r>
  <r>
    <x v="6"/>
    <d v="1904-08-26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5"/>
    <n v="12.65"/>
    <n v="10.15"/>
  </r>
  <r>
    <x v="6"/>
    <d v="1905-04-18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1.85"/>
    <n v="13.45"/>
    <n v="11.6"/>
  </r>
  <r>
    <x v="6"/>
    <d v="1901-02-06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7"/>
    <n v="8"/>
    <n v="6.3"/>
  </r>
  <r>
    <x v="6"/>
    <d v="1902-08-0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45"/>
    <n v="5.95"/>
    <n v="5.5"/>
  </r>
  <r>
    <x v="6"/>
    <d v="1903-05-10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95"/>
    <n v="6.45"/>
    <n v="5.5"/>
  </r>
  <r>
    <x v="6"/>
    <d v="1904-06-0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65"/>
    <n v="7.05"/>
    <n v="5.4"/>
  </r>
  <r>
    <x v="6"/>
    <d v="1905-01-25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5"/>
    <n v="6.9"/>
    <n v="5.4"/>
  </r>
  <r>
    <x v="6"/>
    <d v="1903-11-02T00:00:00"/>
    <n v="1"/>
    <s v="ООО &quot;Эко Лэнд&quot;"/>
    <s v="ООО &quot;Эко Лэнд&quot;,ЛО, Ломоносовский р-н, п.г.т Большая Ижора, промзона «Бронка-2», квартал 1"/>
    <s v="Р113КХ198"/>
    <n v="7.05"/>
    <n v="19.3"/>
    <n v="12.25"/>
  </r>
  <r>
    <x v="6"/>
    <d v="1905-01-09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4.6500000000000004"/>
    <n v="12.8"/>
    <n v="8.15"/>
  </r>
  <r>
    <x v="6"/>
    <d v="1904-09-24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6.9"/>
    <n v="19.05"/>
    <n v="12.15"/>
  </r>
  <r>
    <x v="6"/>
    <d v="1906-02-25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2000000000000002"/>
    <n v="9.25"/>
    <n v="7.05"/>
  </r>
  <r>
    <x v="6"/>
    <d v="1904-03-29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4.8"/>
    <n v="20.9"/>
    <n v="16.100000000000001"/>
  </r>
  <r>
    <x v="6"/>
    <d v="1904-03-27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4.75"/>
    <n v="18.25"/>
    <n v="13.5"/>
  </r>
  <r>
    <x v="6"/>
    <d v="1903-11-30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0.8"/>
    <n v="8.6999999999999993"/>
    <n v="7.9"/>
  </r>
  <r>
    <x v="6"/>
    <d v="1903-04-29T00:00:00"/>
    <n v="1"/>
    <s v="ООО &quot;Эко Лэнд&quot;"/>
    <s v="ООО &quot;Эко Лэнд&quot;,ЛО, Ломоносовский р-н, п.г.т Большая Ижора, промзона «Бронка-2», квартал 1"/>
    <s v="Р617ОО198"/>
    <n v="9.5"/>
    <n v="25.15"/>
    <n v="15.65"/>
  </r>
  <r>
    <x v="6"/>
    <d v="1904-09-11T00:00:00"/>
    <n v="1"/>
    <s v="ООО &quot;Эко Лэнд&quot;"/>
    <s v="ООО &quot;Эко Лэнд&quot;,ЛО, Ломоносовский р-н, п.г.т Большая Ижора, промзона «Бронка-2», квартал 1"/>
    <s v="Р188ОС198"/>
    <n v="5.8"/>
    <n v="19.2"/>
    <n v="13.4"/>
  </r>
  <r>
    <x v="6"/>
    <d v="1905-08-03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4.2"/>
    <n v="17.8"/>
    <n v="13.6"/>
  </r>
  <r>
    <x v="6"/>
    <d v="1904-08-26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4"/>
    <n v="6.7"/>
    <n v="5.3"/>
  </r>
  <r>
    <x v="6"/>
    <d v="1905-10-10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6.2"/>
    <n v="19.55"/>
    <n v="13.35"/>
  </r>
  <r>
    <x v="6"/>
    <d v="1903-01-28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6.7"/>
    <n v="22.85"/>
    <n v="16.149999999999999"/>
  </r>
  <r>
    <x v="6"/>
    <d v="1905-07-20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8.1999999999999993"/>
    <n v="20.399999999999999"/>
    <n v="12.2"/>
  </r>
  <r>
    <x v="6"/>
    <d v="1905-01-08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4.8499999999999996"/>
    <n v="16.45"/>
    <n v="11.6"/>
  </r>
  <r>
    <x v="6"/>
    <d v="1904-12-15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7.15"/>
    <n v="21.2"/>
    <n v="14.05"/>
  </r>
  <r>
    <x v="6"/>
    <d v="1904-06-18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1.9"/>
    <n v="7.6"/>
    <n v="5.7"/>
  </r>
  <r>
    <x v="6"/>
    <d v="1904-12-19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65"/>
    <n v="9.5500000000000007"/>
    <n v="7.9"/>
  </r>
  <r>
    <x v="6"/>
    <d v="1905-01-21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7.4"/>
    <n v="20.45"/>
    <n v="13.05"/>
  </r>
  <r>
    <x v="6"/>
    <d v="1903-11-09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6.75"/>
    <n v="20.2"/>
    <n v="13.45"/>
  </r>
  <r>
    <x v="6"/>
    <d v="1905-03-14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1.65"/>
    <n v="12.9"/>
    <n v="11.25"/>
  </r>
  <r>
    <x v="6"/>
    <d v="1904-12-25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3.75"/>
    <n v="20.25"/>
    <n v="16.5"/>
  </r>
  <r>
    <x v="6"/>
    <d v="1904-09-21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3.85"/>
    <n v="16.149999999999999"/>
    <n v="12.3"/>
  </r>
  <r>
    <x v="6"/>
    <d v="1904-06-18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0.6"/>
    <n v="6.2"/>
    <n v="5.6"/>
  </r>
  <r>
    <x v="6"/>
    <d v="1904-02-08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45"/>
    <n v="12.1"/>
    <n v="8.65"/>
  </r>
  <r>
    <x v="6"/>
    <d v="1905-01-22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05"/>
    <n v="11.65"/>
    <n v="8.6"/>
  </r>
  <r>
    <x v="6"/>
    <d v="1904-02-19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8"/>
    <n v="8.9499999999999993"/>
    <n v="7.15"/>
  </r>
  <r>
    <x v="6"/>
    <d v="1905-01-24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2999999999999998"/>
    <n v="9.4"/>
    <n v="7.1"/>
  </r>
  <r>
    <x v="6"/>
    <d v="1904-03-14T00:00:00"/>
    <n v="1"/>
    <s v="ООО &quot;Эко Лэнд&quot;"/>
    <s v="ООО &quot;Эко Лэнд&quot;,ЛО, Ломоносовский р-н, п.г.т Большая Ижора, промзона «Бронка-2», квартал 1"/>
    <s v="В036ОТ198"/>
    <n v="5.05"/>
    <n v="16.850000000000001"/>
    <n v="11.8"/>
  </r>
  <r>
    <x v="6"/>
    <d v="1905-03-29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5.55"/>
    <n v="18.8"/>
    <n v="13.25"/>
  </r>
  <r>
    <x v="6"/>
    <d v="1904-12-22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5.9"/>
    <n v="17.55"/>
    <n v="11.65"/>
  </r>
  <r>
    <x v="6"/>
    <d v="1900-11-11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2.1"/>
    <n v="11.05"/>
    <n v="8.9499999999999993"/>
  </r>
  <r>
    <x v="7"/>
    <d v="1903-02-20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8.4"/>
    <n v="23.65"/>
    <n v="15.25"/>
  </r>
  <r>
    <x v="7"/>
    <d v="1905-07-07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5.15"/>
    <n v="20.350000000000001"/>
    <n v="15.2"/>
  </r>
  <r>
    <x v="7"/>
    <d v="1905-08-11T00:00:00"/>
    <n v="4"/>
    <s v="ООО &quot;Петро-Васт&quot;"/>
    <s v="ООО &quot;Эко Лэнд&quot;,ЛО, Ломоносовский р-н, п.г.т Большая Ижора, промзона «Бронка-2», квартал 1"/>
    <s v="А360РЕ147"/>
    <n v="9.8000000000000007"/>
    <n v="25.6"/>
    <n v="15.8"/>
  </r>
  <r>
    <x v="7"/>
    <d v="1902-11-21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95"/>
    <n v="17.95"/>
    <n v="15"/>
  </r>
  <r>
    <x v="7"/>
    <d v="1903-09-02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35"/>
    <n v="17.25"/>
    <n v="14.9"/>
  </r>
  <r>
    <x v="7"/>
    <d v="1904-03-27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3.4"/>
    <n v="18.3"/>
    <n v="14.9"/>
  </r>
  <r>
    <x v="7"/>
    <d v="1904-12-17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8.85"/>
    <n v="24.35"/>
    <n v="15.5"/>
  </r>
  <r>
    <x v="7"/>
    <d v="1903-04-24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7.35"/>
    <n v="23.35"/>
    <n v="16"/>
  </r>
  <r>
    <x v="7"/>
    <d v="1903-12-03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9.8000000000000007"/>
    <n v="25.2"/>
    <n v="15.4"/>
  </r>
  <r>
    <x v="7"/>
    <d v="1902-10-10T00:00:00"/>
    <n v="4"/>
    <s v="ООО &quot;Петро-Васт&quot;"/>
    <s v="ООО &quot;Эко Лэнд&quot;,ЛО, Ломоносовский р-н, п.г.т Большая Ижора, промзона «Бронка-2», квартал 1"/>
    <s v="О068ТЕ47"/>
    <n v="1.45"/>
    <n v="17.350000000000001"/>
    <n v="15.9"/>
  </r>
  <r>
    <x v="7"/>
    <d v="1902-10-25T00:00:00"/>
    <n v="4"/>
    <s v="ООО &quot;Петро-Васт&quot;"/>
    <s v="ООО &quot;Эко Лэнд&quot;,ЛО, Ломоносовский р-н, п.г.т Большая Ижора, промзона «Бронка-2», квартал 1"/>
    <s v="О068ТЕ47"/>
    <n v="0.85"/>
    <n v="15.9"/>
    <n v="15.05"/>
  </r>
  <r>
    <x v="7"/>
    <d v="1902-10-18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85"/>
    <n v="17.149999999999999"/>
    <n v="15.3"/>
  </r>
  <r>
    <x v="7"/>
    <d v="1903-06-07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35"/>
    <n v="17.649999999999999"/>
    <n v="15.3"/>
  </r>
  <r>
    <x v="7"/>
    <d v="1903-05-07T00:00:00"/>
    <n v="4"/>
    <s v="ООО &quot;Курортный берег&quot;"/>
    <s v="ООО &quot;Эко Лэнд&quot;,ЛО, Ломоносовский р-н, п.г.т Большая Ижора, промзона «Бронка-2», квартал 1"/>
    <s v="Н352МХ"/>
    <n v="19.850000000000001"/>
    <n v="46.25"/>
    <n v="26.4"/>
  </r>
  <r>
    <x v="7"/>
    <d v="1902-11-0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5"/>
    <n v="7.75"/>
    <n v="5.9"/>
  </r>
  <r>
    <x v="7"/>
    <d v="1904-04-0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5"/>
    <n v="7.4"/>
    <n v="5.9"/>
  </r>
  <r>
    <x v="7"/>
    <d v="1901-12-13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0.85"/>
    <n v="7.05"/>
    <n v="6.2"/>
  </r>
  <r>
    <x v="7"/>
    <d v="1902-11-0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0.75"/>
    <n v="6.65"/>
    <n v="5.9"/>
  </r>
  <r>
    <x v="7"/>
    <d v="1903-09-05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"/>
    <n v="7.25"/>
    <n v="6.25"/>
  </r>
  <r>
    <x v="7"/>
    <d v="1904-10-06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1.85"/>
    <n v="10.4"/>
    <n v="8.5500000000000007"/>
  </r>
  <r>
    <x v="7"/>
    <d v="1904-07-16T00:00:00"/>
    <n v="1"/>
    <s v="ООО &quot;Эко Лэнд&quot;"/>
    <s v="ООО &quot;Эко Лэнд&quot;,ЛО, Ломоносовский р-н, п.г.т Большая Ижора, промзона «Бронка-2», квартал 1"/>
    <s v="Н206МН198"/>
    <n v="8"/>
    <n v="21.55"/>
    <n v="13.55"/>
  </r>
  <r>
    <x v="7"/>
    <d v="1903-08-10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3.45"/>
    <n v="17.2"/>
    <n v="13.75"/>
  </r>
  <r>
    <x v="7"/>
    <d v="1905-07-13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95"/>
    <n v="9.5"/>
    <n v="7.55"/>
  </r>
  <r>
    <x v="7"/>
    <d v="1902-03-2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95"/>
    <n v="15.2"/>
    <n v="10.25"/>
  </r>
  <r>
    <x v="7"/>
    <d v="1903-02-1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6.35"/>
    <n v="16.55"/>
    <n v="10.199999999999999"/>
  </r>
  <r>
    <x v="7"/>
    <d v="1905-04-22T00:00:00"/>
    <n v="1"/>
    <s v="ООО &quot;Эко Лэнд&quot;"/>
    <s v="ООО &quot;Эко Лэнд&quot;,ЛО, Ломоносовский р-н, п.г.т Большая Ижора, промзона «Бронка-2», квартал 1"/>
    <s v="О971КУ198"/>
    <n v="7.75"/>
    <n v="21.15"/>
    <n v="13.4"/>
  </r>
  <r>
    <x v="7"/>
    <d v="1905-03-18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9"/>
    <n v="14.45"/>
    <n v="11.55"/>
  </r>
  <r>
    <x v="7"/>
    <d v="1900-04-14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7"/>
    <n v="7.2"/>
    <n v="5.5"/>
  </r>
  <r>
    <x v="7"/>
    <d v="1901-02-12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2"/>
    <n v="6.55"/>
    <n v="5.35"/>
  </r>
  <r>
    <x v="7"/>
    <d v="1902-07-2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7"/>
    <n v="6.85"/>
    <n v="6.15"/>
  </r>
  <r>
    <x v="7"/>
    <d v="1903-04-14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6"/>
    <n v="6.1"/>
    <n v="5.5"/>
  </r>
  <r>
    <x v="7"/>
    <d v="1904-08-2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4"/>
    <n v="6.1"/>
    <n v="5.7"/>
  </r>
  <r>
    <x v="7"/>
    <d v="1904-12-15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5.0999999999999996"/>
    <n v="13.25"/>
    <n v="8.15"/>
  </r>
  <r>
    <x v="7"/>
    <d v="1904-06-03T00:00:00"/>
    <n v="1"/>
    <s v="ООО &quot;Эко Лэнд&quot;"/>
    <s v="ООО &quot;Эко Лэнд&quot;,ЛО, Ломоносовский р-н, п.г.т Большая Ижора, промзона «Бронка-2», квартал 1"/>
    <s v="С372РО198"/>
    <n v="3.65"/>
    <n v="12.25"/>
    <n v="8.6"/>
  </r>
  <r>
    <x v="7"/>
    <d v="1904-02-21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6.6"/>
    <n v="18.75"/>
    <n v="12.15"/>
  </r>
  <r>
    <x v="7"/>
    <d v="1905-07-09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1.5"/>
    <n v="17.3"/>
    <n v="15.8"/>
  </r>
  <r>
    <x v="7"/>
    <d v="1904-05-28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4.95"/>
    <n v="18.649999999999999"/>
    <n v="13.7"/>
  </r>
  <r>
    <x v="7"/>
    <d v="1903-06-11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2.75"/>
    <n v="10.7"/>
    <n v="7.95"/>
  </r>
  <r>
    <x v="7"/>
    <d v="1905-07-31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0.65"/>
    <n v="8.35"/>
    <n v="7.7"/>
  </r>
  <r>
    <x v="7"/>
    <d v="1903-07-31T00:00:00"/>
    <n v="1"/>
    <s v="ООО &quot;Эко Лэнд&quot;"/>
    <s v="ООО &quot;Эко Лэнд&quot;,ЛО, Ломоносовский р-н, п.г.т Большая Ижора, промзона «Бронка-2», квартал 1"/>
    <s v="Р617ОО198"/>
    <n v="9.25"/>
    <n v="24.8"/>
    <n v="15.55"/>
  </r>
  <r>
    <x v="7"/>
    <d v="1905-08-16T00:00:00"/>
    <n v="1"/>
    <s v="ООО &quot;Эко Лэнд&quot;"/>
    <s v="ООО &quot;Эко Лэнд&quot;,ЛО, Ломоносовский р-н, п.г.т Большая Ижора, промзона «Бронка-2», квартал 1"/>
    <s v="Р188ОС198"/>
    <n v="4.4000000000000004"/>
    <n v="17.75"/>
    <n v="13.35"/>
  </r>
  <r>
    <x v="7"/>
    <d v="1905-01-22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95"/>
    <n v="7.45"/>
    <n v="5.5"/>
  </r>
  <r>
    <x v="7"/>
    <d v="1903-11-25T00:00:00"/>
    <n v="1"/>
    <s v="ООО &quot;Эко Лэнд&quot;"/>
    <s v="ООО &quot;Эко Лэнд&quot;,ЛО, Ломоносовский р-н, п.г.т Большая Ижора, промзона «Бронка-2», квартал 1"/>
    <s v="Е058НО198"/>
    <n v="8.0500000000000007"/>
    <n v="20.05"/>
    <n v="12"/>
  </r>
  <r>
    <x v="7"/>
    <d v="1904-09-13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2.75"/>
    <n v="19.100000000000001"/>
    <n v="16.350000000000001"/>
  </r>
  <r>
    <x v="7"/>
    <d v="1904-09-24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6.6"/>
    <n v="18.8"/>
    <n v="12.2"/>
  </r>
  <r>
    <x v="7"/>
    <d v="1905-03-30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6.7"/>
    <n v="20.75"/>
    <n v="14.05"/>
  </r>
  <r>
    <x v="7"/>
    <d v="1904-09-20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0.65"/>
    <n v="6.1"/>
    <n v="5.45"/>
  </r>
  <r>
    <x v="7"/>
    <d v="1905-06-28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1.6"/>
    <n v="8.5"/>
    <n v="6.9"/>
  </r>
  <r>
    <x v="7"/>
    <d v="1904-12-13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2.0499999999999998"/>
    <n v="9.9"/>
    <n v="7.85"/>
  </r>
  <r>
    <x v="7"/>
    <d v="1903-08-31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6.2"/>
    <n v="19.75"/>
    <n v="13.55"/>
  </r>
  <r>
    <x v="7"/>
    <d v="1905-04-08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4.25"/>
    <n v="15.75"/>
    <n v="11.5"/>
  </r>
  <r>
    <x v="7"/>
    <d v="1903-12-11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9.6999999999999993"/>
    <n v="26.25"/>
    <n v="16.55"/>
  </r>
  <r>
    <x v="7"/>
    <d v="1903-12-27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5.25"/>
    <n v="17.45"/>
    <n v="12.2"/>
  </r>
  <r>
    <x v="7"/>
    <d v="1904-06-02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0.95"/>
    <n v="6.6"/>
    <n v="5.65"/>
  </r>
  <r>
    <x v="7"/>
    <d v="1905-04-24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25"/>
    <n v="10.9"/>
    <n v="8.65"/>
  </r>
  <r>
    <x v="7"/>
    <d v="1900-11-01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0.95"/>
    <n v="7.2"/>
    <n v="6.25"/>
  </r>
  <r>
    <x v="7"/>
    <d v="1906-02-20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0.9"/>
    <n v="7.15"/>
    <n v="6.25"/>
  </r>
  <r>
    <x v="7"/>
    <d v="1904-05-21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95"/>
    <n v="9.1"/>
    <n v="7.15"/>
  </r>
  <r>
    <x v="7"/>
    <d v="1906-01-24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15"/>
    <n v="9.25"/>
    <n v="7.1"/>
  </r>
  <r>
    <x v="7"/>
    <d v="1905-03-16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5.85"/>
    <n v="17.45"/>
    <n v="11.6"/>
  </r>
  <r>
    <x v="7"/>
    <d v="1901-07-11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45"/>
    <n v="12.2"/>
    <n v="8.75"/>
  </r>
  <r>
    <x v="8"/>
    <d v="1904-12-12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3.5"/>
    <n v="18.649999999999999"/>
    <n v="15.15"/>
  </r>
  <r>
    <x v="8"/>
    <d v="1905-01-01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7.05"/>
    <n v="18.75"/>
    <n v="11.7"/>
  </r>
  <r>
    <x v="8"/>
    <d v="1904-03-13T00:00:00"/>
    <n v="4"/>
    <s v="ООО &quot;Петро-Васт&quot;"/>
    <s v="ООО &quot;Эко Лэнд&quot;,ЛО, Ломоносовский р-н, п.г.т Большая Ижора, промзона «Бронка-2», квартал 1"/>
    <s v="В568СС47"/>
    <n v="5.2"/>
    <n v="20.149999999999999"/>
    <n v="14.95"/>
  </r>
  <r>
    <x v="8"/>
    <d v="1904-12-21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7.25"/>
    <n v="23.05"/>
    <n v="15.8"/>
  </r>
  <r>
    <x v="8"/>
    <d v="1902-04-29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1.65"/>
    <n v="16.55"/>
    <n v="14.9"/>
  </r>
  <r>
    <x v="8"/>
    <d v="1902-11-1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1"/>
    <n v="15.85"/>
    <n v="14.85"/>
  </r>
  <r>
    <x v="8"/>
    <d v="1904-04-04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8.4499999999999993"/>
    <n v="23.85"/>
    <n v="15.4"/>
  </r>
  <r>
    <x v="8"/>
    <d v="1903-08-27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0.5"/>
    <n v="26.35"/>
    <n v="15.85"/>
  </r>
  <r>
    <x v="8"/>
    <d v="1905-03-17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6.2"/>
    <n v="22.1"/>
    <n v="15.9"/>
  </r>
  <r>
    <x v="8"/>
    <d v="1903-02-15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9.0500000000000007"/>
    <n v="24.65"/>
    <n v="15.6"/>
  </r>
  <r>
    <x v="8"/>
    <d v="1903-11-15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6.75"/>
    <n v="22.2"/>
    <n v="15.45"/>
  </r>
  <r>
    <x v="8"/>
    <d v="1902-04-07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6"/>
    <n v="7.5"/>
    <n v="5.9"/>
  </r>
  <r>
    <x v="8"/>
    <d v="1903-09-02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45"/>
    <n v="6.25"/>
    <n v="5.8"/>
  </r>
  <r>
    <x v="8"/>
    <d v="1905-06-2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"/>
    <n v="6.9"/>
    <n v="5.9"/>
  </r>
  <r>
    <x v="8"/>
    <d v="1903-02-03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6"/>
    <n v="7.5"/>
    <n v="5.9"/>
  </r>
  <r>
    <x v="8"/>
    <d v="1905-07-10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"/>
    <n v="7.85"/>
    <n v="5.85"/>
  </r>
  <r>
    <x v="8"/>
    <d v="1905-08-16T00:00:00"/>
    <n v="1"/>
    <s v="ООО &quot;Эко Лэнд&quot;"/>
    <s v="ООО &quot;Эко Лэнд&quot;,ЛО, Ломоносовский р-н, п.г.т Большая Ижора, промзона «Бронка-2», квартал 1"/>
    <s v="Н206МН198"/>
    <n v="3.15"/>
    <n v="16.75"/>
    <n v="13.6"/>
  </r>
  <r>
    <x v="8"/>
    <d v="1905-01-02T00:00:00"/>
    <n v="1"/>
    <s v="ООО &quot;Эко Лэнд&quot;"/>
    <s v="ООО &quot;Эко Лэнд&quot;,ЛО, Ломоносовский р-н, п.г.т Большая Ижора, промзона «Бронка-2», квартал 1"/>
    <s v="М201ХХ198"/>
    <n v="2.8"/>
    <n v="11"/>
    <n v="8.1999999999999993"/>
  </r>
  <r>
    <x v="8"/>
    <d v="1903-08-14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3.85"/>
    <n v="17.5"/>
    <n v="13.65"/>
  </r>
  <r>
    <x v="8"/>
    <d v="1905-06-29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3.05"/>
    <n v="10.65"/>
    <n v="7.6"/>
  </r>
  <r>
    <x v="8"/>
    <d v="1904-10-18T00:00:00"/>
    <n v="1"/>
    <s v="ООО &quot;Эко Лэнд&quot;"/>
    <s v="ООО &quot;Эко Лэнд&quot;,ЛО, Ломоносовский р-н, п.г.т Большая Ижора, промзона «Бронка-2», квартал 1"/>
    <s v="О690НО198"/>
    <n v="4.2"/>
    <n v="19.399999999999999"/>
    <n v="15.2"/>
  </r>
  <r>
    <x v="8"/>
    <d v="1902-04-12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4500000000000002"/>
    <n v="12.6"/>
    <n v="10.15"/>
  </r>
  <r>
    <x v="8"/>
    <d v="1903-01-1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5"/>
    <n v="12.75"/>
    <n v="10.25"/>
  </r>
  <r>
    <x v="8"/>
    <d v="1903-11-20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15"/>
    <n v="13.1"/>
    <n v="9.9499999999999993"/>
  </r>
  <r>
    <x v="8"/>
    <d v="1904-10-13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1"/>
    <n v="12.35"/>
    <n v="10.25"/>
  </r>
  <r>
    <x v="8"/>
    <d v="1905-03-14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7.75"/>
    <n v="23.45"/>
    <n v="15.7"/>
  </r>
  <r>
    <x v="8"/>
    <d v="1902-06-2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8"/>
    <n v="6.3"/>
    <n v="5.5"/>
  </r>
  <r>
    <x v="8"/>
    <d v="1903-05-12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05"/>
    <n v="6.45"/>
    <n v="5.4"/>
  </r>
  <r>
    <x v="8"/>
    <d v="1904-09-2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5"/>
    <n v="7.2"/>
    <n v="5.7"/>
  </r>
  <r>
    <x v="8"/>
    <d v="1905-03-20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3.3"/>
    <n v="11.5"/>
    <n v="8.1999999999999993"/>
  </r>
  <r>
    <x v="8"/>
    <d v="1904-03-15T00:00:00"/>
    <n v="1"/>
    <s v="ООО &quot;Эко Лэнд&quot;"/>
    <s v="ООО &quot;Эко Лэнд&quot;,ЛО, Ломоносовский р-н, п.г.т Большая Ижора, промзона «Бронка-2», квартал 1"/>
    <s v="Н914МЕ198"/>
    <n v="7.05"/>
    <n v="20.6"/>
    <n v="13.55"/>
  </r>
  <r>
    <x v="8"/>
    <d v="1904-08-31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5.7"/>
    <n v="17.8"/>
    <n v="12.1"/>
  </r>
  <r>
    <x v="8"/>
    <d v="1904-07-09T00:00:00"/>
    <n v="1"/>
    <s v="ООО &quot;Эко Лэнд&quot;"/>
    <s v="ООО &quot;Эко Лэнд&quot;,ЛО, Ломоносовский р-н, п.г.т Большая Ижора, промзона «Бронка-2», квартал 1"/>
    <s v="О889УТ47"/>
    <n v="3.2"/>
    <n v="20.2"/>
    <n v="17"/>
  </r>
  <r>
    <x v="8"/>
    <d v="1904-03-07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85"/>
    <n v="7.5"/>
    <n v="5.65"/>
  </r>
  <r>
    <x v="8"/>
    <d v="1904-06-11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2.5"/>
    <n v="16"/>
    <n v="13.5"/>
  </r>
  <r>
    <x v="8"/>
    <d v="1904-06-22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0.85"/>
    <n v="8.6"/>
    <n v="7.75"/>
  </r>
  <r>
    <x v="8"/>
    <d v="1905-07-05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2.2000000000000002"/>
    <n v="16.399999999999999"/>
    <n v="14.2"/>
  </r>
  <r>
    <x v="8"/>
    <d v="1903-09-17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5.0999999999999996"/>
    <n v="18.350000000000001"/>
    <n v="13.25"/>
  </r>
  <r>
    <x v="8"/>
    <d v="1905-04-21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5.0999999999999996"/>
    <n v="18.600000000000001"/>
    <n v="13.5"/>
  </r>
  <r>
    <x v="8"/>
    <d v="1941-01-29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6.75"/>
    <n v="22.65"/>
    <n v="15.9"/>
  </r>
  <r>
    <x v="8"/>
    <d v="1904-07-07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7.5"/>
    <n v="19.5"/>
    <n v="12"/>
  </r>
  <r>
    <x v="8"/>
    <d v="1904-09-28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7.15"/>
    <n v="21.1"/>
    <n v="13.95"/>
  </r>
  <r>
    <x v="8"/>
    <d v="1904-02-09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0.8"/>
    <n v="6.25"/>
    <n v="5.45"/>
  </r>
  <r>
    <x v="8"/>
    <d v="1905-04-27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2"/>
    <n v="9.15"/>
    <n v="7.95"/>
  </r>
  <r>
    <x v="8"/>
    <d v="1905-01-09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6.05"/>
    <n v="19.45"/>
    <n v="13.4"/>
  </r>
  <r>
    <x v="8"/>
    <d v="1904-03-12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7.6"/>
    <n v="20.95"/>
    <n v="13.35"/>
  </r>
  <r>
    <x v="8"/>
    <d v="1905-03-27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0.75"/>
    <n v="12.25"/>
    <n v="11.5"/>
  </r>
  <r>
    <x v="8"/>
    <d v="1905-03-14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4.4000000000000004"/>
    <n v="20.9"/>
    <n v="16.5"/>
  </r>
  <r>
    <x v="8"/>
    <d v="1904-07-02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2.95"/>
    <n v="15.1"/>
    <n v="12.15"/>
  </r>
  <r>
    <x v="8"/>
    <d v="1905-06-28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9"/>
    <n v="11.55"/>
    <n v="8.65"/>
  </r>
  <r>
    <x v="8"/>
    <d v="1904-12-23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0499999999999998"/>
    <n v="9.15"/>
    <n v="7.1"/>
  </r>
  <r>
    <x v="8"/>
    <d v="1905-11-16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1"/>
    <n v="9.1"/>
    <n v="7"/>
  </r>
  <r>
    <x v="8"/>
    <d v="1904-09-07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6.05"/>
    <n v="17.649999999999999"/>
    <n v="11.6"/>
  </r>
  <r>
    <x v="9"/>
    <d v="1905-01-17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5.45"/>
    <n v="18.25"/>
    <n v="12.8"/>
  </r>
  <r>
    <x v="9"/>
    <d v="1903-11-10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6.9"/>
    <n v="18.399999999999999"/>
    <n v="11.5"/>
  </r>
  <r>
    <x v="9"/>
    <d v="1904-12-15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7.3"/>
    <n v="23.1"/>
    <n v="15.8"/>
  </r>
  <r>
    <x v="9"/>
    <d v="1902-09-26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3.5"/>
    <n v="18.350000000000001"/>
    <n v="14.85"/>
  </r>
  <r>
    <x v="9"/>
    <d v="1903-07-28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3.4"/>
    <n v="18.3"/>
    <n v="14.9"/>
  </r>
  <r>
    <x v="9"/>
    <d v="1904-02-28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1.45"/>
    <n v="16.100000000000001"/>
    <n v="14.65"/>
  </r>
  <r>
    <x v="9"/>
    <d v="1904-05-31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9"/>
    <n v="24.35"/>
    <n v="15.35"/>
  </r>
  <r>
    <x v="9"/>
    <d v="1905-01-19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2.9"/>
    <n v="18.649999999999999"/>
    <n v="15.75"/>
  </r>
  <r>
    <x v="9"/>
    <d v="1904-06-08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9.9499999999999993"/>
    <n v="25.35"/>
    <n v="15.4"/>
  </r>
  <r>
    <x v="9"/>
    <d v="1902-04-02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9"/>
    <n v="7.7"/>
    <n v="5.8"/>
  </r>
  <r>
    <x v="9"/>
    <d v="1904-02-2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3"/>
    <n v="7.05"/>
    <n v="5.75"/>
  </r>
  <r>
    <x v="9"/>
    <d v="1904-12-1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"/>
    <n v="7.6"/>
    <n v="5.8"/>
  </r>
  <r>
    <x v="9"/>
    <d v="1902-10-2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7"/>
    <n v="7.55"/>
    <n v="5.85"/>
  </r>
  <r>
    <x v="9"/>
    <d v="1903-11-05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5"/>
    <n v="7.35"/>
    <n v="5.85"/>
  </r>
  <r>
    <x v="9"/>
    <d v="1905-03-20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5"/>
    <n v="7.4"/>
    <n v="5.9"/>
  </r>
  <r>
    <x v="9"/>
    <d v="1906-04-22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55"/>
    <n v="7.4"/>
    <n v="5.85"/>
  </r>
  <r>
    <x v="9"/>
    <d v="1904-07-15T00:00:00"/>
    <n v="1"/>
    <s v="ООО &quot;Эко Лэнд&quot;"/>
    <s v="ООО &quot;Эко Лэнд&quot;,ЛО, Ломоносовский р-н, п.г.т Большая Ижора, промзона «Бронка-2», квартал 1"/>
    <s v="О690НО198"/>
    <n v="3.55"/>
    <n v="18.75"/>
    <n v="15.2"/>
  </r>
  <r>
    <x v="9"/>
    <d v="1905-04-20T00:00:00"/>
    <n v="1"/>
    <s v="ООО &quot;Эко Лэнд&quot;"/>
    <s v="ООО &quot;Эко Лэнд&quot;,ЛО, Ломоносовский р-н, п.г.т Большая Ижора, промзона «Бронка-2», квартал 1"/>
    <s v="О753НН198"/>
    <n v="9.5"/>
    <n v="24.75"/>
    <n v="15.25"/>
  </r>
  <r>
    <x v="9"/>
    <d v="1902-04-23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1.75"/>
    <n v="11.95"/>
    <n v="10.199999999999999"/>
  </r>
  <r>
    <x v="9"/>
    <d v="1903-01-2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75"/>
    <n v="14"/>
    <n v="10.25"/>
  </r>
  <r>
    <x v="9"/>
    <d v="1903-11-08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05"/>
    <n v="14.15"/>
    <n v="10.1"/>
  </r>
  <r>
    <x v="9"/>
    <d v="1904-08-29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95"/>
    <n v="13.15"/>
    <n v="10.199999999999999"/>
  </r>
  <r>
    <x v="9"/>
    <d v="1904-09-25T00:00:00"/>
    <n v="1"/>
    <s v="ООО &quot;Эко Лэнд&quot;"/>
    <s v="ООО &quot;Эко Лэнд&quot;,ЛО, Ломоносовский р-н, п.г.т Большая Ижора, промзона «Бронка-2», квартал 1"/>
    <s v="О971КУ198"/>
    <n v="6.5"/>
    <n v="19.8"/>
    <n v="13.3"/>
  </r>
  <r>
    <x v="9"/>
    <d v="1904-12-13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3.3"/>
    <n v="15.15"/>
    <n v="11.85"/>
  </r>
  <r>
    <x v="9"/>
    <d v="1903-06-0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65"/>
    <n v="6.1"/>
    <n v="5.45"/>
  </r>
  <r>
    <x v="9"/>
    <d v="1904-12-09T00:00:00"/>
    <n v="1"/>
    <s v="ООО &quot;Эко Лэнд&quot;"/>
    <s v="ООО &quot;Эко Лэнд&quot;,ЛО, Ломоносовский р-н, п.г.т Большая Ижора, промзона «Бронка-2», квартал 1"/>
    <s v="Р100ОВ198"/>
    <n v="7.75"/>
    <n v="23.5"/>
    <n v="15.75"/>
  </r>
  <r>
    <x v="9"/>
    <d v="1905-04-25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2.2000000000000002"/>
    <n v="10.5"/>
    <n v="8.3000000000000007"/>
  </r>
  <r>
    <x v="9"/>
    <d v="1904-09-06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6.5"/>
    <n v="18.600000000000001"/>
    <n v="12.1"/>
  </r>
  <r>
    <x v="9"/>
    <d v="1903-11-20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2.5"/>
    <n v="18.149999999999999"/>
    <n v="15.65"/>
  </r>
  <r>
    <x v="9"/>
    <d v="1903-02-28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1.3"/>
    <n v="14.85"/>
    <n v="13.55"/>
  </r>
  <r>
    <x v="9"/>
    <d v="1903-06-03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2.6"/>
    <n v="10.4"/>
    <n v="7.8"/>
  </r>
  <r>
    <x v="9"/>
    <d v="1904-07-16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2.5"/>
    <n v="10.3"/>
    <n v="7.8"/>
  </r>
  <r>
    <x v="9"/>
    <d v="1905-08-16T00:00:00"/>
    <n v="1"/>
    <s v="ООО &quot;Эко Лэнд&quot;"/>
    <s v="ООО &quot;Эко Лэнд&quot;,ЛО, Ломоносовский р-н, п.г.т Большая Ижора, промзона «Бронка-2», квартал 1"/>
    <s v="Р095ОВ198"/>
    <n v="0.75"/>
    <n v="8.3000000000000007"/>
    <n v="7.55"/>
  </r>
  <r>
    <x v="9"/>
    <d v="1904-06-02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0.4"/>
    <n v="5.9"/>
    <n v="5.5"/>
  </r>
  <r>
    <x v="9"/>
    <d v="1904-05-30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6.85"/>
    <n v="20.149999999999999"/>
    <n v="13.3"/>
  </r>
  <r>
    <x v="9"/>
    <d v="1904-10-09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7.2"/>
    <n v="21.15"/>
    <n v="13.95"/>
  </r>
  <r>
    <x v="9"/>
    <d v="1904-03-31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9"/>
    <n v="9.6999999999999993"/>
    <n v="7.8"/>
  </r>
  <r>
    <x v="9"/>
    <d v="1904-06-14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5.65"/>
    <n v="19"/>
    <n v="13.35"/>
  </r>
  <r>
    <x v="9"/>
    <d v="1905-01-10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4.1500000000000004"/>
    <n v="20.7"/>
    <n v="16.55"/>
  </r>
  <r>
    <x v="9"/>
    <d v="1904-09-08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0.9"/>
    <n v="6.55"/>
    <n v="5.65"/>
  </r>
  <r>
    <x v="9"/>
    <d v="1902-07-01T00:00:00"/>
    <n v="1"/>
    <s v="ООО &quot;Эко Лэнд&quot;"/>
    <s v="ООО &quot;Эко Лэнд&quot;,ЛО, Ломоносовский р-н, п.г.т Большая Ижора, промзона «Бронка-2», квартал 1"/>
    <s v="Н921МЕ198"/>
    <n v="1.6"/>
    <n v="15.2"/>
    <n v="13.6"/>
  </r>
  <r>
    <x v="9"/>
    <d v="1905-11-10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.45"/>
    <n v="7.7"/>
    <n v="6.25"/>
  </r>
  <r>
    <x v="9"/>
    <d v="1905-07-10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5"/>
    <n v="8.6"/>
    <n v="7.1"/>
  </r>
  <r>
    <x v="9"/>
    <d v="1906-01-19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4.6500000000000004"/>
    <n v="16.2"/>
    <n v="11.55"/>
  </r>
  <r>
    <x v="9"/>
    <d v="1901-07-10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1"/>
    <n v="11.8"/>
    <n v="8.6999999999999993"/>
  </r>
  <r>
    <x v="10"/>
    <d v="1904-07-16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7.05"/>
    <n v="19.8"/>
    <n v="12.75"/>
  </r>
  <r>
    <x v="10"/>
    <d v="1905-10-18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6"/>
    <n v="17.55"/>
    <n v="11.55"/>
  </r>
  <r>
    <x v="10"/>
    <d v="1903-11-27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6.1"/>
    <n v="21.95"/>
    <n v="15.85"/>
  </r>
  <r>
    <x v="10"/>
    <d v="1903-09-05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2000000000000002"/>
    <n v="17.100000000000001"/>
    <n v="14.9"/>
  </r>
  <r>
    <x v="10"/>
    <d v="1903-09-04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9.5500000000000007"/>
    <n v="25.3"/>
    <n v="15.75"/>
  </r>
  <r>
    <x v="10"/>
    <d v="1903-11-16T00:00:00"/>
    <n v="4"/>
    <s v="ООО &quot;Петро-Васт&quot;"/>
    <s v="ООО &quot;Эко Лэнд&quot;,ЛО, Ломоносовский р-н, п.г.т Большая Ижора, промзона «Бронка-2», квартал 1"/>
    <s v="В528РО47"/>
    <n v="6.85"/>
    <n v="22.7"/>
    <n v="15.85"/>
  </r>
  <r>
    <x v="10"/>
    <d v="1904-10-08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2.95"/>
    <n v="18.75"/>
    <n v="15.8"/>
  </r>
  <r>
    <x v="10"/>
    <d v="1904-06-25T00:00:00"/>
    <n v="4"/>
    <s v="ООО &quot;Петро-Васт&quot;"/>
    <s v="ООО &quot;Эко Лэнд&quot;,ЛО, Ломоносовский р-н, п.г.т Большая Ижора, промзона «Бронка-2», квартал 1"/>
    <s v="В624УХ47"/>
    <n v="1.55"/>
    <n v="14.8"/>
    <n v="13.25"/>
  </r>
  <r>
    <x v="10"/>
    <d v="1904-02-26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9.8000000000000007"/>
    <n v="25.2"/>
    <n v="15.4"/>
  </r>
  <r>
    <x v="10"/>
    <d v="1902-05-04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1"/>
    <n v="17.3"/>
    <n v="15.2"/>
  </r>
  <r>
    <x v="10"/>
    <d v="1903-02-12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9"/>
    <n v="18.149999999999999"/>
    <n v="15.25"/>
  </r>
  <r>
    <x v="10"/>
    <d v="1903-11-11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6"/>
    <n v="16.8"/>
    <n v="15.2"/>
  </r>
  <r>
    <x v="10"/>
    <d v="1904-09-2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3"/>
    <n v="7.3"/>
    <n v="6"/>
  </r>
  <r>
    <x v="10"/>
    <d v="1905-01-1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"/>
    <n v="7.85"/>
    <n v="6.05"/>
  </r>
  <r>
    <x v="10"/>
    <d v="1901-03-21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8"/>
    <n v="7.75"/>
    <n v="5.95"/>
  </r>
  <r>
    <x v="10"/>
    <d v="1900-12-21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95"/>
    <n v="7.95"/>
    <n v="6"/>
  </r>
  <r>
    <x v="10"/>
    <d v="1902-10-01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95"/>
    <n v="8"/>
    <n v="6.05"/>
  </r>
  <r>
    <x v="10"/>
    <d v="1903-09-1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45"/>
    <n v="7.55"/>
    <n v="6.1"/>
  </r>
  <r>
    <x v="10"/>
    <d v="1904-06-20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75"/>
    <n v="9"/>
    <n v="6.25"/>
  </r>
  <r>
    <x v="10"/>
    <d v="1905-04-04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9"/>
    <n v="7.95"/>
    <n v="6.05"/>
  </r>
  <r>
    <x v="10"/>
    <d v="1903-08-11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5.15"/>
    <n v="18.899999999999999"/>
    <n v="13.75"/>
  </r>
  <r>
    <x v="10"/>
    <d v="1905-01-08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2"/>
    <n v="8.6"/>
    <n v="7.4"/>
  </r>
  <r>
    <x v="10"/>
    <d v="1904-03-21T00:00:00"/>
    <n v="1"/>
    <s v="ООО &quot;Эко Лэнд&quot;"/>
    <s v="ООО &quot;Эко Лэнд&quot;,ЛО, Ломоносовский р-н, п.г.т Большая Ижора, промзона «Бронка-2», квартал 1"/>
    <s v="О690НО198"/>
    <n v="4.3"/>
    <n v="19.649999999999999"/>
    <n v="15.35"/>
  </r>
  <r>
    <x v="10"/>
    <d v="1903-05-0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2"/>
    <n v="14.35"/>
    <n v="10.15"/>
  </r>
  <r>
    <x v="10"/>
    <d v="1904-03-2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15"/>
    <n v="12.4"/>
    <n v="10.25"/>
  </r>
  <r>
    <x v="10"/>
    <d v="1904-06-07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4.4000000000000004"/>
    <n v="18.649999999999999"/>
    <n v="14.25"/>
  </r>
  <r>
    <x v="10"/>
    <d v="1902-07-0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8"/>
    <n v="6.3"/>
    <n v="5.5"/>
  </r>
  <r>
    <x v="10"/>
    <d v="1903-04-2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85"/>
    <n v="7.1"/>
    <n v="5.25"/>
  </r>
  <r>
    <x v="10"/>
    <d v="1904-06-1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6"/>
    <n v="6.9"/>
    <n v="5.3"/>
  </r>
  <r>
    <x v="10"/>
    <d v="1904-12-07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2.0499999999999998"/>
    <n v="10.25"/>
    <n v="8.1999999999999993"/>
  </r>
  <r>
    <x v="10"/>
    <d v="1903-12-13T00:00:00"/>
    <n v="1"/>
    <s v="ООО &quot;Эко Лэнд&quot;"/>
    <s v="ООО &quot;Эко Лэнд&quot;,ЛО, Ломоносовский р-н, п.г.т Большая Ижора, промзона «Бронка-2», квартал 1"/>
    <s v="Н437МН198"/>
    <n v="6.2"/>
    <n v="19.100000000000001"/>
    <n v="12.9"/>
  </r>
  <r>
    <x v="10"/>
    <d v="1904-03-23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7.05"/>
    <n v="19.25"/>
    <n v="12.2"/>
  </r>
  <r>
    <x v="10"/>
    <d v="1904-10-13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0.95"/>
    <n v="6.6"/>
    <n v="5.65"/>
  </r>
  <r>
    <x v="10"/>
    <d v="1903-08-19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5.95"/>
    <n v="19.399999999999999"/>
    <n v="13.45"/>
  </r>
  <r>
    <x v="10"/>
    <d v="1903-09-16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1.45"/>
    <n v="9.3000000000000007"/>
    <n v="7.85"/>
  </r>
  <r>
    <x v="10"/>
    <d v="1905-08-15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6.95"/>
    <n v="20.5"/>
    <n v="13.55"/>
  </r>
  <r>
    <x v="10"/>
    <d v="1904-06-23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3.4"/>
    <n v="8.85"/>
    <n v="5.45"/>
  </r>
  <r>
    <x v="10"/>
    <d v="1904-05-23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4.95"/>
    <n v="18.5"/>
    <n v="13.55"/>
  </r>
  <r>
    <x v="10"/>
    <d v="1903-03-01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3.35"/>
    <n v="19.149999999999999"/>
    <n v="15.8"/>
  </r>
  <r>
    <x v="10"/>
    <d v="1904-02-24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3.5"/>
    <n v="19.45"/>
    <n v="15.95"/>
  </r>
  <r>
    <x v="10"/>
    <d v="1905-04-06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7.3"/>
    <n v="19.399999999999999"/>
    <n v="12.1"/>
  </r>
  <r>
    <x v="10"/>
    <d v="1904-09-22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3.6"/>
    <n v="15.15"/>
    <n v="11.55"/>
  </r>
  <r>
    <x v="10"/>
    <d v="1905-07-13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4.55"/>
    <n v="18.600000000000001"/>
    <n v="14.05"/>
  </r>
  <r>
    <x v="10"/>
    <d v="1903-11-07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3.3"/>
    <n v="11.15"/>
    <n v="7.85"/>
  </r>
  <r>
    <x v="10"/>
    <d v="1904-05-24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5.8"/>
    <n v="19.2"/>
    <n v="13.4"/>
  </r>
  <r>
    <x v="10"/>
    <d v="1904-03-30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2.95"/>
    <n v="16.55"/>
    <n v="13.6"/>
  </r>
  <r>
    <x v="10"/>
    <d v="1904-09-28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1.25"/>
    <n v="13.4"/>
    <n v="12.15"/>
  </r>
  <r>
    <x v="10"/>
    <d v="1904-03-28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2.5"/>
    <n v="7.95"/>
    <n v="5.45"/>
  </r>
  <r>
    <x v="10"/>
    <d v="1903-04-18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0.5"/>
    <n v="6.7"/>
    <n v="6.2"/>
  </r>
  <r>
    <x v="10"/>
    <d v="1904-03-25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1"/>
    <n v="9.1999999999999993"/>
    <n v="7.1"/>
  </r>
  <r>
    <x v="10"/>
    <d v="1905-08-11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25"/>
    <n v="9.3000000000000007"/>
    <n v="7.05"/>
  </r>
  <r>
    <x v="10"/>
    <d v="1905-07-11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6.3"/>
    <n v="19.8"/>
    <n v="13.5"/>
  </r>
  <r>
    <x v="10"/>
    <d v="1904-12-14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4.95"/>
    <n v="16.45"/>
    <n v="11.5"/>
  </r>
  <r>
    <x v="11"/>
    <d v="1903-12-20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"/>
    <n v="18.55"/>
    <n v="12.55"/>
  </r>
  <r>
    <x v="11"/>
    <d v="1904-08-31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7.7"/>
    <n v="19.3"/>
    <n v="11.6"/>
  </r>
  <r>
    <x v="11"/>
    <d v="1902-06-26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3.6"/>
    <n v="16.7"/>
    <n v="13.1"/>
  </r>
  <r>
    <x v="11"/>
    <d v="1904-06-27T00:00:00"/>
    <n v="4"/>
    <s v="ООО &quot;Петро-Васт&quot;"/>
    <s v="ООО &quot;Эко Лэнд&quot;,ЛО, Ломоносовский р-н, п.г.т Большая Ижора, промзона «Бронка-2», квартал 1"/>
    <s v="А030АЕ147"/>
    <n v="4.95"/>
    <n v="21.65"/>
    <n v="16.7"/>
  </r>
  <r>
    <x v="11"/>
    <d v="1903-11-15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0.1"/>
    <n v="26"/>
    <n v="15.9"/>
  </r>
  <r>
    <x v="11"/>
    <d v="1903-08-10T00:00:00"/>
    <n v="4"/>
    <s v="ООО &quot;Петро-Васт&quot;"/>
    <s v="ООО &quot;Эко Лэнд&quot;,ЛО, Ломоносовский р-н, п.г.т Большая Ижора, промзона «Бронка-2», квартал 1"/>
    <s v="А360РЕ147"/>
    <n v="11"/>
    <n v="26.65"/>
    <n v="15.65"/>
  </r>
  <r>
    <x v="11"/>
    <d v="1905-04-03T00:00:00"/>
    <n v="4"/>
    <s v="ООО &quot;Петро-Васт&quot;"/>
    <s v="ООО &quot;Эко Лэнд&quot;,ЛО, Ломоносовский р-н, п.г.т Большая Ижора, промзона «Бронка-2», квартал 1"/>
    <s v="А360РЕ147"/>
    <n v="8.0500000000000007"/>
    <n v="23.75"/>
    <n v="15.7"/>
  </r>
  <r>
    <x v="11"/>
    <d v="1903-06-03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9.4499999999999993"/>
    <n v="25.4"/>
    <n v="15.95"/>
  </r>
  <r>
    <x v="11"/>
    <d v="1903-11-12T00:00:00"/>
    <n v="4"/>
    <s v="ООО &quot;Петро-Васт&quot;"/>
    <s v="ООО &quot;Эко Лэнд&quot;,ЛО, Ломоносовский р-н, п.г.т Большая Ижора, промзона «Бронка-2», квартал 1"/>
    <s v="В528РО47"/>
    <n v="10.15"/>
    <n v="25.7"/>
    <n v="15.55"/>
  </r>
  <r>
    <x v="11"/>
    <d v="1904-09-11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4.7"/>
    <n v="20.6"/>
    <n v="15.9"/>
  </r>
  <r>
    <x v="11"/>
    <d v="1902-05-06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1000000000000001"/>
    <n v="16.350000000000001"/>
    <n v="15.25"/>
  </r>
  <r>
    <x v="11"/>
    <d v="1903-02-07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05"/>
    <n v="16.2"/>
    <n v="15.15"/>
  </r>
  <r>
    <x v="11"/>
    <d v="1902-11-05T00:00:00"/>
    <n v="4"/>
    <s v="ООО &quot;Курортный берег&quot;"/>
    <s v="ООО &quot;Эко Лэнд&quot;,ЛО, Ломоносовский р-н, п.г.т Большая Ижора, промзона «Бронка-2», квартал 1"/>
    <s v="Н352МХ"/>
    <n v="18.2"/>
    <n v="44.05"/>
    <n v="25.85"/>
  </r>
  <r>
    <x v="11"/>
    <d v="1900-02-2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5499999999999998"/>
    <n v="8.5"/>
    <n v="5.95"/>
  </r>
  <r>
    <x v="11"/>
    <d v="1902-03-2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9"/>
    <n v="8.9499999999999993"/>
    <n v="6.05"/>
  </r>
  <r>
    <x v="11"/>
    <d v="1903-06-11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0.95"/>
    <n v="7.2"/>
    <n v="6.25"/>
  </r>
  <r>
    <x v="11"/>
    <d v="1904-02-23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35"/>
    <n v="8.25"/>
    <n v="5.9"/>
  </r>
  <r>
    <x v="11"/>
    <d v="1906-03-02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2.6"/>
    <n v="16.399999999999999"/>
    <n v="13.8"/>
  </r>
  <r>
    <x v="11"/>
    <d v="1905-06-25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75"/>
    <n v="9.15"/>
    <n v="7.4"/>
  </r>
  <r>
    <x v="11"/>
    <d v="1905-08-17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0.8"/>
    <n v="9.25"/>
    <n v="8.4499999999999993"/>
  </r>
  <r>
    <x v="11"/>
    <d v="1906-02-06T00:00:00"/>
    <n v="1"/>
    <s v="ООО &quot;Эко Лэнд&quot;"/>
    <s v="ООО &quot;Эко Лэнд&quot;,ЛО, Ломоносовский р-н, п.г.т Большая Ижора, промзона «Бронка-2», квартал 1"/>
    <s v="О690НО198"/>
    <n v="8.65"/>
    <n v="23.85"/>
    <n v="15.2"/>
  </r>
  <r>
    <x v="11"/>
    <d v="1904-08-26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6"/>
    <n v="13.8"/>
    <n v="10.199999999999999"/>
  </r>
  <r>
    <x v="11"/>
    <d v="1905-04-04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8"/>
    <n v="14.45"/>
    <n v="11.65"/>
  </r>
  <r>
    <x v="11"/>
    <d v="1905-11-19T00:00:00"/>
    <n v="1"/>
    <s v="ООО &quot;Эко Лэнд&quot;"/>
    <s v="ООО &quot;Эко Лэнд&quot;,ЛО, Ломоносовский р-н, п.г.т Большая Ижора, промзона «Бронка-2», квартал 1"/>
    <s v="О980ТТ198"/>
    <n v="3.6"/>
    <n v="17.100000000000001"/>
    <n v="13.5"/>
  </r>
  <r>
    <x v="11"/>
    <d v="1902-08-03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5"/>
    <n v="5.9"/>
    <n v="5.4"/>
  </r>
  <r>
    <x v="11"/>
    <d v="1905-01-20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4"/>
    <n v="5.9"/>
    <n v="5.5"/>
  </r>
  <r>
    <x v="11"/>
    <d v="1905-03-27T00:00:00"/>
    <n v="1"/>
    <s v="ООО &quot;Эко Лэнд&quot;"/>
    <s v="ООО &quot;Эко Лэнд&quot;,ЛО, Ломоносовский р-н, п.г.т Большая Ижора, промзона «Бронка-2», квартал 1"/>
    <s v="Р062ОТ198"/>
    <n v="6"/>
    <n v="18.2"/>
    <n v="12.2"/>
  </r>
  <r>
    <x v="11"/>
    <d v="1906-03-08T00:00:00"/>
    <n v="1"/>
    <s v="ООО &quot;Эко Лэнд&quot;"/>
    <s v="ООО &quot;Эко Лэнд&quot;,ЛО, Ломоносовский р-н, п.г.т Большая Ижора, промзона «Бронка-2», квартал 1"/>
    <s v="Р067ОТ198"/>
    <n v="7.15"/>
    <n v="19.25"/>
    <n v="12.1"/>
  </r>
  <r>
    <x v="11"/>
    <d v="1905-07-12T00:00:00"/>
    <n v="1"/>
    <s v="ООО &quot;Эко Лэнд&quot;"/>
    <s v="ООО &quot;Эко Лэнд&quot;,ЛО, Ломоносовский р-н, п.г.т Большая Ижора, промзона «Бронка-2», квартал 1"/>
    <s v="Р100ОВ198"/>
    <n v="10.75"/>
    <n v="26.45"/>
    <n v="15.7"/>
  </r>
  <r>
    <x v="11"/>
    <d v="1905-04-25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0.5"/>
    <n v="8.65"/>
    <n v="8.15"/>
  </r>
  <r>
    <x v="11"/>
    <d v="1904-05-30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8"/>
    <n v="20.149999999999999"/>
    <n v="12.15"/>
  </r>
  <r>
    <x v="11"/>
    <d v="1904-07-08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1.85"/>
    <n v="17.899999999999999"/>
    <n v="16.05"/>
  </r>
  <r>
    <x v="11"/>
    <d v="1904-06-26T00:00:00"/>
    <n v="1"/>
    <s v="ООО &quot;Эко Лэнд&quot;"/>
    <s v="ООО &quot;Эко Лэнд&quot;,ЛО, Ломоносовский р-н, п.г.т Большая Ижора, промзона «Бронка-2», квартал 1"/>
    <s v="О529НМ198"/>
    <n v="6.15"/>
    <n v="18.25"/>
    <n v="12.1"/>
  </r>
  <r>
    <x v="11"/>
    <d v="1943-12-05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0.3"/>
    <n v="6"/>
    <n v="5.7"/>
  </r>
  <r>
    <x v="11"/>
    <d v="1904-12-30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1.35"/>
    <n v="15.1"/>
    <n v="13.75"/>
  </r>
  <r>
    <x v="11"/>
    <d v="1902-08-01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1.8"/>
    <n v="15.6"/>
    <n v="13.8"/>
  </r>
  <r>
    <x v="11"/>
    <d v="1903-11-10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2"/>
    <n v="16"/>
    <n v="14"/>
  </r>
  <r>
    <x v="11"/>
    <d v="1905-10-18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6.15"/>
    <n v="19.7"/>
    <n v="13.55"/>
  </r>
  <r>
    <x v="11"/>
    <d v="1904-05-26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35"/>
    <n v="7"/>
    <n v="5.65"/>
  </r>
  <r>
    <x v="11"/>
    <d v="1904-12-24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7.3"/>
    <n v="21.4"/>
    <n v="14.1"/>
  </r>
  <r>
    <x v="11"/>
    <d v="1904-05-29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1.4"/>
    <n v="6.75"/>
    <n v="5.35"/>
  </r>
  <r>
    <x v="11"/>
    <d v="1904-03-31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3"/>
    <n v="9.3000000000000007"/>
    <n v="8"/>
  </r>
  <r>
    <x v="11"/>
    <d v="1904-02-16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6.1"/>
    <n v="19.399999999999999"/>
    <n v="13.3"/>
  </r>
  <r>
    <x v="11"/>
    <d v="1905-07-18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5"/>
    <n v="18.25"/>
    <n v="13.25"/>
  </r>
  <r>
    <x v="11"/>
    <d v="1903-11-07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7.75"/>
    <n v="21.25"/>
    <n v="13.5"/>
  </r>
  <r>
    <x v="11"/>
    <d v="1905-07-29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5.05"/>
    <n v="16.399999999999999"/>
    <n v="11.35"/>
  </r>
  <r>
    <x v="11"/>
    <d v="1904-12-09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9.4"/>
    <n v="25.95"/>
    <n v="16.55"/>
  </r>
  <r>
    <x v="11"/>
    <d v="1905-01-22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7.3"/>
    <n v="19.600000000000001"/>
    <n v="12.3"/>
  </r>
  <r>
    <x v="11"/>
    <d v="1904-09-02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2.0499999999999998"/>
    <n v="7.45"/>
    <n v="5.4"/>
  </r>
  <r>
    <x v="11"/>
    <d v="1905-01-14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0499999999999998"/>
    <n v="10.65"/>
    <n v="8.6"/>
  </r>
  <r>
    <x v="11"/>
    <d v="1904-07-02T00:00:00"/>
    <n v="1"/>
    <s v="ООО &quot;Эко Лэнд&quot;"/>
    <s v="ООО &quot;Эко Лэнд&quot;,ЛО, Ломоносовский р-н, п.г.т Большая Ижора, промзона «Бронка-2», квартал 1"/>
    <s v="С372РО198"/>
    <n v="3.1"/>
    <n v="11.7"/>
    <n v="8.6"/>
  </r>
  <r>
    <x v="11"/>
    <d v="1905-10-21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2.15"/>
    <n v="8.35"/>
    <n v="6.2"/>
  </r>
  <r>
    <x v="11"/>
    <d v="1905-03-20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25"/>
    <n v="8.35"/>
    <n v="7.1"/>
  </r>
  <r>
    <x v="11"/>
    <d v="1905-04-22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1"/>
    <n v="9.15"/>
    <n v="7.05"/>
  </r>
  <r>
    <x v="11"/>
    <d v="1905-11-28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4.45"/>
    <n v="17.100000000000001"/>
    <n v="12.65"/>
  </r>
  <r>
    <x v="11"/>
    <d v="1900-08-08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2.95"/>
    <n v="11.55"/>
    <n v="8.6"/>
  </r>
  <r>
    <x v="12"/>
    <d v="1904-12-15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7.4"/>
    <n v="18.95"/>
    <n v="11.55"/>
  </r>
  <r>
    <x v="12"/>
    <d v="1904-03-09T00:00:00"/>
    <n v="4"/>
    <s v="ООО &quot;Петро-Васт&quot;"/>
    <s v="ООО &quot;Эко Лэнд&quot;,ЛО, Ломоносовский р-н, п.г.т Большая Ижора, промзона «Бронка-2», квартал 1"/>
    <s v="В568СС47"/>
    <n v="8.9"/>
    <n v="23.85"/>
    <n v="14.95"/>
  </r>
  <r>
    <x v="12"/>
    <d v="1905-01-20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8.6"/>
    <n v="24.5"/>
    <n v="15.9"/>
  </r>
  <r>
    <x v="12"/>
    <d v="1903-01-27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7.75"/>
    <n v="22.7"/>
    <n v="14.95"/>
  </r>
  <r>
    <x v="12"/>
    <d v="1903-11-05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1.2"/>
    <n v="18.05"/>
    <n v="16.850000000000001"/>
  </r>
  <r>
    <x v="12"/>
    <d v="1903-11-21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"/>
    <n v="16.850000000000001"/>
    <n v="14.85"/>
  </r>
  <r>
    <x v="12"/>
    <d v="1904-06-06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7"/>
    <n v="22.4"/>
    <n v="15.4"/>
  </r>
  <r>
    <x v="12"/>
    <d v="1904-06-19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1.5"/>
    <n v="27.45"/>
    <n v="15.95"/>
  </r>
  <r>
    <x v="12"/>
    <d v="1903-12-05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9.8000000000000007"/>
    <n v="25.25"/>
    <n v="15.45"/>
  </r>
  <r>
    <x v="12"/>
    <d v="1903-05-04T00:00:00"/>
    <n v="4"/>
    <s v="ООО &quot;Петро-Васт&quot;"/>
    <s v="ООО &quot;Эко Лэнд&quot;,ЛО, Ломоносовский р-н, п.г.т Большая Ижора, промзона «Бронка-2», квартал 1"/>
    <s v="А201МК147"/>
    <n v="8.9499999999999993"/>
    <n v="24.75"/>
    <n v="15.8"/>
  </r>
  <r>
    <x v="12"/>
    <d v="1902-03-26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4"/>
    <n v="16.7"/>
    <n v="15.3"/>
  </r>
  <r>
    <x v="12"/>
    <d v="1902-10-28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7"/>
    <n v="17.100000000000001"/>
    <n v="15.4"/>
  </r>
  <r>
    <x v="12"/>
    <d v="1903-07-30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2.4"/>
    <n v="17.600000000000001"/>
    <n v="15.2"/>
  </r>
  <r>
    <x v="12"/>
    <d v="1902-10-12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1000000000000001"/>
    <n v="7.05"/>
    <n v="5.95"/>
  </r>
  <r>
    <x v="12"/>
    <d v="1903-12-0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55"/>
    <n v="7.4"/>
    <n v="5.85"/>
  </r>
  <r>
    <x v="12"/>
    <d v="1901-12-11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6"/>
    <n v="7.6"/>
    <n v="6"/>
  </r>
  <r>
    <x v="12"/>
    <d v="1902-09-27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45"/>
    <n v="7.5"/>
    <n v="6.05"/>
  </r>
  <r>
    <x v="12"/>
    <d v="1903-11-03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55"/>
    <n v="7.35"/>
    <n v="5.8"/>
  </r>
  <r>
    <x v="12"/>
    <d v="1905-10-18T00:00:00"/>
    <n v="1"/>
    <s v="ООО &quot;Эко Лэнд&quot;"/>
    <s v="ООО &quot;Эко Лэнд&quot;,ЛО, Ломоносовский р-н, п.г.т Большая Ижора, промзона «Бронка-2», квартал 1"/>
    <s v="Н206МН198"/>
    <n v="5.85"/>
    <n v="19.5"/>
    <n v="13.65"/>
  </r>
  <r>
    <x v="12"/>
    <d v="1905-04-27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9"/>
    <n v="9.4499999999999993"/>
    <n v="7.55"/>
  </r>
  <r>
    <x v="12"/>
    <d v="1902-06-18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5499999999999998"/>
    <n v="12.55"/>
    <n v="10"/>
  </r>
  <r>
    <x v="12"/>
    <d v="1903-04-1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15"/>
    <n v="12.35"/>
    <n v="10.199999999999999"/>
  </r>
  <r>
    <x v="12"/>
    <d v="1904-02-2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9"/>
    <n v="13.1"/>
    <n v="10.199999999999999"/>
  </r>
  <r>
    <x v="12"/>
    <d v="1904-10-05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1.6"/>
    <n v="11.75"/>
    <n v="10.15"/>
  </r>
  <r>
    <x v="12"/>
    <d v="1905-05-03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95"/>
    <n v="14.7"/>
    <n v="11.75"/>
  </r>
  <r>
    <x v="12"/>
    <d v="1902-07-13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25"/>
    <n v="6.8"/>
    <n v="5.55"/>
  </r>
  <r>
    <x v="12"/>
    <d v="1903-04-2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95"/>
    <n v="6.55"/>
    <n v="5.6"/>
  </r>
  <r>
    <x v="12"/>
    <d v="1904-06-04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6"/>
    <n v="6.95"/>
    <n v="5.35"/>
  </r>
  <r>
    <x v="12"/>
    <d v="1900-07-30T00:00:00"/>
    <n v="1"/>
    <s v="ООО &quot;Эко Лэнд&quot;"/>
    <s v="ООО &quot;Эко Лэнд&quot;,ЛО, Ломоносовский р-н, п.г.т Большая Ижора, промзона «Бронка-2», квартал 1"/>
    <s v="Р113КХ198"/>
    <n v="4"/>
    <n v="16.3"/>
    <n v="12.3"/>
  </r>
  <r>
    <x v="12"/>
    <d v="1905-10-18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7.15"/>
    <n v="19.3"/>
    <n v="12.15"/>
  </r>
  <r>
    <x v="12"/>
    <d v="1906-04-23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2.15"/>
    <n v="9"/>
    <n v="6.85"/>
  </r>
  <r>
    <x v="12"/>
    <d v="1905-03-14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3.35"/>
    <n v="11.95"/>
    <n v="8.6"/>
  </r>
  <r>
    <x v="12"/>
    <d v="1904-05-22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4.4000000000000004"/>
    <n v="18.100000000000001"/>
    <n v="13.7"/>
  </r>
  <r>
    <x v="12"/>
    <d v="1904-03-25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0.95"/>
    <n v="8.75"/>
    <n v="7.8"/>
  </r>
  <r>
    <x v="12"/>
    <d v="1903-07-23T00:00:00"/>
    <n v="1"/>
    <s v="ООО &quot;Эко Лэнд&quot;"/>
    <s v="ООО &quot;Эко Лэнд&quot;,ЛО, Ломоносовский р-н, п.г.т Большая Ижора, промзона «Бронка-2», квартал 1"/>
    <s v="Р095ОВ198"/>
    <n v="1"/>
    <n v="16.8"/>
    <n v="15.8"/>
  </r>
  <r>
    <x v="12"/>
    <d v="1904-07-06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7.4"/>
    <n v="21.1"/>
    <n v="13.7"/>
  </r>
  <r>
    <x v="12"/>
    <d v="1904-06-09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3.15"/>
    <n v="8.85"/>
    <n v="5.7"/>
  </r>
  <r>
    <x v="12"/>
    <d v="1905-07-07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4.1500000000000004"/>
    <n v="17.55"/>
    <n v="13.4"/>
  </r>
  <r>
    <x v="12"/>
    <d v="1903-05-24T00:00:00"/>
    <n v="1"/>
    <s v="ООО &quot;Эко Лэнд&quot;"/>
    <s v="ООО &quot;Эко Лэнд&quot;,ЛО, Ломоносовский р-н, п.г.т Большая Ижора, промзона «Бронка-2», квартал 1"/>
    <s v="В143КН178"/>
    <n v="3.3"/>
    <n v="17.149999999999999"/>
    <n v="13.85"/>
  </r>
  <r>
    <x v="12"/>
    <d v="1902-10-26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3.85"/>
    <n v="19.75"/>
    <n v="15.9"/>
  </r>
  <r>
    <x v="12"/>
    <d v="1904-06-06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0.75"/>
    <n v="18.45"/>
    <n v="17.7"/>
  </r>
  <r>
    <x v="12"/>
    <d v="1904-10-04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4.05"/>
    <n v="15.65"/>
    <n v="11.6"/>
  </r>
  <r>
    <x v="12"/>
    <d v="1903-08-06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5.9"/>
    <n v="19.95"/>
    <n v="14.05"/>
  </r>
  <r>
    <x v="12"/>
    <d v="1904-03-24T00:00:00"/>
    <n v="1"/>
    <s v="ООО &quot;Эко Лэнд&quot;"/>
    <s v="ООО &quot;Эко Лэнд&quot;,ЛО, Ломоносовский р-н, п.г.т Большая Ижора, промзона «Бронка-2», квартал 1"/>
    <s v="А356КС198"/>
    <n v="2.35"/>
    <n v="9.65"/>
    <n v="7.3"/>
  </r>
  <r>
    <x v="12"/>
    <d v="1904-05-25T00:00:00"/>
    <n v="1"/>
    <s v="ООО &quot;Эко Лэнд&quot;"/>
    <s v="ООО &quot;Эко Лэнд&quot;,ЛО, Ломоносовский р-н, п.г.т Большая Ижора, промзона «Бронка-2», квартал 1"/>
    <s v="С728ТЕ178"/>
    <n v="1.05"/>
    <n v="6.5"/>
    <n v="5.45"/>
  </r>
  <r>
    <x v="12"/>
    <d v="1904-10-12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95"/>
    <n v="9.9"/>
    <n v="7.95"/>
  </r>
  <r>
    <x v="12"/>
    <d v="1905-05-02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3.8"/>
    <n v="17.2"/>
    <n v="13.4"/>
  </r>
  <r>
    <x v="12"/>
    <d v="1902-07-21T00:00:00"/>
    <n v="1"/>
    <s v="ООО &quot;Эко Лэнд&quot;"/>
    <s v="ООО &quot;Эко Лэнд&quot;,ЛО, Ломоносовский р-н, п.г.т Большая Ижора, промзона «Бронка-2», квартал 1"/>
    <s v="С 869 ЕТ 198"/>
    <n v="4.7"/>
    <n v="18.399999999999999"/>
    <n v="13.7"/>
  </r>
  <r>
    <x v="12"/>
    <d v="1903-11-28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7.65"/>
    <n v="21.05"/>
    <n v="13.4"/>
  </r>
  <r>
    <x v="12"/>
    <d v="1904-12-23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1.85"/>
    <n v="13.25"/>
    <n v="11.4"/>
  </r>
  <r>
    <x v="12"/>
    <d v="1904-10-13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9.1"/>
    <n v="25.75"/>
    <n v="16.649999999999999"/>
  </r>
  <r>
    <x v="12"/>
    <d v="1905-04-18T00:00:00"/>
    <n v="1"/>
    <s v="ООО &quot;Эко Лэнд&quot;"/>
    <s v="ООО &quot;Эко Лэнд&quot;,ЛО, Ломоносовский р-н, п.г.т Большая Ижора, промзона «Бронка-2», квартал 1"/>
    <s v="Р552ОМ198"/>
    <n v="3.45"/>
    <n v="15.65"/>
    <n v="12.2"/>
  </r>
  <r>
    <x v="12"/>
    <d v="1904-04-06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7"/>
    <n v="19.25"/>
    <n v="12.25"/>
  </r>
  <r>
    <x v="12"/>
    <d v="1903-01-30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0.35"/>
    <n v="5.95"/>
    <n v="5.6"/>
  </r>
  <r>
    <x v="12"/>
    <d v="1904-03-24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4"/>
    <n v="6.9"/>
    <n v="5.5"/>
  </r>
  <r>
    <x v="12"/>
    <d v="1905-01-30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2"/>
    <n v="11.8"/>
    <n v="8.6"/>
  </r>
  <r>
    <x v="12"/>
    <d v="1905-04-14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.4"/>
    <n v="7.65"/>
    <n v="6.25"/>
  </r>
  <r>
    <x v="12"/>
    <d v="1904-06-08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65"/>
    <n v="8.75"/>
    <n v="7.1"/>
  </r>
  <r>
    <x v="12"/>
    <d v="1905-01-27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0.9"/>
    <n v="8"/>
    <n v="7.1"/>
  </r>
  <r>
    <x v="12"/>
    <d v="1904-12-17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4.3499999999999996"/>
    <n v="16.3"/>
    <n v="11.95"/>
  </r>
  <r>
    <x v="12"/>
    <d v="1900-05-23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2.7"/>
    <n v="11.45"/>
    <n v="8.75"/>
  </r>
  <r>
    <x v="13"/>
    <d v="1902-08-08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5.65"/>
    <n v="18.350000000000001"/>
    <n v="12.7"/>
  </r>
  <r>
    <x v="13"/>
    <d v="1905-10-15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25"/>
    <n v="19"/>
    <n v="12.75"/>
  </r>
  <r>
    <x v="13"/>
    <d v="1904-05-24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8.1"/>
    <n v="23.5"/>
    <n v="15.4"/>
  </r>
  <r>
    <x v="13"/>
    <d v="1904-03-04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7.8"/>
    <n v="19.45"/>
    <n v="11.65"/>
  </r>
  <r>
    <x v="13"/>
    <d v="1905-06-30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0.3"/>
    <n v="26.4"/>
    <n v="16.100000000000001"/>
  </r>
  <r>
    <x v="13"/>
    <d v="1902-04-20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8"/>
    <n v="17.75"/>
    <n v="14.95"/>
  </r>
  <r>
    <x v="13"/>
    <d v="1902-11-0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4500000000000002"/>
    <n v="17.5"/>
    <n v="15.05"/>
  </r>
  <r>
    <x v="13"/>
    <d v="1903-06-0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0499999999999998"/>
    <n v="17.149999999999999"/>
    <n v="15.1"/>
  </r>
  <r>
    <x v="13"/>
    <d v="1904-10-09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9.0500000000000007"/>
    <n v="24.55"/>
    <n v="15.5"/>
  </r>
  <r>
    <x v="13"/>
    <d v="1904-06-01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1.05"/>
    <n v="27.1"/>
    <n v="16.05"/>
  </r>
  <r>
    <x v="13"/>
    <d v="1903-02-19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9.6"/>
    <n v="25.35"/>
    <n v="15.75"/>
  </r>
  <r>
    <x v="13"/>
    <d v="1904-05-18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5.5"/>
    <n v="21.25"/>
    <n v="15.75"/>
  </r>
  <r>
    <x v="13"/>
    <d v="1902-01-23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65"/>
    <n v="16.899999999999999"/>
    <n v="15.25"/>
  </r>
  <r>
    <x v="13"/>
    <d v="1903-02-11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5.35"/>
    <n v="20.6"/>
    <n v="15.25"/>
  </r>
  <r>
    <x v="13"/>
    <d v="1901-12-1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8"/>
    <n v="6.65"/>
    <n v="5.85"/>
  </r>
  <r>
    <x v="13"/>
    <d v="1903-02-04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5"/>
    <n v="7.7"/>
    <n v="5.85"/>
  </r>
  <r>
    <x v="13"/>
    <d v="1904-09-1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75"/>
    <n v="7.7"/>
    <n v="5.95"/>
  </r>
  <r>
    <x v="13"/>
    <d v="1901-08-27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35"/>
    <n v="7.25"/>
    <n v="5.9"/>
  </r>
  <r>
    <x v="13"/>
    <d v="1902-04-1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1000000000000001"/>
    <n v="7.1"/>
    <n v="6"/>
  </r>
  <r>
    <x v="13"/>
    <d v="1903-12-2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8"/>
    <n v="7.7"/>
    <n v="5.9"/>
  </r>
  <r>
    <x v="13"/>
    <d v="1905-10-10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0.95"/>
    <n v="8.4499999999999993"/>
    <n v="7.5"/>
  </r>
  <r>
    <x v="13"/>
    <d v="1905-10-07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4"/>
    <n v="12.5"/>
    <n v="8.5"/>
  </r>
  <r>
    <x v="13"/>
    <d v="1900-02-16T00:00:00"/>
    <n v="1"/>
    <s v="ООО &quot;Эко Лэнд&quot;"/>
    <s v="ООО &quot;Эко Лэнд&quot;,ЛО, Ломоносовский р-н, п.г.т Большая Ижора, промзона «Бронка-2», квартал 1"/>
    <s v="О690НО198"/>
    <n v="3.05"/>
    <n v="18.350000000000001"/>
    <n v="15.3"/>
  </r>
  <r>
    <x v="13"/>
    <d v="1905-03-19T00:00:00"/>
    <n v="1"/>
    <s v="ООО &quot;Эко Лэнд&quot;"/>
    <s v="ООО &quot;Эко Лэнд&quot;,ЛО, Ломоносовский р-н, п.г.т Большая Ижора, промзона «Бронка-2», квартал 1"/>
    <s v="О753НН198"/>
    <n v="8.3000000000000007"/>
    <n v="23.65"/>
    <n v="15.35"/>
  </r>
  <r>
    <x v="13"/>
    <d v="1903-07-2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95"/>
    <n v="14.2"/>
    <n v="10.25"/>
  </r>
  <r>
    <x v="13"/>
    <d v="1904-06-2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0499999999999998"/>
    <n v="12.35"/>
    <n v="10.3"/>
  </r>
  <r>
    <x v="13"/>
    <d v="1905-08-05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25"/>
    <n v="14"/>
    <n v="11.75"/>
  </r>
  <r>
    <x v="13"/>
    <d v="1902-07-1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7"/>
    <n v="6.25"/>
    <n v="5.55"/>
  </r>
  <r>
    <x v="13"/>
    <d v="1903-06-0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7"/>
    <n v="6.2"/>
    <n v="5.5"/>
  </r>
  <r>
    <x v="13"/>
    <d v="1904-07-16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95"/>
    <n v="7.5"/>
    <n v="5.55"/>
  </r>
  <r>
    <x v="13"/>
    <d v="1905-08-0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8"/>
    <n v="7.3"/>
    <n v="5.5"/>
  </r>
  <r>
    <x v="13"/>
    <d v="1904-06-25T00:00:00"/>
    <n v="1"/>
    <s v="ООО &quot;Эко Лэнд&quot;"/>
    <s v="ООО &quot;Эко Лэнд&quot;,ЛО, Ломоносовский р-н, п.г.т Большая Ижора, промзона «Бронка-2», квартал 1"/>
    <s v="Р067ОТ198"/>
    <n v="2.5499999999999998"/>
    <n v="14.7"/>
    <n v="12.15"/>
  </r>
  <r>
    <x v="13"/>
    <d v="1902-04-02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3.15"/>
    <n v="11.5"/>
    <n v="8.35"/>
  </r>
  <r>
    <x v="13"/>
    <d v="1905-10-05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5"/>
    <n v="13.3"/>
    <n v="8.3000000000000007"/>
  </r>
  <r>
    <x v="13"/>
    <d v="1905-01-03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4.6500000000000004"/>
    <n v="16.899999999999999"/>
    <n v="12.25"/>
  </r>
  <r>
    <x v="13"/>
    <d v="1903-09-01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2.15"/>
    <n v="17.850000000000001"/>
    <n v="15.7"/>
  </r>
  <r>
    <x v="13"/>
    <d v="1945-07-30T00:00:00"/>
    <n v="1"/>
    <s v="ООО &quot;Эко Лэнд&quot;"/>
    <s v="ООО &quot;Эко Лэнд&quot;,ЛО, Ломоносовский р-н, п.г.т Большая Ижора, промзона «Бронка-2», квартал 1"/>
    <s v="О529НМ198"/>
    <n v="7.15"/>
    <n v="19.350000000000001"/>
    <n v="12.2"/>
  </r>
  <r>
    <x v="13"/>
    <d v="1905-07-03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4"/>
    <n v="10"/>
    <n v="6"/>
  </r>
  <r>
    <x v="13"/>
    <d v="1905-03-24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3.25"/>
    <n v="16.899999999999999"/>
    <n v="13.65"/>
  </r>
  <r>
    <x v="13"/>
    <d v="1905-04-20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2.5499999999999998"/>
    <n v="10.4"/>
    <n v="7.85"/>
  </r>
  <r>
    <x v="13"/>
    <d v="1902-07-28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4.7"/>
    <n v="18.75"/>
    <n v="14.05"/>
  </r>
  <r>
    <x v="13"/>
    <d v="1905-11-25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2.4"/>
    <n v="15.95"/>
    <n v="13.55"/>
  </r>
  <r>
    <x v="13"/>
    <d v="1905-07-02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85"/>
    <n v="7.55"/>
    <n v="5.7"/>
  </r>
  <r>
    <x v="13"/>
    <d v="1903-11-08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4.5"/>
    <n v="17.95"/>
    <n v="13.45"/>
  </r>
  <r>
    <x v="13"/>
    <d v="1902-07-18T00:00:00"/>
    <n v="1"/>
    <s v="ООО &quot;Эко Лэнд&quot;"/>
    <s v="ООО &quot;Эко Лэнд&quot;,ЛО, Ломоносовский р-н, п.г.т Большая Ижора, промзона «Бронка-2», квартал 1"/>
    <s v="В143КН178"/>
    <n v="2.35"/>
    <n v="15.7"/>
    <n v="13.35"/>
  </r>
  <r>
    <x v="13"/>
    <d v="1904-03-09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2.5"/>
    <n v="18.600000000000001"/>
    <n v="16.100000000000001"/>
  </r>
  <r>
    <x v="13"/>
    <d v="1904-06-29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6.85"/>
    <n v="21"/>
    <n v="14.15"/>
  </r>
  <r>
    <x v="13"/>
    <d v="1906-06-01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2.25"/>
    <n v="9.1"/>
    <n v="6.85"/>
  </r>
  <r>
    <x v="13"/>
    <d v="1904-09-28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2.5499999999999998"/>
    <n v="14"/>
    <n v="11.45"/>
  </r>
  <r>
    <x v="13"/>
    <d v="1905-11-21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9.6"/>
    <n v="26.25"/>
    <n v="16.649999999999999"/>
  </r>
  <r>
    <x v="13"/>
    <d v="1905-07-03T00:00:00"/>
    <n v="1"/>
    <s v="ООО &quot;Эко Лэнд&quot;"/>
    <s v="ООО &quot;Эко Лэнд&quot;,ЛО, Ломоносовский р-н, п.г.т Большая Ижора, промзона «Бронка-2», квартал 1"/>
    <s v="Р552ОМ198"/>
    <n v="4.3499999999999996"/>
    <n v="16.7"/>
    <n v="12.35"/>
  </r>
  <r>
    <x v="13"/>
    <d v="1904-09-07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3.1"/>
    <n v="15.45"/>
    <n v="12.35"/>
  </r>
  <r>
    <x v="13"/>
    <d v="1906-02-18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3.4"/>
    <n v="12.35"/>
    <n v="8.9499999999999993"/>
  </r>
  <r>
    <x v="13"/>
    <d v="1905-03-21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25"/>
    <n v="10.9"/>
    <n v="8.65"/>
  </r>
  <r>
    <x v="13"/>
    <d v="1904-07-12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1.2"/>
    <n v="6.65"/>
    <n v="5.45"/>
  </r>
  <r>
    <x v="13"/>
    <d v="1905-07-30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2999999999999998"/>
    <n v="9.4499999999999993"/>
    <n v="7.15"/>
  </r>
  <r>
    <x v="13"/>
    <d v="1905-11-07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5499999999999998"/>
    <n v="9.65"/>
    <n v="7.1"/>
  </r>
  <r>
    <x v="13"/>
    <d v="1905-01-05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6.5"/>
    <n v="18.2"/>
    <n v="11.7"/>
  </r>
  <r>
    <x v="13"/>
    <d v="1900-05-18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3"/>
    <n v="11.95"/>
    <n v="8.65"/>
  </r>
  <r>
    <x v="14"/>
    <d v="1903-11-10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7.9"/>
    <n v="23.3"/>
    <n v="15.4"/>
  </r>
  <r>
    <x v="14"/>
    <d v="1906-05-30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6.6"/>
    <n v="22.05"/>
    <n v="15.45"/>
  </r>
  <r>
    <x v="14"/>
    <d v="1900-04-27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8.15"/>
    <n v="19.850000000000001"/>
    <n v="11.7"/>
  </r>
  <r>
    <x v="14"/>
    <d v="1905-11-09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9.5500000000000007"/>
    <n v="25.6"/>
    <n v="16.05"/>
  </r>
  <r>
    <x v="14"/>
    <d v="1905-11-05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0.5"/>
    <n v="24.15"/>
    <n v="23.65"/>
  </r>
  <r>
    <x v="14"/>
    <d v="1904-06-27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0.75"/>
    <n v="26.75"/>
    <n v="16"/>
  </r>
  <r>
    <x v="14"/>
    <d v="1904-03-20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1.6"/>
    <n v="27.1"/>
    <n v="15.5"/>
  </r>
  <r>
    <x v="14"/>
    <d v="1902-07-02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65"/>
    <n v="17.100000000000001"/>
    <n v="15.45"/>
  </r>
  <r>
    <x v="14"/>
    <d v="1903-08-02T00:00:00"/>
    <n v="4"/>
    <s v="ООО &quot;Петро-Васт&quot;"/>
    <s v="ООО &quot;Эко Лэнд&quot;,ЛО, Ломоносовский р-н, п.г.т Большая Ижора, промзона «Бронка-2», квартал 1"/>
    <s v="А208АК147"/>
    <n v="1.75"/>
    <n v="17"/>
    <n v="15.25"/>
  </r>
  <r>
    <x v="14"/>
    <d v="1903-08-22T00:00:00"/>
    <n v="4"/>
    <s v="ООО &quot;Петро-Васт&quot;"/>
    <s v="ООО &quot;Эко Лэнд&quot;,ЛО, Ломоносовский р-н, п.г.т Большая Ижора, промзона «Бронка-2», квартал 1"/>
    <s v="К182РС147"/>
    <n v="1.45"/>
    <n v="18.100000000000001"/>
    <n v="16.649999999999999"/>
  </r>
  <r>
    <x v="14"/>
    <d v="1902-10-19T00:00:00"/>
    <n v="4"/>
    <s v="ООО &quot;Курортный берег&quot;"/>
    <s v="ООО &quot;Эко Лэнд&quot;,ЛО, Ломоносовский р-н, п.г.т Большая Ижора, промзона «Бронка-2», квартал 1"/>
    <s v="Н352МХ"/>
    <n v="16.7"/>
    <n v="42.25"/>
    <n v="25.55"/>
  </r>
  <r>
    <x v="14"/>
    <d v="1902-04-1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4.3"/>
    <n v="10.199999999999999"/>
    <n v="5.9"/>
  </r>
  <r>
    <x v="14"/>
    <d v="1903-02-07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1"/>
    <n v="8"/>
    <n v="5.9"/>
  </r>
  <r>
    <x v="14"/>
    <d v="1903-12-2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25"/>
    <n v="7.2"/>
    <n v="5.95"/>
  </r>
  <r>
    <x v="14"/>
    <d v="1905-01-15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4"/>
    <n v="7.5"/>
    <n v="6.1"/>
  </r>
  <r>
    <x v="14"/>
    <d v="1903-04-1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2"/>
    <n v="7.25"/>
    <n v="6.05"/>
  </r>
  <r>
    <x v="14"/>
    <d v="1904-05-1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7"/>
    <n v="8.0500000000000007"/>
    <n v="6.35"/>
  </r>
  <r>
    <x v="14"/>
    <d v="1905-08-01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2"/>
    <n v="7.55"/>
    <n v="6.35"/>
  </r>
  <r>
    <x v="14"/>
    <d v="1906-01-14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3.8"/>
    <n v="12.55"/>
    <n v="8.75"/>
  </r>
  <r>
    <x v="14"/>
    <d v="1900-05-04T00:00:00"/>
    <n v="1"/>
    <s v="ООО &quot;Эко Лэнд&quot;"/>
    <s v="ООО &quot;Эко Лэнд&quot;,ЛО, Ломоносовский р-н, п.г.т Большая Ижора, промзона «Бронка-2», квартал 1"/>
    <s v="Н206МН198"/>
    <n v="5.95"/>
    <n v="19.600000000000001"/>
    <n v="13.65"/>
  </r>
  <r>
    <x v="14"/>
    <d v="1905-05-06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5"/>
    <n v="18.75"/>
    <n v="13.75"/>
  </r>
  <r>
    <x v="14"/>
    <d v="1904-12-29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75"/>
    <n v="9.3000000000000007"/>
    <n v="7.55"/>
  </r>
  <r>
    <x v="14"/>
    <d v="1900-07-26T00:00:00"/>
    <n v="1"/>
    <s v="ООО &quot;Эко Лэнд&quot;"/>
    <s v="ООО &quot;Эко Лэнд&quot;,ЛО, Ломоносовский р-н, п.г.т Большая Ижора, промзона «Бронка-2», квартал 1"/>
    <s v="О690НО198"/>
    <n v="6.1"/>
    <n v="21.55"/>
    <n v="15.45"/>
  </r>
  <r>
    <x v="14"/>
    <d v="1902-03-20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95"/>
    <n v="13.2"/>
    <n v="10.25"/>
  </r>
  <r>
    <x v="14"/>
    <d v="1903-01-20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0.9"/>
    <n v="11.55"/>
    <n v="10.65"/>
  </r>
  <r>
    <x v="14"/>
    <d v="1903-11-03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2999999999999998"/>
    <n v="12.65"/>
    <n v="10.35"/>
  </r>
  <r>
    <x v="14"/>
    <d v="1904-09-1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7.15"/>
    <n v="17.45"/>
    <n v="10.3"/>
  </r>
  <r>
    <x v="14"/>
    <d v="1905-10-16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15"/>
    <n v="13.85"/>
    <n v="11.7"/>
  </r>
  <r>
    <x v="14"/>
    <d v="1902-05-02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8"/>
    <n v="6.4"/>
    <n v="5.6"/>
  </r>
  <r>
    <x v="14"/>
    <d v="1903-05-1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1000000000000001"/>
    <n v="6.55"/>
    <n v="5.45"/>
  </r>
  <r>
    <x v="14"/>
    <d v="1945-03-0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4"/>
    <n v="6.9"/>
    <n v="5.5"/>
  </r>
  <r>
    <x v="14"/>
    <d v="1904-05-23T00:00:00"/>
    <n v="1"/>
    <s v="ООО &quot;Эко Лэнд&quot;"/>
    <s v="ООО &quot;Эко Лэнд&quot;,ЛО, Ломоносовский р-н, п.г.т Большая Ижора, промзона «Бронка-2», квартал 1"/>
    <s v="Р067ОТ198"/>
    <n v="5.75"/>
    <n v="17.850000000000001"/>
    <n v="12.1"/>
  </r>
  <r>
    <x v="14"/>
    <d v="1904-07-07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2.0499999999999998"/>
    <n v="18"/>
    <n v="15.95"/>
  </r>
  <r>
    <x v="14"/>
    <d v="1904-12-17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0.75"/>
    <n v="6.35"/>
    <n v="5.6"/>
  </r>
  <r>
    <x v="14"/>
    <d v="1904-06-12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5.25"/>
    <n v="18.8"/>
    <n v="13.55"/>
  </r>
  <r>
    <x v="14"/>
    <d v="1904-03-21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0.85"/>
    <n v="8.65"/>
    <n v="7.8"/>
  </r>
  <r>
    <x v="14"/>
    <d v="1906-02-08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1.9"/>
    <n v="15.85"/>
    <n v="13.95"/>
  </r>
  <r>
    <x v="14"/>
    <d v="1899-12-30T19:12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0.8"/>
    <n v="6.25"/>
    <n v="5.45"/>
  </r>
  <r>
    <x v="14"/>
    <d v="1905-10-22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4.3"/>
    <n v="17.600000000000001"/>
    <n v="13.3"/>
  </r>
  <r>
    <x v="14"/>
    <d v="1903-05-13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7.4"/>
    <n v="26.05"/>
    <n v="18.649999999999999"/>
  </r>
  <r>
    <x v="14"/>
    <d v="1904-10-16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6"/>
    <n v="21.95"/>
    <n v="15.95"/>
  </r>
  <r>
    <x v="14"/>
    <d v="1904-06-27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4.05"/>
    <n v="16.3"/>
    <n v="12.25"/>
  </r>
  <r>
    <x v="14"/>
    <d v="1905-04-16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2.5"/>
    <n v="14.15"/>
    <n v="11.65"/>
  </r>
  <r>
    <x v="14"/>
    <d v="1905-11-01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1.25"/>
    <n v="8.1"/>
    <n v="6.85"/>
  </r>
  <r>
    <x v="14"/>
    <d v="1904-06-11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0.35"/>
    <n v="8.4"/>
    <n v="8.0500000000000007"/>
  </r>
  <r>
    <x v="14"/>
    <d v="1904-03-11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7.25"/>
    <n v="20.7"/>
    <n v="13.45"/>
  </r>
  <r>
    <x v="14"/>
    <d v="1905-10-08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1.05"/>
    <n v="12.4"/>
    <n v="11.35"/>
  </r>
  <r>
    <x v="14"/>
    <d v="1904-10-07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3"/>
    <n v="11.95"/>
    <n v="8.65"/>
  </r>
  <r>
    <x v="14"/>
    <d v="1904-06-27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0.8"/>
    <n v="6.25"/>
    <n v="5.45"/>
  </r>
  <r>
    <x v="14"/>
    <d v="1904-07-02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"/>
    <n v="9.1"/>
    <n v="7.1"/>
  </r>
  <r>
    <x v="14"/>
    <d v="1904-04-04T00:00:00"/>
    <n v="1"/>
    <s v="ООО &quot;Эко Лэнд&quot;"/>
    <s v="ООО &quot;Эко Лэнд&quot;,ЛО, Ломоносовский р-н, п.г.т Большая Ижора, промзона «Бронка-2», квартал 1"/>
    <s v="В036ОТ198"/>
    <n v="4.5999999999999996"/>
    <n v="16.5"/>
    <n v="11.9"/>
  </r>
  <r>
    <x v="14"/>
    <d v="1905-05-02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1.55"/>
    <n v="8.65"/>
    <n v="7.1"/>
  </r>
  <r>
    <x v="14"/>
    <d v="1905-01-19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5.3"/>
    <n v="17"/>
    <n v="11.7"/>
  </r>
  <r>
    <x v="14"/>
    <d v="1902-01-05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2.15"/>
    <n v="10.9"/>
    <n v="8.75"/>
  </r>
  <r>
    <x v="15"/>
    <d v="1900-04-24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5.35"/>
    <n v="18.05"/>
    <n v="12.7"/>
  </r>
  <r>
    <x v="15"/>
    <d v="1904-03-30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75"/>
    <n v="19.399999999999999"/>
    <n v="12.65"/>
  </r>
  <r>
    <x v="15"/>
    <d v="1902-07-03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4.0999999999999996"/>
    <n v="16.45"/>
    <n v="12.35"/>
  </r>
  <r>
    <x v="15"/>
    <d v="1904-06-27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0.6"/>
    <n v="26.6"/>
    <n v="16"/>
  </r>
  <r>
    <x v="15"/>
    <d v="1902-04-05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1.75"/>
    <n v="17"/>
    <n v="15.25"/>
  </r>
  <r>
    <x v="15"/>
    <d v="1903-01-09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1.4"/>
    <n v="16.55"/>
    <n v="15.15"/>
  </r>
  <r>
    <x v="15"/>
    <d v="1902-11-1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2000000000000002"/>
    <n v="17.149999999999999"/>
    <n v="14.95"/>
  </r>
  <r>
    <x v="15"/>
    <d v="1903-09-01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1"/>
    <n v="16.899999999999999"/>
    <n v="14.8"/>
  </r>
  <r>
    <x v="15"/>
    <d v="1903-02-18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8.1"/>
    <n v="24.05"/>
    <n v="15.95"/>
  </r>
  <r>
    <x v="15"/>
    <d v="1903-05-30T00:00:00"/>
    <n v="4"/>
    <s v="ООО &quot;Петро-Васт&quot;"/>
    <s v="ООО &quot;Эко Лэнд&quot;,ЛО, Ломоносовский р-н, п.г.т Большая Ижора, промзона «Бронка-2», квартал 1"/>
    <s v="А506АР147"/>
    <n v="8.9"/>
    <n v="22.95"/>
    <n v="14.05"/>
  </r>
  <r>
    <x v="15"/>
    <d v="1905-08-01T00:00:00"/>
    <n v="4"/>
    <s v="ООО &quot;Петро-Васт&quot;"/>
    <s v="ООО &quot;Эко Лэнд&quot;,ЛО, Ломоносовский р-н, п.г.т Большая Ижора, промзона «Бронка-2», квартал 1"/>
    <s v="А506АР147"/>
    <n v="5.8"/>
    <n v="19.850000000000001"/>
    <n v="14.05"/>
  </r>
  <r>
    <x v="15"/>
    <d v="1904-09-25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6.85"/>
    <n v="22.85"/>
    <n v="16"/>
  </r>
  <r>
    <x v="15"/>
    <d v="1903-06-03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0.050000000000001"/>
    <n v="25.6"/>
    <n v="15.55"/>
  </r>
  <r>
    <x v="15"/>
    <d v="1904-06-02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2.95"/>
    <n v="18.5"/>
    <n v="15.55"/>
  </r>
  <r>
    <x v="15"/>
    <d v="1902-11-11T00:00:00"/>
    <n v="4"/>
    <s v="ООО &quot;Курортный берег&quot;"/>
    <s v="ООО &quot;Эко Лэнд&quot;,ЛО, Ломоносовский р-н, п.г.т Большая Ижора, промзона «Бронка-2», квартал 1"/>
    <s v="Н352МХ"/>
    <n v="15.3"/>
    <n v="41.6"/>
    <n v="26.3"/>
  </r>
  <r>
    <x v="15"/>
    <d v="1902-06-2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85"/>
    <n v="6.8"/>
    <n v="5.95"/>
  </r>
  <r>
    <x v="15"/>
    <d v="1903-02-19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35"/>
    <n v="7.5"/>
    <n v="6.15"/>
  </r>
  <r>
    <x v="15"/>
    <d v="1903-12-25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8"/>
    <n v="7"/>
    <n v="6.2"/>
  </r>
  <r>
    <x v="15"/>
    <d v="1904-09-27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7"/>
    <n v="7.6"/>
    <n v="5.9"/>
  </r>
  <r>
    <x v="15"/>
    <d v="1902-09-27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85"/>
    <n v="8.0500000000000007"/>
    <n v="6.2"/>
  </r>
  <r>
    <x v="15"/>
    <d v="1903-08-22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65"/>
    <n v="7.7"/>
    <n v="6.05"/>
  </r>
  <r>
    <x v="15"/>
    <d v="1904-10-0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5"/>
    <n v="7.6"/>
    <n v="6.1"/>
  </r>
  <r>
    <x v="15"/>
    <d v="1902-01-20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"/>
    <n v="13.25"/>
    <n v="10.25"/>
  </r>
  <r>
    <x v="15"/>
    <d v="1902-11-15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2000000000000002"/>
    <n v="12.15"/>
    <n v="9.9499999999999993"/>
  </r>
  <r>
    <x v="15"/>
    <d v="1903-09-16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1500000000000004"/>
    <n v="14.4"/>
    <n v="10.25"/>
  </r>
  <r>
    <x v="15"/>
    <d v="1904-09-05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"/>
    <n v="12.3"/>
    <n v="10.3"/>
  </r>
  <r>
    <x v="15"/>
    <d v="1905-01-13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1.5"/>
    <n v="13.3"/>
    <n v="11.8"/>
  </r>
  <r>
    <x v="15"/>
    <d v="1902-07-31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8"/>
    <n v="6.45"/>
    <n v="5.65"/>
  </r>
  <r>
    <x v="15"/>
    <d v="1903-05-1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4"/>
    <n v="6.95"/>
    <n v="5.55"/>
  </r>
  <r>
    <x v="15"/>
    <d v="1904-06-15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8"/>
    <n v="7.95"/>
    <n v="6.15"/>
  </r>
  <r>
    <x v="15"/>
    <d v="1905-05-03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6"/>
    <n v="7.15"/>
    <n v="5.55"/>
  </r>
  <r>
    <x v="15"/>
    <d v="1903-05-16T00:00:00"/>
    <n v="1"/>
    <s v="ООО &quot;Эко Лэнд&quot;"/>
    <s v="ООО &quot;Эко Лэнд&quot;,ЛО, Ломоносовский р-н, п.г.т Большая Ижора, промзона «Бронка-2», квартал 1"/>
    <s v="Р100ОВ198"/>
    <n v="8.9499999999999993"/>
    <n v="24.8"/>
    <n v="15.85"/>
  </r>
  <r>
    <x v="15"/>
    <d v="1905-04-15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4"/>
    <n v="12.3"/>
    <n v="8.3000000000000007"/>
  </r>
  <r>
    <x v="15"/>
    <d v="1905-04-28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8.5"/>
    <n v="20.7"/>
    <n v="12.2"/>
  </r>
  <r>
    <x v="15"/>
    <d v="1905-04-23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8.1"/>
    <n v="20.350000000000001"/>
    <n v="12.25"/>
  </r>
  <r>
    <x v="15"/>
    <d v="1904-05-20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3.1"/>
    <n v="18.55"/>
    <n v="15.45"/>
  </r>
  <r>
    <x v="15"/>
    <d v="1905-05-01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3.1"/>
    <n v="11.65"/>
    <n v="8.5500000000000007"/>
  </r>
  <r>
    <x v="15"/>
    <d v="1904-05-18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6.55"/>
    <n v="20.399999999999999"/>
    <n v="13.85"/>
  </r>
  <r>
    <x v="15"/>
    <d v="1905-07-15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0.75"/>
    <n v="8.25"/>
    <n v="7.5"/>
  </r>
  <r>
    <x v="15"/>
    <d v="1902-10-31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11.9"/>
    <n v="25.8"/>
    <n v="13.9"/>
  </r>
  <r>
    <x v="15"/>
    <d v="1904-03-11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1.5"/>
    <n v="15.85"/>
    <n v="14.35"/>
  </r>
  <r>
    <x v="15"/>
    <d v="1906-02-02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5.6"/>
    <n v="19.25"/>
    <n v="13.65"/>
  </r>
  <r>
    <x v="15"/>
    <d v="1905-07-10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6.55"/>
    <n v="20"/>
    <n v="13.45"/>
  </r>
  <r>
    <x v="15"/>
    <d v="1903-07-27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3.4"/>
    <n v="19.649999999999999"/>
    <n v="16.25"/>
  </r>
  <r>
    <x v="15"/>
    <d v="1904-09-21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5.8"/>
    <n v="19.899999999999999"/>
    <n v="14.1"/>
  </r>
  <r>
    <x v="15"/>
    <d v="1905-09-30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1.6"/>
    <n v="8.4499999999999993"/>
    <n v="6.85"/>
  </r>
  <r>
    <x v="15"/>
    <d v="1905-04-07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2.1"/>
    <n v="10.1"/>
    <n v="8"/>
  </r>
  <r>
    <x v="15"/>
    <d v="1905-05-07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7.2"/>
    <n v="20.75"/>
    <n v="13.55"/>
  </r>
  <r>
    <x v="15"/>
    <d v="1903-12-20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7.45"/>
    <n v="21"/>
    <n v="13.55"/>
  </r>
  <r>
    <x v="15"/>
    <d v="1905-03-16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2.95"/>
    <n v="14.45"/>
    <n v="11.5"/>
  </r>
  <r>
    <x v="15"/>
    <d v="1904-12-15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8.1999999999999993"/>
    <n v="24.85"/>
    <n v="16.649999999999999"/>
  </r>
  <r>
    <x v="15"/>
    <d v="1904-12-29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6.15"/>
    <n v="18.5"/>
    <n v="12.35"/>
  </r>
  <r>
    <x v="15"/>
    <d v="1905-01-07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15"/>
    <n v="11.85"/>
    <n v="8.6999999999999993"/>
  </r>
  <r>
    <x v="15"/>
    <d v="1906-01-28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"/>
    <n v="7.35"/>
    <n v="6.35"/>
  </r>
  <r>
    <x v="15"/>
    <d v="1903-09-13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0.9"/>
    <n v="6.35"/>
    <n v="5.45"/>
  </r>
  <r>
    <x v="15"/>
    <d v="1905-04-17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35"/>
    <n v="9.5"/>
    <n v="7.15"/>
  </r>
  <r>
    <x v="15"/>
    <d v="1904-12-27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0.7"/>
    <n v="7.75"/>
    <n v="7.05"/>
  </r>
  <r>
    <x v="15"/>
    <d v="1900-02-02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85"/>
    <n v="12.55"/>
    <n v="8.6999999999999993"/>
  </r>
  <r>
    <x v="16"/>
    <d v="1904-09-20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7"/>
    <n v="19.350000000000001"/>
    <n v="12.65"/>
  </r>
  <r>
    <x v="16"/>
    <d v="1905-10-11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6.5"/>
    <n v="21.95"/>
    <n v="15.45"/>
  </r>
  <r>
    <x v="16"/>
    <d v="1905-07-15T00:00:00"/>
    <n v="4"/>
    <s v="ООО &quot;Петро-Васт&quot;"/>
    <s v="ООО &quot;Эко Лэнд&quot;,ЛО, Ломоносовский р-н, п.г.т Большая Ижора, промзона «Бронка-2», квартал 1"/>
    <s v="А217ХО47"/>
    <n v="5"/>
    <n v="20.95"/>
    <n v="15.95"/>
  </r>
  <r>
    <x v="16"/>
    <d v="1905-05-12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8.5500000000000007"/>
    <n v="24.45"/>
    <n v="15.9"/>
  </r>
  <r>
    <x v="16"/>
    <d v="1902-06-18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1.9"/>
    <n v="17"/>
    <n v="15.1"/>
  </r>
  <r>
    <x v="16"/>
    <d v="1903-02-20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1.8"/>
    <n v="16.649999999999999"/>
    <n v="14.85"/>
  </r>
  <r>
    <x v="16"/>
    <d v="1903-01-09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1.4"/>
    <n v="14.9"/>
    <n v="13.5"/>
  </r>
  <r>
    <x v="16"/>
    <d v="1903-11-15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4.2"/>
    <n v="19.05"/>
    <n v="14.85"/>
  </r>
  <r>
    <x v="16"/>
    <d v="1904-03-19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0.8"/>
    <n v="26.75"/>
    <n v="15.95"/>
  </r>
  <r>
    <x v="16"/>
    <d v="1904-05-23T00:00:00"/>
    <n v="4"/>
    <s v="ООО &quot;Петро-Васт&quot;"/>
    <s v="ООО &quot;Эко Лэнд&quot;,ЛО, Ломоносовский р-н, п.г.т Большая Ижора, промзона «Бронка-2», квартал 1"/>
    <s v="В749УУ47"/>
    <n v="8.4499999999999993"/>
    <n v="24.5"/>
    <n v="16.05"/>
  </r>
  <r>
    <x v="16"/>
    <d v="1903-02-1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9"/>
    <n v="7.75"/>
    <n v="5.85"/>
  </r>
  <r>
    <x v="16"/>
    <d v="1904-09-1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95"/>
    <n v="6.85"/>
    <n v="5.9"/>
  </r>
  <r>
    <x v="16"/>
    <d v="1902-06-2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2"/>
    <n v="7.1"/>
    <n v="5.9"/>
  </r>
  <r>
    <x v="16"/>
    <d v="1903-08-17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35"/>
    <n v="7.35"/>
    <n v="6"/>
  </r>
  <r>
    <x v="16"/>
    <d v="1904-09-2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35"/>
    <n v="7.25"/>
    <n v="5.9"/>
  </r>
  <r>
    <x v="16"/>
    <d v="1906-02-27T00:00:00"/>
    <n v="1"/>
    <s v="ООО &quot;Эко Лэнд&quot;"/>
    <s v="ООО &quot;Эко Лэнд&quot;,ЛО, Ломоносовский р-н, п.г.т Большая Ижора, промзона «Бронка-2», квартал 1"/>
    <s v="М201ХХ198"/>
    <n v="5.05"/>
    <n v="13.3"/>
    <n v="8.25"/>
  </r>
  <r>
    <x v="16"/>
    <d v="1905-01-14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9.4"/>
    <n v="25.1"/>
    <n v="15.7"/>
  </r>
  <r>
    <x v="16"/>
    <d v="1905-04-04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8"/>
    <n v="14.8"/>
    <n v="12"/>
  </r>
  <r>
    <x v="16"/>
    <d v="1905-08-06T00:00:00"/>
    <n v="1"/>
    <s v="ООО &quot;Эко Лэнд&quot;"/>
    <s v="ООО &quot;Эко Лэнд&quot;,ЛО, Ломоносовский р-н, п.г.т Большая Ижора, промзона «Бронка-2», квартал 1"/>
    <s v="О980ТТ198"/>
    <n v="5.55"/>
    <n v="19.2"/>
    <n v="13.65"/>
  </r>
  <r>
    <x v="16"/>
    <d v="1902-07-2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65"/>
    <n v="6.2"/>
    <n v="5.55"/>
  </r>
  <r>
    <x v="16"/>
    <d v="1904-07-01T00:00:00"/>
    <n v="1"/>
    <s v="ООО &quot;Эко Лэнд&quot;"/>
    <s v="ООО &quot;Эко Лэнд&quot;,ЛО, Ломоносовский р-н, п.г.т Большая Ижора, промзона «Бронка-2», квартал 1"/>
    <s v="Р062ОТ198"/>
    <n v="8"/>
    <n v="20.350000000000001"/>
    <n v="12.35"/>
  </r>
  <r>
    <x v="16"/>
    <d v="1905-10-13T00:00:00"/>
    <n v="1"/>
    <s v="ООО &quot;Эко Лэнд&quot;"/>
    <s v="ООО &quot;Эко Лэнд&quot;,ЛО, Ломоносовский р-н, п.г.т Большая Ижора, промзона «Бронка-2», квартал 1"/>
    <s v="Р094МУ198"/>
    <n v="7.5"/>
    <n v="23.2"/>
    <n v="15.7"/>
  </r>
  <r>
    <x v="16"/>
    <d v="1904-04-01T00:00:00"/>
    <n v="1"/>
    <s v="ООО &quot;Эко Лэнд&quot;"/>
    <s v="ООО &quot;Эко Лэнд&quot;,ЛО, Ломоносовский р-н, п.г.т Большая Ижора, промзона «Бронка-2», квартал 1"/>
    <s v="Р100ОВ198"/>
    <n v="12.45"/>
    <n v="28.15"/>
    <n v="15.7"/>
  </r>
  <r>
    <x v="16"/>
    <d v="1905-08-12T00:00:00"/>
    <n v="1"/>
    <s v="ООО &quot;Эко Лэнд&quot;"/>
    <s v="ООО &quot;Эко Лэнд&quot;,ЛО, Ломоносовский р-н, п.г.т Большая Ижора, промзона «Бронка-2», квартал 1"/>
    <s v="Р114ОК198"/>
    <n v="5.95"/>
    <n v="21.5"/>
    <n v="15.55"/>
  </r>
  <r>
    <x v="16"/>
    <d v="1905-06-26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2.5499999999999998"/>
    <n v="10.75"/>
    <n v="8.1999999999999993"/>
  </r>
  <r>
    <x v="16"/>
    <d v="1899-12-30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8.65"/>
    <n v="20.85"/>
    <n v="12.2"/>
  </r>
  <r>
    <x v="16"/>
    <d v="1903-08-22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2.4500000000000002"/>
    <n v="17.8"/>
    <n v="15.35"/>
  </r>
  <r>
    <x v="16"/>
    <d v="1904-10-05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5.65"/>
    <n v="21.25"/>
    <n v="15.6"/>
  </r>
  <r>
    <x v="16"/>
    <d v="1904-06-23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3"/>
    <n v="6.9"/>
    <n v="5.6"/>
  </r>
  <r>
    <x v="16"/>
    <d v="1905-03-16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4"/>
    <n v="8.9499999999999993"/>
    <n v="7.55"/>
  </r>
  <r>
    <x v="16"/>
    <d v="1904-09-22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5.9"/>
    <n v="19.45"/>
    <n v="13.55"/>
  </r>
  <r>
    <x v="16"/>
    <d v="1904-07-09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0.9"/>
    <n v="6.25"/>
    <n v="5.35"/>
  </r>
  <r>
    <x v="16"/>
    <d v="1904-10-13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7.9"/>
    <n v="21.2"/>
    <n v="13.3"/>
  </r>
  <r>
    <x v="16"/>
    <d v="1905-03-24T00:00:00"/>
    <n v="1"/>
    <s v="ООО &quot;Эко Лэнд&quot;"/>
    <s v="ООО &quot;Эко Лэнд&quot;,ЛО, Ломоносовский р-н, п.г.т Большая Ижора, промзона «Бронка-2», квартал 1"/>
    <s v="Р446ОР198"/>
    <n v="7.65"/>
    <n v="21.3"/>
    <n v="13.65"/>
  </r>
  <r>
    <x v="16"/>
    <d v="1904-02-08T00:00:00"/>
    <n v="1"/>
    <s v="ООО &quot;Эко Лэнд&quot;"/>
    <s v="ООО &quot;Эко Лэнд&quot;,ЛО, Ломоносовский р-н, п.г.т Большая Ижора, промзона «Бронка-2», квартал 1"/>
    <s v="Е058НО198"/>
    <n v="7.55"/>
    <n v="19.55"/>
    <n v="12"/>
  </r>
  <r>
    <x v="16"/>
    <d v="1905-04-29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8.0500000000000007"/>
    <n v="20.3"/>
    <n v="12.25"/>
  </r>
  <r>
    <x v="16"/>
    <d v="1900-01-19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3.95"/>
    <n v="15.5"/>
    <n v="11.55"/>
  </r>
  <r>
    <x v="16"/>
    <d v="1905-04-27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5.95"/>
    <n v="19.95"/>
    <n v="14"/>
  </r>
  <r>
    <x v="16"/>
    <d v="1905-04-25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1.1000000000000001"/>
    <n v="7.85"/>
    <n v="6.75"/>
  </r>
  <r>
    <x v="16"/>
    <d v="1905-10-03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1000000000000001"/>
    <n v="8.9499999999999993"/>
    <n v="7.85"/>
  </r>
  <r>
    <x v="16"/>
    <d v="1905-01-23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5.7"/>
    <n v="19.100000000000001"/>
    <n v="13.4"/>
  </r>
  <r>
    <x v="16"/>
    <d v="1904-06-11T00:00:00"/>
    <n v="1"/>
    <s v="ООО &quot;Эко Лэнд&quot;"/>
    <s v="ООО &quot;Эко Лэнд&quot;,ЛО, Ломоносовский р-н, п.г.т Большая Ижора, промзона «Бронка-2», квартал 1"/>
    <s v="О812УТ47"/>
    <n v="7"/>
    <n v="18.8"/>
    <n v="11.8"/>
  </r>
  <r>
    <x v="16"/>
    <d v="1903-12-02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7.05"/>
    <n v="20.45"/>
    <n v="13.4"/>
  </r>
  <r>
    <x v="16"/>
    <d v="1904-03-27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0.35"/>
    <n v="11.7"/>
    <n v="11.35"/>
  </r>
  <r>
    <x v="16"/>
    <d v="1904-06-20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10"/>
    <n v="26.65"/>
    <n v="16.649999999999999"/>
  </r>
  <r>
    <x v="16"/>
    <d v="1904-10-20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6.2"/>
    <n v="18.399999999999999"/>
    <n v="12.2"/>
  </r>
  <r>
    <x v="16"/>
    <d v="1905-05-01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45"/>
    <n v="6.85"/>
    <n v="5.4"/>
  </r>
  <r>
    <x v="16"/>
    <d v="1905-01-28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3"/>
    <n v="12"/>
    <n v="8.6999999999999993"/>
  </r>
  <r>
    <x v="16"/>
    <d v="1905-07-10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.25"/>
    <n v="7.5"/>
    <n v="6.25"/>
  </r>
  <r>
    <x v="16"/>
    <d v="1904-10-18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1.05"/>
    <n v="6.6"/>
    <n v="5.55"/>
  </r>
  <r>
    <x v="16"/>
    <d v="1904-10-21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35"/>
    <n v="9.4"/>
    <n v="7.05"/>
  </r>
  <r>
    <x v="16"/>
    <d v="1904-12-04T00:00:00"/>
    <n v="1"/>
    <s v="ООО &quot;Эко Лэнд&quot;"/>
    <s v="ООО &quot;Эко Лэнд&quot;,ЛО, Ломоносовский р-н, п.г.т Большая Ижора, промзона «Бронка-2», квартал 1"/>
    <s v="В036ОТ198"/>
    <n v="8.5"/>
    <n v="20.350000000000001"/>
    <n v="11.85"/>
  </r>
  <r>
    <x v="16"/>
    <d v="1903-11-06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8.1999999999999993"/>
    <n v="19.7"/>
    <n v="11.5"/>
  </r>
  <r>
    <x v="16"/>
    <d v="1904-05-28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65"/>
    <n v="12.4"/>
    <n v="8.75"/>
  </r>
  <r>
    <x v="17"/>
    <d v="1906-01-21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5"/>
    <n v="19.3"/>
    <n v="12.8"/>
  </r>
  <r>
    <x v="17"/>
    <d v="1903-11-15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10.65"/>
    <n v="23.75"/>
    <n v="13.1"/>
  </r>
  <r>
    <x v="17"/>
    <d v="1904-06-21T00:00:00"/>
    <n v="4"/>
    <s v="ООО &quot;Петро-Васт&quot;"/>
    <s v="ООО &quot;Эко Лэнд&quot;,ЛО, Ломоносовский р-н, п.г.т Большая Ижора, промзона «Бронка-2», квартал 1"/>
    <s v="А030АЕ147"/>
    <n v="6.9"/>
    <n v="23.65"/>
    <n v="16.75"/>
  </r>
  <r>
    <x v="17"/>
    <d v="1905-01-28T00:00:00"/>
    <n v="4"/>
    <s v="ООО &quot;Петро-Васт&quot;"/>
    <s v="ООО &quot;Эко Лэнд&quot;,ЛО, Ломоносовский р-н, п.г.т Большая Ижора, промзона «Бронка-2», квартал 1"/>
    <s v="А309АК147"/>
    <n v="7.05"/>
    <n v="18.05"/>
    <n v="11"/>
  </r>
  <r>
    <x v="17"/>
    <d v="1902-08-02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4"/>
    <n v="17.399999999999999"/>
    <n v="15"/>
  </r>
  <r>
    <x v="17"/>
    <d v="1904-03-20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9.5500000000000007"/>
    <n v="25.5"/>
    <n v="15.95"/>
  </r>
  <r>
    <x v="17"/>
    <d v="1906-05-29T00:00:00"/>
    <n v="4"/>
    <s v="ООО &quot;Петро-Васт&quot;"/>
    <s v="ООО &quot;Эко Лэнд&quot;,ЛО, Ломоносовский р-н, п.г.т Большая Ижора, промзона «Бронка-2», квартал 1"/>
    <s v="А201МК147"/>
    <n v="10"/>
    <n v="25.8"/>
    <n v="15.8"/>
  </r>
  <r>
    <x v="17"/>
    <d v="1902-03-1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45"/>
    <n v="7.3"/>
    <n v="5.85"/>
  </r>
  <r>
    <x v="17"/>
    <d v="1903-05-24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3.45"/>
    <n v="9.4499999999999993"/>
    <n v="6"/>
  </r>
  <r>
    <x v="17"/>
    <d v="1904-07-0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95"/>
    <n v="7"/>
    <n v="6.05"/>
  </r>
  <r>
    <x v="17"/>
    <d v="1905-08-09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6"/>
    <n v="7.75"/>
    <n v="6.15"/>
  </r>
  <r>
    <x v="17"/>
    <d v="1906-06-0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95"/>
    <n v="7.3"/>
    <n v="6.35"/>
  </r>
  <r>
    <x v="17"/>
    <d v="1905-11-05T00:00:00"/>
    <n v="1"/>
    <s v="ООО &quot;Эко Лэнд&quot;"/>
    <s v="ООО &quot;Эко Лэнд&quot;,ЛО, Ломоносовский р-н, п.г.т Большая Ижора, промзона «Бронка-2», квартал 1"/>
    <s v="С929ЕТ198"/>
    <n v="1.7"/>
    <n v="15.45"/>
    <n v="13.75"/>
  </r>
  <r>
    <x v="17"/>
    <d v="1904-06-26T00:00:00"/>
    <n v="1"/>
    <s v="ООО &quot;Эко Лэнд&quot;"/>
    <s v="ООО &quot;Эко Лэнд&quot;,ЛО, Ломоносовский р-н, п.г.т Большая Ижора, промзона «Бронка-2», квартал 1"/>
    <s v="О530АН198"/>
    <n v="2.9"/>
    <n v="15.4"/>
    <n v="12.5"/>
  </r>
  <r>
    <x v="17"/>
    <d v="1902-04-1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3499999999999996"/>
    <n v="14.6"/>
    <n v="10.25"/>
  </r>
  <r>
    <x v="17"/>
    <d v="1903-02-0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1"/>
    <n v="13.3"/>
    <n v="10.199999999999999"/>
  </r>
  <r>
    <x v="17"/>
    <d v="1904-06-1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5.65"/>
    <n v="15.9"/>
    <n v="10.25"/>
  </r>
  <r>
    <x v="17"/>
    <d v="1904-07-16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3.1"/>
    <n v="14.75"/>
    <n v="11.65"/>
  </r>
  <r>
    <x v="17"/>
    <d v="1904-12-12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3.2"/>
    <n v="11.3"/>
    <n v="8.1"/>
  </r>
  <r>
    <x v="17"/>
    <d v="1904-02-10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8.8000000000000007"/>
    <n v="20.8"/>
    <n v="12"/>
  </r>
  <r>
    <x v="17"/>
    <d v="1905-03-15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5.6"/>
    <n v="17.8"/>
    <n v="12.2"/>
  </r>
  <r>
    <x v="17"/>
    <d v="1904-02-23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2.4500000000000002"/>
    <n v="10.95"/>
    <n v="8.5"/>
  </r>
  <r>
    <x v="17"/>
    <d v="1904-06-23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2.15"/>
    <n v="7.75"/>
    <n v="5.6"/>
  </r>
  <r>
    <x v="17"/>
    <d v="1904-10-16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3.55"/>
    <n v="17.149999999999999"/>
    <n v="13.6"/>
  </r>
  <r>
    <x v="17"/>
    <d v="1904-02-09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05"/>
    <n v="7"/>
    <n v="5.95"/>
  </r>
  <r>
    <x v="17"/>
    <d v="1905-03-14T00:00:00"/>
    <n v="1"/>
    <s v="ООО &quot;Эко Лэнд&quot;"/>
    <s v="ООО &quot;Эко Лэнд&quot;,ЛО, Ломоносовский р-н, п.г.т Большая Ижора, промзона «Бронка-2», квартал 1"/>
    <s v="Р054НМ198"/>
    <n v="6.15"/>
    <n v="21.8"/>
    <n v="15.65"/>
  </r>
  <r>
    <x v="17"/>
    <d v="1904-09-04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3.9"/>
    <n v="17.25"/>
    <n v="13.35"/>
  </r>
  <r>
    <x v="17"/>
    <d v="1905-03-19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7.9"/>
    <n v="21.85"/>
    <n v="13.95"/>
  </r>
  <r>
    <x v="17"/>
    <d v="1904-04-04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2.8"/>
    <n v="10.65"/>
    <n v="7.85"/>
  </r>
  <r>
    <x v="17"/>
    <d v="1904-07-06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5.0999999999999996"/>
    <n v="18.45"/>
    <n v="13.35"/>
  </r>
  <r>
    <x v="17"/>
    <d v="1903-08-22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8.6999999999999993"/>
    <n v="22.2"/>
    <n v="13.5"/>
  </r>
  <r>
    <x v="17"/>
    <d v="1904-10-01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3.4"/>
    <n v="14.65"/>
    <n v="11.25"/>
  </r>
  <r>
    <x v="17"/>
    <d v="1904-05-23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11.55"/>
    <n v="28.2"/>
    <n v="16.649999999999999"/>
  </r>
  <r>
    <x v="17"/>
    <d v="1904-05-29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9"/>
    <n v="21.25"/>
    <n v="12.25"/>
  </r>
  <r>
    <x v="17"/>
    <d v="1904-03-04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2.5499999999999998"/>
    <n v="8.0500000000000007"/>
    <n v="5.5"/>
  </r>
  <r>
    <x v="17"/>
    <d v="1906-06-01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4.5999999999999996"/>
    <n v="13.25"/>
    <n v="8.65"/>
  </r>
  <r>
    <x v="17"/>
    <d v="1905-11-10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0.55000000000000004"/>
    <n v="6.75"/>
    <n v="6.2"/>
  </r>
  <r>
    <x v="17"/>
    <d v="1904-09-10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1.8"/>
    <n v="7.4"/>
    <n v="5.6"/>
  </r>
  <r>
    <x v="17"/>
    <d v="1904-06-05T00:00:00"/>
    <n v="1"/>
    <s v="ООО &quot;Эко Лэнд&quot;"/>
    <s v="ООО &quot;Эко Лэнд&quot;,ЛО, Ломоносовский р-н, п.г.т Большая Ижора, промзона «Бронка-2», квартал 1"/>
    <s v="Н274МН198"/>
    <n v="9.0500000000000007"/>
    <n v="22.7"/>
    <n v="13.65"/>
  </r>
  <r>
    <x v="17"/>
    <d v="1903-05-17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3.2"/>
    <n v="10.3"/>
    <n v="7.1"/>
  </r>
  <r>
    <x v="17"/>
    <d v="1905-05-12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25"/>
    <n v="9.25"/>
    <n v="7"/>
  </r>
  <r>
    <x v="17"/>
    <d v="1900-05-31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9"/>
    <n v="12.6"/>
    <n v="8.6999999999999993"/>
  </r>
  <r>
    <x v="17"/>
    <d v="1904-12-08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4"/>
    <n v="12.9"/>
    <n v="8.9"/>
  </r>
  <r>
    <x v="18"/>
    <d v="1903-09-04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25"/>
    <n v="18.899999999999999"/>
    <n v="12.65"/>
  </r>
  <r>
    <x v="18"/>
    <d v="1900-02-10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7.95"/>
    <n v="19.850000000000001"/>
    <n v="11.9"/>
  </r>
  <r>
    <x v="18"/>
    <d v="1904-09-03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6.1"/>
    <n v="17.75"/>
    <n v="11.65"/>
  </r>
  <r>
    <x v="18"/>
    <d v="1905-01-06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4.3499999999999996"/>
    <n v="16.55"/>
    <n v="12.2"/>
  </r>
  <r>
    <x v="18"/>
    <d v="1903-08-26T00:00:00"/>
    <n v="4"/>
    <s v="ООО &quot;Петро-Васт&quot;"/>
    <s v="ООО &quot;Эко Лэнд&quot;,ЛО, Ломоносовский р-н, п.г.т Большая Ижора, промзона «Бронка-2», квартал 1"/>
    <s v="В568СС47"/>
    <n v="8"/>
    <n v="23.1"/>
    <n v="15.1"/>
  </r>
  <r>
    <x v="18"/>
    <d v="1906-02-02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1.6"/>
    <n v="27.45"/>
    <n v="15.85"/>
  </r>
  <r>
    <x v="18"/>
    <d v="1903-04-15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0.8"/>
    <n v="15.95"/>
    <n v="15.15"/>
  </r>
  <r>
    <x v="18"/>
    <d v="1903-11-24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2.2000000000000002"/>
    <n v="17.25"/>
    <n v="15.05"/>
  </r>
  <r>
    <x v="18"/>
    <d v="1902-06-19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1.5"/>
    <n v="16.850000000000001"/>
    <n v="15.35"/>
  </r>
  <r>
    <x v="18"/>
    <d v="1903-08-27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9.1"/>
    <n v="24.55"/>
    <n v="15.45"/>
  </r>
  <r>
    <x v="18"/>
    <d v="1904-06-06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3.05"/>
    <n v="29"/>
    <n v="15.95"/>
  </r>
  <r>
    <x v="18"/>
    <d v="1902-11-09T00:00:00"/>
    <n v="4"/>
    <s v="ООО &quot;Петро-Васт&quot;"/>
    <s v="ООО &quot;Эко Лэнд&quot;,ЛО, Ломоносовский р-н, п.г.т Большая Ижора, промзона «Бронка-2», квартал 1"/>
    <s v="В381РО47"/>
    <n v="10.1"/>
    <n v="26.1"/>
    <n v="16"/>
  </r>
  <r>
    <x v="18"/>
    <d v="1905-11-03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8.35"/>
    <n v="23.8"/>
    <n v="15.45"/>
  </r>
  <r>
    <x v="18"/>
    <d v="1900-08-29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8"/>
    <n v="7.05"/>
    <n v="6.25"/>
  </r>
  <r>
    <x v="18"/>
    <d v="1902-01-1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35"/>
    <n v="7.35"/>
    <n v="6"/>
  </r>
  <r>
    <x v="18"/>
    <d v="1903-05-0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7"/>
    <n v="7.75"/>
    <n v="6.05"/>
  </r>
  <r>
    <x v="18"/>
    <d v="1904-06-27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4"/>
    <n v="7.4"/>
    <n v="6"/>
  </r>
  <r>
    <x v="18"/>
    <d v="1906-02-12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75"/>
    <n v="6.6"/>
    <n v="5.85"/>
  </r>
  <r>
    <x v="18"/>
    <d v="1906-05-19T00:00:00"/>
    <n v="1"/>
    <s v="ООО &quot;Эко Лэнд&quot;"/>
    <s v="ООО &quot;Эко Лэнд&quot;,ЛО, Ломоносовский р-н, п.г.т Большая Ижора, промзона «Бронка-2», квартал 1"/>
    <s v="С926ЕТ198"/>
    <n v="6.2"/>
    <n v="19.850000000000001"/>
    <n v="13.65"/>
  </r>
  <r>
    <x v="18"/>
    <d v="1903-04-26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0.95"/>
    <n v="15"/>
    <n v="14.05"/>
  </r>
  <r>
    <x v="18"/>
    <d v="1906-01-18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5.9"/>
    <n v="19.8"/>
    <n v="13.9"/>
  </r>
  <r>
    <x v="18"/>
    <d v="1905-02-01T00:00:00"/>
    <n v="1"/>
    <s v="ООО &quot;Эко Лэнд&quot;"/>
    <s v="ООО &quot;Эко Лэнд&quot;,ЛО, Ломоносовский р-н, п.г.т Большая Ижора, промзона «Бронка-2», квартал 1"/>
    <s v="С621РО198"/>
    <n v="1.7"/>
    <n v="10.3"/>
    <n v="8.6"/>
  </r>
  <r>
    <x v="18"/>
    <d v="1905-09-30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2.1"/>
    <n v="10.65"/>
    <n v="8.5500000000000007"/>
  </r>
  <r>
    <x v="18"/>
    <d v="1906-01-12T00:00:00"/>
    <n v="1"/>
    <s v="ООО &quot;Эко Лэнд&quot;"/>
    <s v="ООО &quot;Эко Лэнд&quot;,ЛО, Ломоносовский р-н, п.г.т Большая Ижора, промзона «Бронка-2», квартал 1"/>
    <s v="С929ЕТ198"/>
    <n v="2.5499999999999998"/>
    <n v="16.45"/>
    <n v="13.9"/>
  </r>
  <r>
    <x v="18"/>
    <d v="1903-11-28T00:00:00"/>
    <n v="1"/>
    <s v="ООО &quot;Эко Лэнд&quot;"/>
    <s v="ООО &quot;Эко Лэнд&quot;,ЛО, Ломоносовский р-н, п.г.т Большая Ижора, промзона «Бронка-2», квартал 1"/>
    <s v="О753НН198"/>
    <n v="6.95"/>
    <n v="22.2"/>
    <n v="15.25"/>
  </r>
  <r>
    <x v="18"/>
    <d v="1905-01-17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8"/>
    <n v="15"/>
    <n v="10.199999999999999"/>
  </r>
  <r>
    <x v="18"/>
    <d v="1902-06-2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"/>
    <n v="6.6"/>
    <n v="5.6"/>
  </r>
  <r>
    <x v="18"/>
    <d v="1903-08-06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5"/>
    <n v="6.95"/>
    <n v="5.45"/>
  </r>
  <r>
    <x v="18"/>
    <d v="1904-09-16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2"/>
    <n v="6.75"/>
    <n v="5.55"/>
  </r>
  <r>
    <x v="18"/>
    <d v="1905-11-08T00:00:00"/>
    <n v="1"/>
    <s v="ООО &quot;Эко Лэнд&quot;"/>
    <s v="ООО &quot;Эко Лэнд&quot;,ЛО, Ломоносовский р-н, п.г.т Большая Ижора, промзона «Бронка-2», квартал 1"/>
    <s v="Р062ОТ198"/>
    <n v="6.7"/>
    <n v="18.899999999999999"/>
    <n v="12.2"/>
  </r>
  <r>
    <x v="18"/>
    <d v="1906-01-08T00:00:00"/>
    <n v="1"/>
    <s v="ООО &quot;Эко Лэнд&quot;"/>
    <s v="ООО &quot;Эко Лэнд&quot;,ЛО, Ломоносовский р-н, п.г.т Большая Ижора, промзона «Бронка-2», квартал 1"/>
    <s v="Р114ОК198"/>
    <n v="10.75"/>
    <n v="26.3"/>
    <n v="15.55"/>
  </r>
  <r>
    <x v="18"/>
    <d v="1905-10-10T00:00:00"/>
    <n v="1"/>
    <s v="ООО &quot;Эко Лэнд&quot;"/>
    <s v="ООО &quot;Эко Лэнд&quot;,ЛО, Ломоносовский р-н, п.г.т Большая Ижора, промзона «Бронка-2», квартал 1"/>
    <s v="С214ТЕ178"/>
    <n v="3.2"/>
    <n v="14.1"/>
    <n v="10.9"/>
  </r>
  <r>
    <x v="18"/>
    <d v="1905-11-20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2.2000000000000002"/>
    <n v="10.35"/>
    <n v="8.15"/>
  </r>
  <r>
    <x v="18"/>
    <d v="1905-10-27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5.4"/>
    <n v="17.45"/>
    <n v="12.05"/>
  </r>
  <r>
    <x v="18"/>
    <d v="1904-07-04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1.65"/>
    <n v="16.95"/>
    <n v="15.3"/>
  </r>
  <r>
    <x v="18"/>
    <d v="1904-10-15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45"/>
    <n v="7.4"/>
    <n v="5.95"/>
  </r>
  <r>
    <x v="18"/>
    <d v="1904-06-01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3.05"/>
    <n v="16.7"/>
    <n v="13.65"/>
  </r>
  <r>
    <x v="18"/>
    <d v="1905-07-01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2.1"/>
    <n v="9.4499999999999993"/>
    <n v="7.35"/>
  </r>
  <r>
    <x v="18"/>
    <d v="1902-10-03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0.95"/>
    <n v="16.55"/>
    <n v="15.6"/>
  </r>
  <r>
    <x v="18"/>
    <d v="1903-08-02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3.95"/>
    <n v="17.899999999999999"/>
    <n v="13.95"/>
  </r>
  <r>
    <x v="18"/>
    <d v="1906-02-17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8.35"/>
    <n v="21.8"/>
    <n v="13.45"/>
  </r>
  <r>
    <x v="18"/>
    <d v="1905-03-25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8"/>
    <n v="7.15"/>
    <n v="5.35"/>
  </r>
  <r>
    <x v="18"/>
    <d v="1904-02-25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7.8"/>
    <n v="21.1"/>
    <n v="13.3"/>
  </r>
  <r>
    <x v="18"/>
    <d v="1904-09-24T00:00:00"/>
    <n v="1"/>
    <s v="ООО &quot;Эко Лэнд&quot;"/>
    <s v="ООО &quot;Эко Лэнд&quot;,ЛО, Ломоносовский р-н, п.г.т Большая Ижора, промзона «Бронка-2», квартал 1"/>
    <s v="Р730ОН198"/>
    <n v="9.65"/>
    <n v="25.25"/>
    <n v="15.6"/>
  </r>
  <r>
    <x v="18"/>
    <d v="1904-12-04T00:00:00"/>
    <n v="1"/>
    <s v="ООО &quot;Эко Лэнд&quot;"/>
    <s v="ООО &quot;Эко Лэнд&quot;,ЛО, Ломоносовский р-н, п.г.т Большая Ижора, промзона «Бронка-2», квартал 1"/>
    <s v="Н143ОА198"/>
    <n v="2"/>
    <n v="9.6999999999999993"/>
    <n v="7.7"/>
  </r>
  <r>
    <x v="18"/>
    <d v="1905-06-23T00:00:00"/>
    <n v="1"/>
    <s v="ООО &quot;Эко Лэнд&quot;"/>
    <s v="ООО &quot;Эко Лэнд&quot;,ЛО, Ломоносовский р-н, п.г.т Большая Ижора, промзона «Бронка-2», квартал 1"/>
    <s v="Р851ОХ198"/>
    <n v="2.35"/>
    <n v="9.15"/>
    <n v="6.8"/>
  </r>
  <r>
    <x v="18"/>
    <d v="1905-08-17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2.4"/>
    <n v="14.65"/>
    <n v="12.25"/>
  </r>
  <r>
    <x v="18"/>
    <d v="1905-07-28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2.25"/>
    <n v="13.8"/>
    <n v="11.55"/>
  </r>
  <r>
    <x v="18"/>
    <d v="1904-10-14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8.25"/>
    <n v="22.3"/>
    <n v="14.05"/>
  </r>
  <r>
    <x v="18"/>
    <d v="1904-12-05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1000000000000001"/>
    <n v="9"/>
    <n v="7.9"/>
  </r>
  <r>
    <x v="18"/>
    <d v="1904-06-03T00:00:00"/>
    <n v="1"/>
    <s v="ООО &quot;Эко Лэнд&quot;"/>
    <s v="ООО &quot;Эко Лэнд&quot;,ЛО, Ломоносовский р-н, п.г.т Большая Ижора, промзона «Бронка-2», квартал 1"/>
    <s v="Р788НО198"/>
    <n v="11.2"/>
    <n v="26.75"/>
    <n v="15.55"/>
  </r>
  <r>
    <x v="18"/>
    <d v="1904-05-26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7.85"/>
    <n v="21.15"/>
    <n v="13.3"/>
  </r>
  <r>
    <x v="18"/>
    <d v="1905-05-10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1.35"/>
    <n v="12.55"/>
    <n v="11.2"/>
  </r>
  <r>
    <x v="18"/>
    <d v="1906-02-10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0.8"/>
    <n v="17.399999999999999"/>
    <n v="16.600000000000001"/>
  </r>
  <r>
    <x v="18"/>
    <d v="1905-03-22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6.25"/>
    <n v="18.5"/>
    <n v="12.25"/>
  </r>
  <r>
    <x v="18"/>
    <d v="1904-09-20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2"/>
    <n v="6.7"/>
    <n v="5.5"/>
  </r>
  <r>
    <x v="18"/>
    <d v="1906-02-14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2.85"/>
    <n v="11.4"/>
    <n v="8.5500000000000007"/>
  </r>
  <r>
    <x v="18"/>
    <d v="1906-01-13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5499999999999998"/>
    <n v="11.2"/>
    <n v="8.65"/>
  </r>
  <r>
    <x v="18"/>
    <d v="1904-06-05T00:00:00"/>
    <n v="1"/>
    <s v="ООО &quot;Эко Лэнд&quot;"/>
    <s v="ООО &quot;Эко Лэнд&quot;,ЛО, Ломоносовский р-н, п.г.т Большая Ижора, промзона «Бронка-2», квартал 1"/>
    <s v="С372РО198"/>
    <n v="3.4"/>
    <n v="11.95"/>
    <n v="8.5500000000000007"/>
  </r>
  <r>
    <x v="18"/>
    <d v="1906-01-16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.85"/>
    <n v="8.0500000000000007"/>
    <n v="6.2"/>
  </r>
  <r>
    <x v="18"/>
    <d v="1904-05-19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1.4"/>
    <n v="7.1"/>
    <n v="5.7"/>
  </r>
  <r>
    <x v="18"/>
    <d v="1901-07-08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35"/>
    <n v="12.4"/>
    <n v="9.0500000000000007"/>
  </r>
  <r>
    <x v="19"/>
    <d v="1900-02-02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65"/>
    <n v="19.25"/>
    <n v="12.6"/>
  </r>
  <r>
    <x v="19"/>
    <d v="1905-04-23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7.4"/>
    <n v="20.100000000000001"/>
    <n v="12.7"/>
  </r>
  <r>
    <x v="19"/>
    <d v="1905-11-09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0.050000000000001"/>
    <n v="25.95"/>
    <n v="15.9"/>
  </r>
  <r>
    <x v="19"/>
    <d v="1902-10-04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4.5999999999999996"/>
    <n v="19.899999999999999"/>
    <n v="15.3"/>
  </r>
  <r>
    <x v="19"/>
    <d v="1903-05-24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2.65"/>
    <n v="17.8"/>
    <n v="15.15"/>
  </r>
  <r>
    <x v="19"/>
    <d v="1902-10-26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1.75"/>
    <n v="16.8"/>
    <n v="15.05"/>
  </r>
  <r>
    <x v="19"/>
    <d v="1903-05-26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1.85"/>
    <n v="16.899999999999999"/>
    <n v="15.05"/>
  </r>
  <r>
    <x v="19"/>
    <d v="1904-10-14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7.2"/>
    <n v="22.6"/>
    <n v="15.4"/>
  </r>
  <r>
    <x v="19"/>
    <d v="1903-08-12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0.55"/>
    <n v="26.55"/>
    <n v="16"/>
  </r>
  <r>
    <x v="19"/>
    <d v="1905-06-23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9.4499999999999993"/>
    <n v="25.35"/>
    <n v="15.9"/>
  </r>
  <r>
    <x v="19"/>
    <d v="1905-06-25T00:00:00"/>
    <n v="4"/>
    <s v="ООО &quot;Петро-Васт&quot;"/>
    <s v="ООО &quot;Эко Лэнд&quot;,ЛО, Ломоносовский р-н, п.г.т Большая Ижора, промзона «Бронка-2», квартал 1"/>
    <s v="О739СХ47"/>
    <n v="10.8"/>
    <n v="26"/>
    <n v="15.2"/>
  </r>
  <r>
    <x v="19"/>
    <d v="1900-04-19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"/>
    <n v="7.15"/>
    <n v="6.15"/>
  </r>
  <r>
    <x v="19"/>
    <d v="1900-12-14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"/>
    <n v="7.1"/>
    <n v="6.1"/>
  </r>
  <r>
    <x v="19"/>
    <d v="1902-09-2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3"/>
    <n v="7.45"/>
    <n v="6.15"/>
  </r>
  <r>
    <x v="19"/>
    <d v="1903-08-1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45"/>
    <n v="6.6"/>
    <n v="6.15"/>
  </r>
  <r>
    <x v="19"/>
    <d v="1901-09-07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0499999999999998"/>
    <n v="7.9"/>
    <n v="5.85"/>
  </r>
  <r>
    <x v="19"/>
    <d v="1902-08-07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3.25"/>
    <n v="9.4499999999999993"/>
    <n v="6.2"/>
  </r>
  <r>
    <x v="19"/>
    <d v="1903-08-0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35"/>
    <n v="7.8"/>
    <n v="6.45"/>
  </r>
  <r>
    <x v="19"/>
    <d v="1905-08-11T00:00:00"/>
    <n v="1"/>
    <s v="ООО &quot;Эко Лэнд&quot;"/>
    <s v="ООО &quot;Эко Лэнд&quot;,ЛО, Ломоносовский р-н, п.г.т Большая Ижора, промзона «Бронка-2», квартал 1"/>
    <s v="С926ЕТ198"/>
    <n v="1.3"/>
    <n v="14.85"/>
    <n v="13.55"/>
  </r>
  <r>
    <x v="19"/>
    <d v="1901-06-05T00:00:00"/>
    <n v="1"/>
    <s v="ООО &quot;Эко Лэнд&quot;"/>
    <s v="ООО &quot;Эко Лэнд&quot;,ЛО, Ломоносовский р-н, п.г.т Большая Ижора, промзона «Бронка-2», квартал 1"/>
    <s v="М201ХХ198"/>
    <n v="1.55"/>
    <n v="9.85"/>
    <n v="8.3000000000000007"/>
  </r>
  <r>
    <x v="19"/>
    <d v="1903-08-03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5.0999999999999996"/>
    <n v="19"/>
    <n v="13.9"/>
  </r>
  <r>
    <x v="19"/>
    <d v="1906-05-27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4.1500000000000004"/>
    <n v="17.899999999999999"/>
    <n v="13.75"/>
  </r>
  <r>
    <x v="19"/>
    <d v="1905-05-10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3.4"/>
    <n v="11.95"/>
    <n v="8.5500000000000007"/>
  </r>
  <r>
    <x v="19"/>
    <d v="1900-05-02T00:00:00"/>
    <n v="1"/>
    <s v="ООО &quot;Эко Лэнд&quot;"/>
    <s v="ООО &quot;Эко Лэнд&quot;,ЛО, Ломоносовский р-н, п.г.т Большая Ижора, промзона «Бронка-2», квартал 1"/>
    <s v="О857УН47"/>
    <n v="4.1500000000000004"/>
    <n v="20.85"/>
    <n v="16.7"/>
  </r>
  <r>
    <x v="19"/>
    <d v="1902-09-2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7"/>
    <n v="6.2"/>
    <n v="5.5"/>
  </r>
  <r>
    <x v="19"/>
    <d v="1903-06-10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75"/>
    <n v="7.4"/>
    <n v="5.65"/>
  </r>
  <r>
    <x v="19"/>
    <d v="1904-03-25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2.9"/>
    <n v="8.15"/>
    <n v="5.25"/>
  </r>
  <r>
    <x v="19"/>
    <d v="1900-04-22T00:00:00"/>
    <n v="1"/>
    <s v="ООО &quot;Эко Лэнд&quot;"/>
    <s v="ООО &quot;Эко Лэнд&quot;,ЛО, Ломоносовский р-н, п.г.т Большая Ижора, промзона «Бронка-2», квартал 1"/>
    <s v="Р067ОТ198"/>
    <n v="7.5"/>
    <n v="19.600000000000001"/>
    <n v="12.1"/>
  </r>
  <r>
    <x v="19"/>
    <d v="1905-10-27T00:00:00"/>
    <n v="1"/>
    <s v="ООО &quot;Эко Лэнд&quot;"/>
    <s v="ООО &quot;Эко Лэнд&quot;,ЛО, Ломоносовский р-н, п.г.т Большая Ижора, промзона «Бронка-2», квартал 1"/>
    <s v="С214ТЕ178"/>
    <n v="3.45"/>
    <n v="14.3"/>
    <n v="10.85"/>
  </r>
  <r>
    <x v="19"/>
    <d v="1905-11-22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1"/>
    <n v="9.1999999999999993"/>
    <n v="8.1999999999999993"/>
  </r>
  <r>
    <x v="19"/>
    <d v="1905-11-11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7"/>
    <n v="19.350000000000001"/>
    <n v="12.35"/>
  </r>
  <r>
    <x v="19"/>
    <d v="1903-12-11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1.05"/>
    <n v="16.3"/>
    <n v="15.25"/>
  </r>
  <r>
    <x v="19"/>
    <d v="1905-10-12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2"/>
    <n v="7.3"/>
    <n v="6.1"/>
  </r>
  <r>
    <x v="19"/>
    <d v="1904-07-01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6.15"/>
    <n v="19.899999999999999"/>
    <n v="13.75"/>
  </r>
  <r>
    <x v="19"/>
    <d v="1906-01-25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0.75"/>
    <n v="8.0500000000000007"/>
    <n v="7.3"/>
  </r>
  <r>
    <x v="19"/>
    <d v="1903-07-28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4.2"/>
    <n v="18.350000000000001"/>
    <n v="14.15"/>
  </r>
  <r>
    <x v="19"/>
    <d v="1904-05-26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2.2999999999999998"/>
    <n v="16.399999999999999"/>
    <n v="14.1"/>
  </r>
  <r>
    <x v="19"/>
    <d v="1905-01-24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3.1"/>
    <n v="17.100000000000001"/>
    <n v="14"/>
  </r>
  <r>
    <x v="19"/>
    <d v="1904-12-24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0.75"/>
    <n v="6.4"/>
    <n v="5.65"/>
  </r>
  <r>
    <x v="19"/>
    <d v="1904-10-09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8.35"/>
    <n v="21.85"/>
    <n v="13.5"/>
  </r>
  <r>
    <x v="19"/>
    <d v="1902-08-05T00:00:00"/>
    <n v="1"/>
    <s v="ООО &quot;Эко Лэнд&quot;"/>
    <s v="ООО &quot;Эко Лэнд&quot;,ЛО, Ломоносовский р-н, п.г.т Большая Ижора, промзона «Бронка-2», квартал 1"/>
    <s v="В143КН178"/>
    <n v="0.9"/>
    <n v="14.3"/>
    <n v="13.4"/>
  </r>
  <r>
    <x v="19"/>
    <d v="1904-04-03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5.95"/>
    <n v="21.75"/>
    <n v="15.8"/>
  </r>
  <r>
    <x v="19"/>
    <d v="1906-01-15T00:00:00"/>
    <n v="1"/>
    <s v="ООО &quot;Эко Лэнд&quot;"/>
    <s v="ООО &quot;Эко Лэнд&quot;,ЛО, Ломоносовский р-н, п.г.т Большая Ижора, промзона «Бронка-2», квартал 1"/>
    <s v="Р851ОХ198"/>
    <n v="1.4"/>
    <n v="8.15"/>
    <n v="6.75"/>
  </r>
  <r>
    <x v="19"/>
    <d v="1904-06-13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3.65"/>
    <n v="16"/>
    <n v="12.35"/>
  </r>
  <r>
    <x v="19"/>
    <d v="1904-10-13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5.15"/>
    <n v="16.7"/>
    <n v="11.55"/>
  </r>
  <r>
    <x v="19"/>
    <d v="1904-12-25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8.9499999999999993"/>
    <n v="22.9"/>
    <n v="13.95"/>
  </r>
  <r>
    <x v="19"/>
    <d v="1904-10-10T00:00:00"/>
    <n v="1"/>
    <s v="ООО &quot;Эко Лэнд&quot;"/>
    <s v="ООО &quot;Эко Лэнд&quot;,ЛО, Ломоносовский р-н, п.г.т Большая Ижора, промзона «Бронка-2», квартал 1"/>
    <s v="Р181МУ198"/>
    <n v="3.15"/>
    <n v="9.9499999999999993"/>
    <n v="6.8"/>
  </r>
  <r>
    <x v="19"/>
    <d v="1900-01-21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2.0499999999999998"/>
    <n v="8.8000000000000007"/>
    <n v="6.75"/>
  </r>
  <r>
    <x v="19"/>
    <d v="1905-05-01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"/>
    <n v="8.85"/>
    <n v="7.85"/>
  </r>
  <r>
    <x v="19"/>
    <d v="1904-10-21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4.9000000000000004"/>
    <n v="18.3"/>
    <n v="13.4"/>
  </r>
  <r>
    <x v="19"/>
    <d v="1904-10-17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2.2000000000000002"/>
    <n v="13.55"/>
    <n v="11.35"/>
  </r>
  <r>
    <x v="19"/>
    <d v="1904-03-07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11.15"/>
    <n v="27.75"/>
    <n v="16.600000000000001"/>
  </r>
  <r>
    <x v="19"/>
    <d v="1905-04-03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2.15"/>
    <n v="14.35"/>
    <n v="12.2"/>
  </r>
  <r>
    <x v="19"/>
    <d v="1905-07-23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4"/>
    <n v="11.05"/>
    <n v="8.65"/>
  </r>
  <r>
    <x v="19"/>
    <d v="1905-08-05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.95"/>
    <n v="8.1"/>
    <n v="6.15"/>
  </r>
  <r>
    <x v="19"/>
    <d v="1904-12-28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0.5"/>
    <n v="6"/>
    <n v="5.5"/>
  </r>
  <r>
    <x v="19"/>
    <d v="1905-10-28T00:00:00"/>
    <n v="1"/>
    <s v="ООО &quot;Эко Лэнд&quot;"/>
    <s v="ООО &quot;Эко Лэнд&quot;,ЛО, Ломоносовский р-н, п.г.т Большая Ижора, промзона «Бронка-2», квартал 1"/>
    <s v="В036ОТ198"/>
    <n v="2.4500000000000002"/>
    <n v="14.3"/>
    <n v="11.85"/>
  </r>
  <r>
    <x v="19"/>
    <d v="1906-02-01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1.35"/>
    <n v="8.4"/>
    <n v="7.05"/>
  </r>
  <r>
    <x v="19"/>
    <d v="1903-11-24T00:00:00"/>
    <n v="1"/>
    <s v="ООО &quot;Эко Лэнд&quot;"/>
    <s v="ООО &quot;Эко Лэнд&quot;,ЛО, Ломоносовский р-н, п.г.т Большая Ижора, промзона «Бронка-2», квартал 1"/>
    <s v="Р182ОТ198"/>
    <n v="2.2999999999999998"/>
    <n v="9.1"/>
    <n v="6.8"/>
  </r>
  <r>
    <x v="19"/>
    <d v="1901-05-23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35"/>
    <n v="12.4"/>
    <n v="9.0500000000000007"/>
  </r>
  <r>
    <x v="19"/>
    <d v="1899-12-30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4.8"/>
    <n v="13.5"/>
    <n v="8.6999999999999993"/>
  </r>
  <r>
    <x v="20"/>
    <d v="1905-01-25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7.85"/>
    <n v="23.25"/>
    <n v="15.4"/>
  </r>
  <r>
    <x v="20"/>
    <d v="1900-02-13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7.15"/>
    <n v="18.75"/>
    <n v="11.6"/>
  </r>
  <r>
    <x v="20"/>
    <d v="1905-05-09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8"/>
    <n v="19.649999999999999"/>
    <n v="11.65"/>
  </r>
  <r>
    <x v="20"/>
    <d v="1901-12-31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5.9"/>
    <n v="18.399999999999999"/>
    <n v="12.5"/>
  </r>
  <r>
    <x v="20"/>
    <d v="1905-03-19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7.6"/>
    <n v="23.5"/>
    <n v="15.9"/>
  </r>
  <r>
    <x v="20"/>
    <d v="1902-06-18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1.9"/>
    <n v="17.100000000000001"/>
    <n v="15.2"/>
  </r>
  <r>
    <x v="20"/>
    <d v="1903-02-18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3.2"/>
    <n v="18.3"/>
    <n v="15.1"/>
  </r>
  <r>
    <x v="20"/>
    <d v="1903-02-1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3.4"/>
    <n v="18.75"/>
    <n v="15.35"/>
  </r>
  <r>
    <x v="20"/>
    <d v="1903-09-07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3.9"/>
    <n v="19"/>
    <n v="15.1"/>
  </r>
  <r>
    <x v="20"/>
    <d v="1904-03-21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8.65"/>
    <n v="24.1"/>
    <n v="15.45"/>
  </r>
  <r>
    <x v="20"/>
    <d v="1905-06-22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0.25"/>
    <n v="26.2"/>
    <n v="15.95"/>
  </r>
  <r>
    <x v="20"/>
    <d v="1903-12-04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7.55"/>
    <n v="23.1"/>
    <n v="15.55"/>
  </r>
  <r>
    <x v="20"/>
    <d v="1903-07-23T00:00:00"/>
    <n v="4"/>
    <s v="ООО &quot;Петро-Васт&quot;"/>
    <s v="ООО &quot;Эко Лэнд&quot;,ЛО, Ломоносовский р-н, п.г.т Большая Ижора, промзона «Бронка-2», квартал 1"/>
    <s v="В749УУ47"/>
    <n v="9.5500000000000007"/>
    <n v="25.8"/>
    <n v="16.25"/>
  </r>
  <r>
    <x v="20"/>
    <d v="1904-10-05T00:00:00"/>
    <n v="4"/>
    <s v="ООО &quot;Петро-Васт&quot;"/>
    <s v="ООО &quot;Эко Лэнд&quot;,ЛО, Ломоносовский р-н, п.г.т Большая Ижора, промзона «Бронка-2», квартал 1"/>
    <s v="В749УУ47"/>
    <n v="5.35"/>
    <n v="21.5"/>
    <n v="16.149999999999999"/>
  </r>
  <r>
    <x v="20"/>
    <d v="1905-07-15T00:00:00"/>
    <n v="4"/>
    <s v="ООО &quot;Петро-Васт&quot;"/>
    <s v="ООО &quot;Эко Лэнд&quot;,ЛО, Ломоносовский р-н, п.г.т Большая Ижора, промзона «Бронка-2», квартал 1"/>
    <s v="О891ХН47"/>
    <n v="8.0500000000000007"/>
    <n v="21.6"/>
    <n v="13.55"/>
  </r>
  <r>
    <x v="20"/>
    <d v="1902-03-3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5"/>
    <n v="7.85"/>
    <n v="6"/>
  </r>
  <r>
    <x v="20"/>
    <d v="1903-04-24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5"/>
    <n v="8"/>
    <n v="6.15"/>
  </r>
  <r>
    <x v="20"/>
    <d v="1904-09-0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6"/>
    <n v="7.6"/>
    <n v="6"/>
  </r>
  <r>
    <x v="20"/>
    <d v="1903-11-2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1"/>
    <n v="8.4499999999999993"/>
    <n v="6.35"/>
  </r>
  <r>
    <x v="20"/>
    <d v="1905-06-25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1000000000000001"/>
    <n v="7.45"/>
    <n v="6.35"/>
  </r>
  <r>
    <x v="20"/>
    <d v="1905-08-08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3.4"/>
    <n v="15"/>
    <n v="11.6"/>
  </r>
  <r>
    <x v="20"/>
    <d v="1904-03-2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2"/>
    <n v="6.75"/>
    <n v="5.55"/>
  </r>
  <r>
    <x v="20"/>
    <d v="1905-01-0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7"/>
    <n v="7.35"/>
    <n v="5.65"/>
  </r>
  <r>
    <x v="20"/>
    <d v="1905-08-0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05"/>
    <n v="6.4"/>
    <n v="5.35"/>
  </r>
  <r>
    <x v="20"/>
    <d v="1904-02-18T00:00:00"/>
    <n v="1"/>
    <s v="ООО &quot;Эко Лэнд&quot;"/>
    <s v="ООО &quot;Эко Лэнд&quot;,ЛО, Ломоносовский р-н, п.г.т Большая Ижора, промзона «Бронка-2», квартал 1"/>
    <s v="Р113КХ198"/>
    <n v="7.3"/>
    <n v="19.649999999999999"/>
    <n v="12.35"/>
  </r>
  <r>
    <x v="20"/>
    <d v="1901-09-10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1.8"/>
    <n v="10"/>
    <n v="8.1999999999999993"/>
  </r>
  <r>
    <x v="20"/>
    <d v="1903-12-20T00:00:00"/>
    <n v="1"/>
    <s v="ООО &quot;Эко Лэнд&quot;"/>
    <s v="ООО &quot;Эко Лэнд&quot;,ЛО, Ломоносовский р-н, п.г.т Большая Ижора, промзона «Бронка-2», квартал 1"/>
    <s v="Н914МЕ198"/>
    <n v="6.05"/>
    <n v="19.8"/>
    <n v="13.75"/>
  </r>
  <r>
    <x v="20"/>
    <d v="1900-05-22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3.9"/>
    <n v="15.8"/>
    <n v="11.9"/>
  </r>
  <r>
    <x v="20"/>
    <d v="1905-04-11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5.05"/>
    <n v="17"/>
    <n v="11.95"/>
  </r>
  <r>
    <x v="20"/>
    <d v="1902-04-23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5.45"/>
    <n v="17.7"/>
    <n v="12.25"/>
  </r>
  <r>
    <x v="20"/>
    <d v="1904-08-31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8"/>
    <n v="20.149999999999999"/>
    <n v="12.15"/>
  </r>
  <r>
    <x v="20"/>
    <d v="1906-02-26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4"/>
    <n v="16.2"/>
    <n v="12.2"/>
  </r>
  <r>
    <x v="20"/>
    <d v="1904-05-31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3.7"/>
    <n v="19.100000000000001"/>
    <n v="15.4"/>
  </r>
  <r>
    <x v="20"/>
    <d v="1902-11-05T00:00:00"/>
    <n v="1"/>
    <s v="ООО &quot;Эко Лэнд&quot;"/>
    <s v="ООО &quot;Эко Лэнд&quot;,ЛО, Ломоносовский р-н, п.г.т Большая Ижора, промзона «Бронка-2», квартал 1"/>
    <s v="О889УТ47"/>
    <n v="1.55"/>
    <n v="17.5"/>
    <n v="15.95"/>
  </r>
  <r>
    <x v="20"/>
    <d v="1903-11-07T00:00:00"/>
    <n v="1"/>
    <s v="ООО &quot;Эко Лэнд&quot;"/>
    <s v="ООО &quot;Эко Лэнд&quot;,ЛО, Ломоносовский р-н, п.г.т Большая Ижора, промзона «Бронка-2», квартал 1"/>
    <s v="О889УТ47"/>
    <n v="2.2000000000000002"/>
    <n v="18.05"/>
    <n v="15.85"/>
  </r>
  <r>
    <x v="20"/>
    <d v="1905-03-22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8"/>
    <n v="7.7"/>
    <n v="5.9"/>
  </r>
  <r>
    <x v="20"/>
    <d v="1904-03-29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3.25"/>
    <n v="17"/>
    <n v="13.75"/>
  </r>
  <r>
    <x v="20"/>
    <d v="1905-03-26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1000000000000001"/>
    <n v="8.5500000000000007"/>
    <n v="7.45"/>
  </r>
  <r>
    <x v="20"/>
    <d v="1903-08-24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2.95"/>
    <n v="16.95"/>
    <n v="14"/>
  </r>
  <r>
    <x v="20"/>
    <d v="1904-07-02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2.6"/>
    <n v="16.8"/>
    <n v="14.2"/>
  </r>
  <r>
    <x v="20"/>
    <d v="1904-09-07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2"/>
    <n v="7.65"/>
    <n v="5.65"/>
  </r>
  <r>
    <x v="20"/>
    <d v="1904-09-15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5.2"/>
    <n v="18.600000000000001"/>
    <n v="13.4"/>
  </r>
  <r>
    <x v="20"/>
    <d v="1903-01-04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5.75"/>
    <n v="23.85"/>
    <n v="18.100000000000001"/>
  </r>
  <r>
    <x v="20"/>
    <d v="1903-08-20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4.3499999999999996"/>
    <n v="20.6"/>
    <n v="16.25"/>
  </r>
  <r>
    <x v="20"/>
    <d v="1904-06-17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4.8"/>
    <n v="20.9"/>
    <n v="16.100000000000001"/>
  </r>
  <r>
    <x v="20"/>
    <d v="1906-04-21T00:00:00"/>
    <n v="1"/>
    <s v="ООО &quot;Эко Лэнд&quot;"/>
    <s v="ООО &quot;Эко Лэнд&quot;,ЛО, Ломоносовский р-н, п.г.т Большая Ижора, промзона «Бронка-2», квартал 1"/>
    <s v="Р851ОХ198"/>
    <n v="1.35"/>
    <n v="8.15"/>
    <n v="6.8"/>
  </r>
  <r>
    <x v="20"/>
    <d v="1904-09-26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3.7"/>
    <n v="15.3"/>
    <n v="11.6"/>
  </r>
  <r>
    <x v="20"/>
    <d v="1905-08-10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5.25"/>
    <n v="19.350000000000001"/>
    <n v="14.1"/>
  </r>
  <r>
    <x v="20"/>
    <d v="1905-07-13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2.4"/>
    <n v="10.25"/>
    <n v="7.85"/>
  </r>
  <r>
    <x v="20"/>
    <d v="1904-09-10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6.3"/>
    <n v="19.649999999999999"/>
    <n v="13.35"/>
  </r>
  <r>
    <x v="20"/>
    <d v="1905-07-02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3.85"/>
    <n v="15.15"/>
    <n v="11.3"/>
  </r>
  <r>
    <x v="20"/>
    <d v="1905-01-03T00:00:00"/>
    <n v="1"/>
    <s v="ООО &quot;Эко Лэнд&quot;"/>
    <s v="ООО &quot;Эко Лэнд&quot;,ЛО, Ломоносовский р-н, п.г.т Большая Ижора, промзона «Бронка-2», квартал 1"/>
    <s v="Н247МН198"/>
    <n v="6.2"/>
    <n v="19.899999999999999"/>
    <n v="13.7"/>
  </r>
  <r>
    <x v="20"/>
    <d v="1905-07-12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8.35"/>
    <n v="25.05"/>
    <n v="16.7"/>
  </r>
  <r>
    <x v="20"/>
    <d v="1905-08-12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3.7"/>
    <n v="16"/>
    <n v="12.3"/>
  </r>
  <r>
    <x v="20"/>
    <d v="1904-08-26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2.5"/>
    <n v="8.1"/>
    <n v="5.6"/>
  </r>
  <r>
    <x v="20"/>
    <d v="1905-01-27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75"/>
    <n v="11.35"/>
    <n v="8.6"/>
  </r>
  <r>
    <x v="20"/>
    <d v="1906-01-08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0.75"/>
    <n v="6.9"/>
    <n v="6.15"/>
  </r>
  <r>
    <x v="20"/>
    <d v="1904-09-25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0.9"/>
    <n v="6.8"/>
    <n v="5.9"/>
  </r>
  <r>
    <x v="20"/>
    <d v="1906-04-20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1"/>
    <n v="8"/>
    <n v="7"/>
  </r>
  <r>
    <x v="20"/>
    <d v="1902-11-13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5.45"/>
    <n v="17.149999999999999"/>
    <n v="11.7"/>
  </r>
  <r>
    <x v="20"/>
    <d v="1905-05-11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7.2"/>
    <n v="18.850000000000001"/>
    <n v="11.65"/>
  </r>
  <r>
    <x v="21"/>
    <d v="1905-08-07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7.4"/>
    <n v="20.05"/>
    <n v="12.65"/>
  </r>
  <r>
    <x v="21"/>
    <d v="1904-07-05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5.2"/>
    <n v="20.6"/>
    <n v="15.4"/>
  </r>
  <r>
    <x v="21"/>
    <d v="1902-07-11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3.7"/>
    <n v="16.350000000000001"/>
    <n v="12.65"/>
  </r>
  <r>
    <x v="21"/>
    <d v="1904-06-22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2.95"/>
    <n v="28.85"/>
    <n v="15.9"/>
  </r>
  <r>
    <x v="21"/>
    <d v="1903-01-14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1.25"/>
    <n v="16.55"/>
    <n v="15.3"/>
  </r>
  <r>
    <x v="21"/>
    <d v="1902-11-15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3.7"/>
    <n v="18.7"/>
    <n v="15"/>
  </r>
  <r>
    <x v="21"/>
    <d v="1903-09-0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65"/>
    <n v="17.7"/>
    <n v="15.05"/>
  </r>
  <r>
    <x v="21"/>
    <d v="1904-07-12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9.4499999999999993"/>
    <n v="24.9"/>
    <n v="15.45"/>
  </r>
  <r>
    <x v="21"/>
    <d v="1905-04-21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7.55"/>
    <n v="23.5"/>
    <n v="15.95"/>
  </r>
  <r>
    <x v="21"/>
    <d v="1904-04-03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0.5"/>
    <n v="25.95"/>
    <n v="15.45"/>
  </r>
  <r>
    <x v="21"/>
    <d v="1904-12-04T00:00:00"/>
    <n v="4"/>
    <s v="ООО &quot;Петро-Васт&quot;"/>
    <s v="ООО &quot;Эко Лэнд&quot;,ЛО, Ломоносовский р-н, п.г.т Большая Ижора, промзона «Бронка-2», квартал 1"/>
    <s v="А201МК147"/>
    <n v="1.7"/>
    <n v="17.5"/>
    <n v="15.8"/>
  </r>
  <r>
    <x v="21"/>
    <d v="1904-05-19T00:00:00"/>
    <n v="4"/>
    <s v="ООО &quot;Петро-Васт&quot;"/>
    <s v="ООО &quot;Эко Лэнд&quot;,ЛО, Ломоносовский р-н, п.г.т Большая Ижора, промзона «Бронка-2», квартал 1"/>
    <s v="К182РС147"/>
    <n v="0.9"/>
    <n v="17.25"/>
    <n v="16.350000000000001"/>
  </r>
  <r>
    <x v="21"/>
    <d v="1903-01-06T00:00:00"/>
    <n v="4"/>
    <s v="ООО &quot;Курортный берег&quot;"/>
    <s v="ООО &quot;Эко Лэнд&quot;,ЛО, Ломоносовский р-н, п.г.т Большая Ижора, промзона «Бронка-2», квартал 1"/>
    <s v="Н352МХ"/>
    <n v="18.45"/>
    <n v="45.1"/>
    <n v="26.65"/>
  </r>
  <r>
    <x v="21"/>
    <d v="1902-04-0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95"/>
    <n v="7.2"/>
    <n v="6.25"/>
  </r>
  <r>
    <x v="21"/>
    <d v="1903-08-04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5"/>
    <n v="7.95"/>
    <n v="6.1"/>
  </r>
  <r>
    <x v="21"/>
    <d v="1904-12-2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45"/>
    <n v="7.45"/>
    <n v="6"/>
  </r>
  <r>
    <x v="21"/>
    <d v="1905-10-3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0.7"/>
    <n v="6.55"/>
    <n v="5.85"/>
  </r>
  <r>
    <x v="21"/>
    <d v="1904-03-30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0.95"/>
    <n v="7.25"/>
    <n v="6.3"/>
  </r>
  <r>
    <x v="21"/>
    <d v="1905-07-25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65"/>
    <n v="8.75"/>
    <n v="6.1"/>
  </r>
  <r>
    <x v="21"/>
    <d v="1905-07-21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6"/>
    <n v="19.899999999999999"/>
    <n v="13.9"/>
  </r>
  <r>
    <x v="21"/>
    <d v="1905-07-16T00:00:00"/>
    <n v="1"/>
    <s v="ООО &quot;Эко Лэнд&quot;"/>
    <s v="ООО &quot;Эко Лэнд&quot;,ЛО, Ломоносовский р-н, п.г.т Большая Ижора, промзона «Бронка-2», квартал 1"/>
    <s v="С621РО198"/>
    <n v="2"/>
    <n v="10.6"/>
    <n v="8.6"/>
  </r>
  <r>
    <x v="21"/>
    <d v="1902-04-29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"/>
    <n v="14.3"/>
    <n v="10.3"/>
  </r>
  <r>
    <x v="21"/>
    <d v="1903-04-29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9"/>
    <n v="13.15"/>
    <n v="10.25"/>
  </r>
  <r>
    <x v="21"/>
    <d v="1904-02-08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2999999999999998"/>
    <n v="12.5"/>
    <n v="10.199999999999999"/>
  </r>
  <r>
    <x v="21"/>
    <d v="1904-10-1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5.15"/>
    <n v="15.3"/>
    <n v="10.15"/>
  </r>
  <r>
    <x v="21"/>
    <d v="1903-12-15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10.95"/>
    <n v="26.8"/>
    <n v="15.85"/>
  </r>
  <r>
    <x v="21"/>
    <d v="1906-01-30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11.9"/>
    <n v="27.55"/>
    <n v="15.65"/>
  </r>
  <r>
    <x v="21"/>
    <d v="1905-08-18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35"/>
    <n v="14.1"/>
    <n v="11.75"/>
  </r>
  <r>
    <x v="21"/>
    <d v="1904-03-30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8"/>
    <n v="6.05"/>
    <n v="5.25"/>
  </r>
  <r>
    <x v="21"/>
    <d v="1904-07-09T00:00:00"/>
    <n v="1"/>
    <s v="ООО &quot;Эко Лэнд&quot;"/>
    <s v="ООО &quot;Эко Лэнд&quot;,ЛО, Ломоносовский р-н, п.г.т Большая Ижора, промзона «Бронка-2», квартал 1"/>
    <s v="Р067ОТ198"/>
    <n v="4.1500000000000004"/>
    <n v="16.3"/>
    <n v="12.15"/>
  </r>
  <r>
    <x v="21"/>
    <d v="1905-04-26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4.7"/>
    <n v="12.8"/>
    <n v="8.1"/>
  </r>
  <r>
    <x v="21"/>
    <d v="1905-07-27T00:00:00"/>
    <n v="1"/>
    <s v="ООО &quot;Эко Лэнд&quot;"/>
    <s v="ООО &quot;Эко Лэнд&quot;,ЛО, Ломоносовский р-н, п.г.т Большая Ижора, промзона «Бронка-2», квартал 1"/>
    <s v="М050ХХ198"/>
    <n v="1.55"/>
    <n v="9.8000000000000007"/>
    <n v="8.25"/>
  </r>
  <r>
    <x v="21"/>
    <d v="1903-12-13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1.7"/>
    <n v="13.65"/>
    <n v="11.95"/>
  </r>
  <r>
    <x v="21"/>
    <d v="1904-02-23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1.3"/>
    <n v="16.600000000000001"/>
    <n v="15.3"/>
  </r>
  <r>
    <x v="21"/>
    <d v="1904-10-18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4.6500000000000004"/>
    <n v="13.3"/>
    <n v="8.65"/>
  </r>
  <r>
    <x v="21"/>
    <d v="1903-12-20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1499999999999999"/>
    <n v="6.75"/>
    <n v="5.6"/>
  </r>
  <r>
    <x v="21"/>
    <d v="1904-06-03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3.7"/>
    <n v="17.3"/>
    <n v="13.6"/>
  </r>
  <r>
    <x v="21"/>
    <d v="1903-12-20T00:00:00"/>
    <n v="1"/>
    <s v="ООО &quot;Эко Лэнд&quot;"/>
    <s v="ООО &quot;Эко Лэнд&quot;,ЛО, Ломоносовский р-н, п.г.т Большая Ижора, промзона «Бронка-2», квартал 1"/>
    <s v="Р617ОО198"/>
    <n v="11"/>
    <n v="26.45"/>
    <n v="15.45"/>
  </r>
  <r>
    <x v="21"/>
    <d v="1905-05-06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8"/>
    <n v="9.3000000000000007"/>
    <n v="7.5"/>
  </r>
  <r>
    <x v="21"/>
    <d v="1903-12-19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0.85"/>
    <n v="6.25"/>
    <n v="5.4"/>
  </r>
  <r>
    <x v="21"/>
    <d v="1905-03-15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2.15"/>
    <n v="15.45"/>
    <n v="13.3"/>
  </r>
  <r>
    <x v="21"/>
    <d v="1902-06-28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5.3"/>
    <n v="21.45"/>
    <n v="16.149999999999999"/>
  </r>
  <r>
    <x v="21"/>
    <d v="1905-03-18T00:00:00"/>
    <n v="1"/>
    <s v="ООО &quot;Эко Лэнд&quot;"/>
    <s v="ООО &quot;Эко Лэнд&quot;,ЛО, Ломоносовский р-н, п.г.т Большая Ижора, промзона «Бронка-2», квартал 1"/>
    <s v="Р851ОХ198"/>
    <n v="2.5499999999999998"/>
    <n v="9.35"/>
    <n v="6.8"/>
  </r>
  <r>
    <x v="21"/>
    <d v="1904-09-26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6.95"/>
    <n v="19.25"/>
    <n v="12.3"/>
  </r>
  <r>
    <x v="21"/>
    <d v="1905-04-08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3"/>
    <n v="9.1999999999999993"/>
    <n v="7.9"/>
  </r>
  <r>
    <x v="21"/>
    <d v="1903-12-26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6.4"/>
    <n v="19.850000000000001"/>
    <n v="13.45"/>
  </r>
  <r>
    <x v="21"/>
    <d v="1905-07-21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3.65"/>
    <n v="14.9"/>
    <n v="11.25"/>
  </r>
  <r>
    <x v="21"/>
    <d v="1904-03-27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8.35"/>
    <n v="20.65"/>
    <n v="12.3"/>
  </r>
  <r>
    <x v="21"/>
    <d v="1904-12-04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95"/>
    <n v="11.6"/>
    <n v="8.65"/>
  </r>
  <r>
    <x v="21"/>
    <d v="1906-02-17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.75"/>
    <n v="7.9"/>
    <n v="6.15"/>
  </r>
  <r>
    <x v="21"/>
    <d v="1904-09-11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0.85"/>
    <n v="6.3"/>
    <n v="5.45"/>
  </r>
  <r>
    <x v="21"/>
    <d v="1904-07-07T00:00:00"/>
    <n v="1"/>
    <s v="ООО &quot;Эко Лэнд&quot;"/>
    <s v="ООО &quot;Эко Лэнд&quot;,ЛО, Ломоносовский р-н, п.г.т Большая Ижора, промзона «Бронка-2», квартал 1"/>
    <s v="В036ОТ198"/>
    <n v="7.2"/>
    <n v="19.100000000000001"/>
    <n v="11.9"/>
  </r>
  <r>
    <x v="21"/>
    <d v="1905-10-28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35"/>
    <n v="9.4"/>
    <n v="7.05"/>
  </r>
  <r>
    <x v="21"/>
    <d v="1904-03-09T00:00:00"/>
    <n v="1"/>
    <s v="ООО &quot;Эко Лэнд&quot;"/>
    <s v="ООО &quot;Эко Лэнд&quot;,ЛО, Ломоносовский р-н, п.г.т Большая Ижора, промзона «Бронка-2», квартал 1"/>
    <s v="М181ХХ198"/>
    <n v="4.6500000000000004"/>
    <n v="12.85"/>
    <n v="8.1999999999999993"/>
  </r>
  <r>
    <x v="21"/>
    <d v="1906-06-09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5.6"/>
    <n v="17.149999999999999"/>
    <n v="11.55"/>
  </r>
  <r>
    <x v="21"/>
    <d v="1900-04-21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95"/>
    <n v="12.65"/>
    <n v="8.6999999999999993"/>
  </r>
  <r>
    <x v="21"/>
    <d v="1905-10-27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3.2"/>
    <n v="12"/>
    <n v="8.8000000000000007"/>
  </r>
  <r>
    <x v="22"/>
    <d v="1904-03-06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7.15"/>
    <n v="19.899999999999999"/>
    <n v="12.75"/>
  </r>
  <r>
    <x v="22"/>
    <d v="1903-01-27T00:00:00"/>
    <n v="4"/>
    <s v="ООО &quot;Петро-Васт&quot;"/>
    <s v="ООО &quot;Эко Лэнд&quot;,ЛО, Ломоносовский р-н, п.г.т Большая Ижора, промзона «Бронка-2», квартал 1"/>
    <s v="А030АЕ147"/>
    <n v="10.8"/>
    <n v="27.6"/>
    <n v="16.8"/>
  </r>
  <r>
    <x v="22"/>
    <d v="1904-07-04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3"/>
    <n v="28.85"/>
    <n v="15.85"/>
  </r>
  <r>
    <x v="22"/>
    <d v="1902-06-18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2.75"/>
    <n v="17.899999999999999"/>
    <n v="15.15"/>
  </r>
  <r>
    <x v="22"/>
    <d v="1903-02-15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2.25"/>
    <n v="17.399999999999999"/>
    <n v="15.15"/>
  </r>
  <r>
    <x v="22"/>
    <d v="1903-05-26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4.1500000000000004"/>
    <n v="19.100000000000001"/>
    <n v="14.95"/>
  </r>
  <r>
    <x v="22"/>
    <d v="1903-09-15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8.5500000000000007"/>
    <n v="24"/>
    <n v="15.45"/>
  </r>
  <r>
    <x v="22"/>
    <d v="1903-09-01T00:00:00"/>
    <n v="4"/>
    <s v="ООО &quot;Петро-Васт&quot;"/>
    <s v="ООО &quot;Эко Лэнд&quot;,ЛО, Ломоносовский р-н, п.г.т Большая Ижора, промзона «Бронка-2», квартал 1"/>
    <s v="В872УА47"/>
    <n v="7"/>
    <n v="23.15"/>
    <n v="16.149999999999999"/>
  </r>
  <r>
    <x v="22"/>
    <d v="1905-07-08T00:00:00"/>
    <n v="4"/>
    <s v="ООО &quot;Петро-Васт&quot;"/>
    <s v="ООО &quot;Эко Лэнд&quot;,ЛО, Ломоносовский р-н, п.г.т Большая Ижора, промзона «Бронка-2», квартал 1"/>
    <s v="В872УА47"/>
    <n v="7.15"/>
    <n v="23.2"/>
    <n v="16.05"/>
  </r>
  <r>
    <x v="22"/>
    <d v="1904-07-03T00:00:00"/>
    <n v="4"/>
    <s v="ООО &quot;Петро-Васт&quot;"/>
    <s v="ООО &quot;Эко Лэнд&quot;,ЛО, Ломоносовский р-н, п.г.т Большая Ижора, промзона «Бронка-2», квартал 1"/>
    <s v="А030АЕ147"/>
    <n v="8.25"/>
    <n v="25"/>
    <n v="16.75"/>
  </r>
  <r>
    <x v="22"/>
    <d v="1903-11-08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1.75"/>
    <n v="27.25"/>
    <n v="15.5"/>
  </r>
  <r>
    <x v="22"/>
    <d v="1905-04-23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5.75"/>
    <n v="21.2"/>
    <n v="15.45"/>
  </r>
  <r>
    <x v="22"/>
    <d v="1902-05-05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95"/>
    <n v="7.85"/>
    <n v="5.9"/>
  </r>
  <r>
    <x v="22"/>
    <d v="1903-05-3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15"/>
    <n v="8.1"/>
    <n v="5.95"/>
  </r>
  <r>
    <x v="22"/>
    <d v="1904-05-22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3.1"/>
    <n v="9.25"/>
    <n v="6.15"/>
  </r>
  <r>
    <x v="22"/>
    <d v="1905-04-09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25"/>
    <n v="7.1"/>
    <n v="5.85"/>
  </r>
  <r>
    <x v="22"/>
    <d v="1902-10-07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6"/>
    <n v="7.45"/>
    <n v="5.85"/>
  </r>
  <r>
    <x v="22"/>
    <d v="1903-09-13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5"/>
    <n v="8.6"/>
    <n v="6.1"/>
  </r>
  <r>
    <x v="22"/>
    <d v="1904-09-25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55"/>
    <n v="7.75"/>
    <n v="6.2"/>
  </r>
  <r>
    <x v="22"/>
    <d v="1906-01-17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6"/>
    <n v="7.6"/>
    <n v="6"/>
  </r>
  <r>
    <x v="22"/>
    <d v="1904-12-15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4.55"/>
    <n v="18.45"/>
    <n v="13.9"/>
  </r>
  <r>
    <x v="22"/>
    <d v="1902-04-30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6"/>
    <n v="12.85"/>
    <n v="10.25"/>
  </r>
  <r>
    <x v="22"/>
    <d v="1903-03-03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8"/>
    <n v="15"/>
    <n v="10.199999999999999"/>
  </r>
  <r>
    <x v="22"/>
    <d v="1904-03-23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1"/>
    <n v="13.05"/>
    <n v="9.9499999999999993"/>
  </r>
  <r>
    <x v="22"/>
    <d v="1905-01-12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6.4"/>
    <n v="22.15"/>
    <n v="15.75"/>
  </r>
  <r>
    <x v="22"/>
    <d v="1904-12-21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"/>
    <n v="13.7"/>
    <n v="11.7"/>
  </r>
  <r>
    <x v="22"/>
    <d v="1902-05-0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9"/>
    <n v="6.45"/>
    <n v="5.55"/>
  </r>
  <r>
    <x v="22"/>
    <d v="1903-05-25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9"/>
    <n v="6.25"/>
    <n v="5.35"/>
  </r>
  <r>
    <x v="22"/>
    <d v="1904-06-0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45"/>
    <n v="6.85"/>
    <n v="5.4"/>
  </r>
  <r>
    <x v="22"/>
    <d v="1904-03-22T00:00:00"/>
    <n v="1"/>
    <s v="ООО &quot;Эко Лэнд&quot;"/>
    <s v="ООО &quot;Эко Лэнд&quot;,ЛО, Ломоносовский р-н, п.г.т Большая Ижора, промзона «Бронка-2», квартал 1"/>
    <s v="Р062ОТ198"/>
    <n v="8.5500000000000007"/>
    <n v="20.8"/>
    <n v="12.25"/>
  </r>
  <r>
    <x v="22"/>
    <d v="1901-07-08T00:00:00"/>
    <n v="1"/>
    <s v="ООО &quot;Эко Лэнд&quot;"/>
    <s v="ООО &quot;Эко Лэнд&quot;,ЛО, Ломоносовский р-н, п.г.т Большая Ижора, промзона «Бронка-2», квартал 1"/>
    <s v="Р113КХ198"/>
    <n v="3.95"/>
    <n v="16.350000000000001"/>
    <n v="12.4"/>
  </r>
  <r>
    <x v="22"/>
    <d v="1904-10-16T00:00:00"/>
    <n v="1"/>
    <s v="ООО &quot;Эко Лэнд&quot;"/>
    <s v="ООО &quot;Эко Лэнд&quot;,ЛО, Ломоносовский р-н, п.г.т Большая Ижора, промзона «Бронка-2», квартал 1"/>
    <s v="С214ТЕ178"/>
    <n v="1.75"/>
    <n v="12.65"/>
    <n v="10.9"/>
  </r>
  <r>
    <x v="22"/>
    <d v="1904-07-11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2.5"/>
    <n v="10.8"/>
    <n v="8.3000000000000007"/>
  </r>
  <r>
    <x v="22"/>
    <d v="1905-07-05T00:00:00"/>
    <n v="1"/>
    <s v="ООО &quot;Эко Лэнд&quot;"/>
    <s v="ООО &quot;Эко Лэнд&quot;,ЛО, Ломоносовский р-н, п.г.т Большая Ижора, промзона «Бронка-2», квартал 1"/>
    <s v="М050ХХ198"/>
    <n v="5.3"/>
    <n v="13.55"/>
    <n v="8.25"/>
  </r>
  <r>
    <x v="22"/>
    <d v="1903-12-15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7.05"/>
    <n v="19"/>
    <n v="11.95"/>
  </r>
  <r>
    <x v="22"/>
    <d v="1906-01-18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1.55"/>
    <n v="8.5500000000000007"/>
    <n v="7"/>
  </r>
  <r>
    <x v="22"/>
    <d v="1905-04-01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4.0999999999999996"/>
    <n v="9.9"/>
    <n v="5.8"/>
  </r>
  <r>
    <x v="22"/>
    <d v="1904-03-02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4.1500000000000004"/>
    <n v="17.95"/>
    <n v="13.8"/>
  </r>
  <r>
    <x v="22"/>
    <d v="1905-07-31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3.2"/>
    <n v="16.75"/>
    <n v="13.55"/>
  </r>
  <r>
    <x v="22"/>
    <d v="1904-03-14T00:00:00"/>
    <n v="1"/>
    <s v="ООО &quot;Эко Лэнд&quot;"/>
    <s v="ООО &quot;Эко Лэнд&quot;,ЛО, Ломоносовский р-н, п.г.т Большая Ижора, промзона «Бронка-2», квартал 1"/>
    <s v="Р050НН198"/>
    <n v="10.7"/>
    <n v="26.35"/>
    <n v="15.65"/>
  </r>
  <r>
    <x v="22"/>
    <d v="1904-03-26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05"/>
    <n v="6.3"/>
    <n v="5.25"/>
  </r>
  <r>
    <x v="22"/>
    <d v="1904-06-23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7.9"/>
    <n v="21.3"/>
    <n v="13.4"/>
  </r>
  <r>
    <x v="22"/>
    <d v="1904-09-14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1"/>
    <n v="17.149999999999999"/>
    <n v="16.149999999999999"/>
  </r>
  <r>
    <x v="22"/>
    <d v="1904-09-03T00:00:00"/>
    <n v="1"/>
    <s v="ООО &quot;Эко Лэнд&quot;"/>
    <s v="ООО &quot;Эко Лэнд&quot;,ЛО, Ломоносовский р-н, п.г.т Большая Ижора, промзона «Бронка-2», квартал 1"/>
    <s v="Р851ОХ198"/>
    <n v="1.25"/>
    <n v="8.0500000000000007"/>
    <n v="6.8"/>
  </r>
  <r>
    <x v="22"/>
    <d v="1904-03-25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4.95"/>
    <n v="19.05"/>
    <n v="14.1"/>
  </r>
  <r>
    <x v="22"/>
    <d v="1905-07-13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0.9"/>
    <n v="8.8000000000000007"/>
    <n v="7.9"/>
  </r>
  <r>
    <x v="22"/>
    <d v="1903-11-22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5.2"/>
    <n v="18.55"/>
    <n v="13.35"/>
  </r>
  <r>
    <x v="22"/>
    <d v="1905-01-16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2.4"/>
    <n v="13.55"/>
    <n v="11.15"/>
  </r>
  <r>
    <x v="22"/>
    <d v="1904-10-11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3.8"/>
    <n v="20.399999999999999"/>
    <n v="16.600000000000001"/>
  </r>
  <r>
    <x v="22"/>
    <d v="1904-08-29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3.1"/>
    <n v="10.6"/>
    <n v="7.5"/>
  </r>
  <r>
    <x v="22"/>
    <d v="1905-04-16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5.0999999999999996"/>
    <n v="17.399999999999999"/>
    <n v="12.3"/>
  </r>
  <r>
    <x v="22"/>
    <d v="1904-03-04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55"/>
    <n v="6.95"/>
    <n v="5.4"/>
  </r>
  <r>
    <x v="22"/>
    <d v="1904-10-18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1.85"/>
    <n v="10.4"/>
    <n v="8.5500000000000007"/>
  </r>
  <r>
    <x v="22"/>
    <d v="1904-07-06T00:00:00"/>
    <n v="1"/>
    <s v="ООО &quot;Эко Лэнд&quot;"/>
    <s v="ООО &quot;Эко Лэнд&quot;,ЛО, Ломоносовский р-н, п.г.т Большая Ижора, промзона «Бронка-2», квартал 1"/>
    <s v="С775КВ198"/>
    <n v="2.4500000000000002"/>
    <n v="11.2"/>
    <n v="8.75"/>
  </r>
  <r>
    <x v="22"/>
    <d v="1905-04-12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2.2999999999999998"/>
    <n v="10.9"/>
    <n v="8.6"/>
  </r>
  <r>
    <x v="22"/>
    <d v="1905-07-12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.9"/>
    <n v="8.0500000000000007"/>
    <n v="6.15"/>
  </r>
  <r>
    <x v="22"/>
    <d v="1903-09-16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3"/>
    <n v="8.4"/>
    <n v="5.4"/>
  </r>
  <r>
    <x v="22"/>
    <d v="1904-10-05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6.7"/>
    <n v="18.3"/>
    <n v="11.6"/>
  </r>
  <r>
    <x v="22"/>
    <d v="1905-05-10T00:00:00"/>
    <n v="1"/>
    <s v="ООО &quot;Эко Лэнд&quot;"/>
    <s v="ООО &quot;Эко Лэнд&quot;,ЛО, Ломоносовский р-н, п.г.т Большая Ижора, промзона «Бронка-2», квартал 1"/>
    <s v="С795КВ198"/>
    <n v="1.45"/>
    <n v="10.050000000000001"/>
    <n v="8.6"/>
  </r>
  <r>
    <x v="22"/>
    <d v="1901-02-22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1.25"/>
    <n v="10"/>
    <n v="8.75"/>
  </r>
  <r>
    <x v="23"/>
    <d v="1906-05-19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6.65"/>
    <n v="22.15"/>
    <n v="15.5"/>
  </r>
  <r>
    <x v="23"/>
    <d v="1904-06-25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2.25"/>
    <n v="14.6"/>
    <n v="12.35"/>
  </r>
  <r>
    <x v="23"/>
    <d v="1905-07-29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10.35"/>
    <n v="22.65"/>
    <n v="12.3"/>
  </r>
  <r>
    <x v="23"/>
    <d v="1903-12-25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5.45"/>
    <n v="21.35"/>
    <n v="15.9"/>
  </r>
  <r>
    <x v="23"/>
    <d v="1902-06-26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3.95"/>
    <n v="19.100000000000001"/>
    <n v="15.15"/>
  </r>
  <r>
    <x v="23"/>
    <d v="1903-02-26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4.5999999999999996"/>
    <n v="19.7"/>
    <n v="15.1"/>
  </r>
  <r>
    <x v="23"/>
    <d v="1903-11-12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1.75"/>
    <n v="16.75"/>
    <n v="15"/>
  </r>
  <r>
    <x v="23"/>
    <d v="1903-04-19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0.8"/>
    <n v="19.45"/>
    <n v="18.649999999999999"/>
  </r>
  <r>
    <x v="23"/>
    <d v="1904-12-24T00:00:00"/>
    <n v="4"/>
    <s v="ООО &quot;Петро-Васт&quot;"/>
    <s v="ООО &quot;Эко Лэнд&quot;,ЛО, Ломоносовский р-н, п.г.т Большая Ижора, промзона «Бронка-2», квартал 1"/>
    <s v="А762ОМ47"/>
    <n v="0.8"/>
    <n v="17.3"/>
    <n v="16.5"/>
  </r>
  <r>
    <x v="23"/>
    <d v="1904-02-28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8.65"/>
    <n v="24.1"/>
    <n v="15.45"/>
  </r>
  <r>
    <x v="23"/>
    <d v="1903-12-12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9.65"/>
    <n v="25.6"/>
    <n v="15.95"/>
  </r>
  <r>
    <x v="23"/>
    <d v="1904-03-04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1.3"/>
    <n v="26.65"/>
    <n v="15.35"/>
  </r>
  <r>
    <x v="23"/>
    <d v="1902-10-2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"/>
    <n v="8.0500000000000007"/>
    <n v="6.05"/>
  </r>
  <r>
    <x v="23"/>
    <d v="1903-11-20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75"/>
    <n v="7.75"/>
    <n v="6"/>
  </r>
  <r>
    <x v="23"/>
    <d v="1902-04-05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65"/>
    <n v="7.55"/>
    <n v="5.9"/>
  </r>
  <r>
    <x v="23"/>
    <d v="1903-02-0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1499999999999999"/>
    <n v="7.05"/>
    <n v="5.9"/>
  </r>
  <r>
    <x v="23"/>
    <d v="1905-04-12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3.2"/>
    <n v="16.899999999999999"/>
    <n v="13.7"/>
  </r>
  <r>
    <x v="23"/>
    <d v="1904-09-25T00:00:00"/>
    <n v="1"/>
    <s v="ООО &quot;Эко Лэнд&quot;"/>
    <s v="ООО &quot;Эко Лэнд&quot;,ЛО, Ломоносовский р-н, п.г.т Большая Ижора, промзона «Бронка-2», квартал 1"/>
    <s v="О690НО198"/>
    <n v="3.3"/>
    <n v="18.649999999999999"/>
    <n v="15.35"/>
  </r>
  <r>
    <x v="23"/>
    <d v="1902-03-2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7"/>
    <n v="13.95"/>
    <n v="10.25"/>
  </r>
  <r>
    <x v="23"/>
    <d v="1903-04-2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5.2"/>
    <n v="15.45"/>
    <n v="10.25"/>
  </r>
  <r>
    <x v="23"/>
    <d v="1904-04-0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15"/>
    <n v="13.35"/>
    <n v="10.199999999999999"/>
  </r>
  <r>
    <x v="23"/>
    <d v="1905-01-24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3.8"/>
    <n v="15.45"/>
    <n v="11.65"/>
  </r>
  <r>
    <x v="23"/>
    <d v="1902-08-0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9"/>
    <n v="6.45"/>
    <n v="5.55"/>
  </r>
  <r>
    <x v="23"/>
    <d v="1903-12-14T00:00:00"/>
    <n v="1"/>
    <s v="ООО &quot;Эко Лэнд&quot;"/>
    <s v="ООО &quot;Эко Лэнд&quot;,ЛО, Ломоносовский р-н, п.г.т Большая Ижора, промзона «Бронка-2», квартал 1"/>
    <s v="Р062ОТ198"/>
    <n v="7.75"/>
    <n v="20"/>
    <n v="12.25"/>
  </r>
  <r>
    <x v="23"/>
    <d v="1903-05-15T00:00:00"/>
    <n v="1"/>
    <s v="ООО &quot;Эко Лэнд&quot;"/>
    <s v="ООО &quot;Эко Лэнд&quot;,ЛО, Ломоносовский р-н, п.г.т Большая Ижора, промзона «Бронка-2», квартал 1"/>
    <s v="Р094МУ198"/>
    <n v="8.35"/>
    <n v="24.25"/>
    <n v="15.9"/>
  </r>
  <r>
    <x v="23"/>
    <d v="1903-12-04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2.25"/>
    <n v="10.35"/>
    <n v="8.1"/>
  </r>
  <r>
    <x v="23"/>
    <d v="1904-04-06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3.1"/>
    <n v="15.1"/>
    <n v="12"/>
  </r>
  <r>
    <x v="23"/>
    <d v="1902-10-03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4.3"/>
    <n v="19.649999999999999"/>
    <n v="15.35"/>
  </r>
  <r>
    <x v="23"/>
    <d v="1903-05-30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5.7"/>
    <n v="21.15"/>
    <n v="15.45"/>
  </r>
  <r>
    <x v="23"/>
    <d v="1904-09-02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0.75"/>
    <n v="6.35"/>
    <n v="5.6"/>
  </r>
  <r>
    <x v="23"/>
    <d v="1905-03-28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5.3"/>
    <n v="18.95"/>
    <n v="13.65"/>
  </r>
  <r>
    <x v="23"/>
    <d v="1904-09-26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4.7"/>
    <n v="18.25"/>
    <n v="13.55"/>
  </r>
  <r>
    <x v="23"/>
    <d v="1904-06-10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6"/>
    <n v="7"/>
    <n v="5.4"/>
  </r>
  <r>
    <x v="23"/>
    <d v="1904-03-27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8.1999999999999993"/>
    <n v="21.75"/>
    <n v="13.55"/>
  </r>
  <r>
    <x v="23"/>
    <d v="1904-07-06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6.6"/>
    <n v="18.3"/>
    <n v="11.7"/>
  </r>
  <r>
    <x v="23"/>
    <d v="1904-03-16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3.3"/>
    <n v="11.15"/>
    <n v="7.85"/>
  </r>
  <r>
    <x v="23"/>
    <d v="1904-03-21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3.45"/>
    <n v="16.899999999999999"/>
    <n v="13.45"/>
  </r>
  <r>
    <x v="23"/>
    <d v="1903-12-27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1.45"/>
    <n v="12.85"/>
    <n v="11.4"/>
  </r>
  <r>
    <x v="23"/>
    <d v="1904-09-09T00:00:00"/>
    <n v="1"/>
    <s v="ООО &quot;Эко Лэнд&quot;"/>
    <s v="ООО &quot;Эко Лэнд&quot;,ЛО, Ломоносовский р-н, п.г.т Большая Ижора, промзона «Бронка-2», квартал 1"/>
    <s v="Н247МН198"/>
    <n v="7.65"/>
    <n v="21.3"/>
    <n v="13.65"/>
  </r>
  <r>
    <x v="23"/>
    <d v="1904-12-22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8.1"/>
    <n v="24.6"/>
    <n v="16.5"/>
  </r>
  <r>
    <x v="23"/>
    <d v="1905-01-26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3.35"/>
    <n v="10.7"/>
    <n v="7.35"/>
  </r>
  <r>
    <x v="23"/>
    <d v="1904-03-23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9"/>
    <n v="7.25"/>
    <n v="5.35"/>
  </r>
  <r>
    <x v="23"/>
    <d v="1904-07-09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2.15"/>
    <n v="10.7"/>
    <n v="8.5500000000000007"/>
  </r>
  <r>
    <x v="23"/>
    <d v="1904-07-16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2.35"/>
    <n v="8.5500000000000007"/>
    <n v="6.2"/>
  </r>
  <r>
    <x v="23"/>
    <d v="1904-03-24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1.35"/>
    <n v="6.75"/>
    <n v="5.4"/>
  </r>
  <r>
    <x v="23"/>
    <d v="1903-09-12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05"/>
    <n v="8.0500000000000007"/>
    <n v="7"/>
  </r>
  <r>
    <x v="23"/>
    <d v="1905-06-29T00:00:00"/>
    <n v="1"/>
    <s v="ООО &quot;Эко Лэнд&quot;"/>
    <s v="ООО &quot;Эко Лэнд&quot;,ЛО, Ломоносовский р-н, п.г.т Большая Ижора, промзона «Бронка-2», квартал 1"/>
    <s v="С723ТЕ198"/>
    <n v="0.75"/>
    <n v="7.2"/>
    <n v="6.45"/>
  </r>
  <r>
    <x v="23"/>
    <d v="1904-10-11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0.3"/>
    <n v="7.4"/>
    <n v="7.1"/>
  </r>
  <r>
    <x v="23"/>
    <d v="1904-09-06T00:00:00"/>
    <n v="1"/>
    <s v="ООО &quot;Эко Лэнд&quot;"/>
    <s v="ООО &quot;Эко Лэнд&quot;,ЛО, Ломоносовский р-н, п.г.т Большая Ижора, промзона «Бронка-2», квартал 1"/>
    <s v="О046ТА47"/>
    <n v="6.95"/>
    <n v="18.5"/>
    <n v="11.55"/>
  </r>
  <r>
    <x v="24"/>
    <d v="1900-01-28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7.4"/>
    <n v="20.149999999999999"/>
    <n v="12.75"/>
  </r>
  <r>
    <x v="24"/>
    <d v="1905-10-04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85"/>
    <n v="19.55"/>
    <n v="12.7"/>
  </r>
  <r>
    <x v="24"/>
    <d v="1900-09-03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8.1"/>
    <n v="19.649999999999999"/>
    <n v="11.55"/>
  </r>
  <r>
    <x v="24"/>
    <d v="1902-04-03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3.75"/>
    <n v="15.45"/>
    <n v="11.7"/>
  </r>
  <r>
    <x v="24"/>
    <d v="1903-05-24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2.75"/>
    <n v="14.2"/>
    <n v="11.45"/>
  </r>
  <r>
    <x v="24"/>
    <d v="1905-07-10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9.85"/>
    <n v="25.75"/>
    <n v="15.9"/>
  </r>
  <r>
    <x v="24"/>
    <d v="1902-08-07T00:00:00"/>
    <n v="4"/>
    <s v="ООО &quot;Петро-Васт&quot;"/>
    <s v="ООО &quot;Эко Лэнд&quot;,ЛО, Ломоносовский р-н, п.г.т Большая Ижора, промзона «Бронка-2», квартал 1"/>
    <s v="А789МТ147"/>
    <n v="2.7"/>
    <n v="17.649999999999999"/>
    <n v="14.95"/>
  </r>
  <r>
    <x v="24"/>
    <d v="1902-11-08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2"/>
    <n v="17.100000000000001"/>
    <n v="15.1"/>
  </r>
  <r>
    <x v="24"/>
    <d v="1904-02-18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1.5"/>
    <n v="27.45"/>
    <n v="15.95"/>
  </r>
  <r>
    <x v="24"/>
    <d v="1904-02-23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2.3"/>
    <n v="27.9"/>
    <n v="15.6"/>
  </r>
  <r>
    <x v="24"/>
    <d v="1902-03-2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65"/>
    <n v="7.45"/>
    <n v="5.8"/>
  </r>
  <r>
    <x v="24"/>
    <d v="1903-02-0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45"/>
    <n v="7.45"/>
    <n v="6"/>
  </r>
  <r>
    <x v="24"/>
    <d v="1903-11-0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2999999999999998"/>
    <n v="8.15"/>
    <n v="5.85"/>
  </r>
  <r>
    <x v="24"/>
    <d v="1901-10-02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4.55"/>
    <n v="10.55"/>
    <n v="6"/>
  </r>
  <r>
    <x v="24"/>
    <d v="1902-07-24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9"/>
    <n v="7.95"/>
    <n v="6.05"/>
  </r>
  <r>
    <x v="24"/>
    <d v="1903-05-08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8"/>
    <n v="7.8"/>
    <n v="6"/>
  </r>
  <r>
    <x v="24"/>
    <d v="1905-07-27T00:00:00"/>
    <n v="1"/>
    <s v="ООО &quot;Эко Лэнд&quot;"/>
    <s v="ООО &quot;Эко Лэнд&quot;,ЛО, Ломоносовский р-н, п.г.т Большая Ижора, промзона «Бронка-2», квартал 1"/>
    <s v="С875ВР198"/>
    <n v="3"/>
    <n v="16.600000000000001"/>
    <n v="13.6"/>
  </r>
  <r>
    <x v="24"/>
    <d v="1905-10-21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4.5999999999999996"/>
    <n v="12.1"/>
    <n v="7.5"/>
  </r>
  <r>
    <x v="24"/>
    <d v="1903-05-1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9"/>
    <n v="14.15"/>
    <n v="10.25"/>
  </r>
  <r>
    <x v="24"/>
    <d v="1904-03-2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6.65"/>
    <n v="16.850000000000001"/>
    <n v="10.199999999999999"/>
  </r>
  <r>
    <x v="24"/>
    <d v="1903-05-30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10.8"/>
    <n v="26.6"/>
    <n v="15.8"/>
  </r>
  <r>
    <x v="24"/>
    <d v="1905-11-11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9.75"/>
    <n v="25.5"/>
    <n v="15.75"/>
  </r>
  <r>
    <x v="24"/>
    <d v="1904-06-25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1.95"/>
    <n v="13.75"/>
    <n v="11.8"/>
  </r>
  <r>
    <x v="24"/>
    <d v="1902-04-2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"/>
    <n v="6.35"/>
    <n v="5.35"/>
  </r>
  <r>
    <x v="24"/>
    <d v="1903-01-30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2"/>
    <n v="6.75"/>
    <n v="5.55"/>
  </r>
  <r>
    <x v="24"/>
    <d v="1904-02-22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95"/>
    <n v="7.35"/>
    <n v="5.4"/>
  </r>
  <r>
    <x v="24"/>
    <d v="1904-02-24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2.65"/>
    <n v="10.75"/>
    <n v="8.1"/>
  </r>
  <r>
    <x v="24"/>
    <d v="1902-08-14T00:00:00"/>
    <n v="1"/>
    <s v="ООО &quot;Эко Лэнд&quot;"/>
    <s v="ООО &quot;Эко Лэнд&quot;,ЛО, Ломоносовский р-н, п.г.т Большая Ижора, промзона «Бронка-2», квартал 1"/>
    <s v="М050ХХ198"/>
    <n v="2.4500000000000002"/>
    <n v="10.6"/>
    <n v="8.15"/>
  </r>
  <r>
    <x v="24"/>
    <d v="1905-11-10T00:00:00"/>
    <n v="1"/>
    <s v="ООО &quot;Эко Лэнд&quot;"/>
    <s v="ООО &quot;Эко Лэнд&quot;,ЛО, Ломоносовский р-н, п.г.т Большая Ижора, промзона «Бронка-2», квартал 1"/>
    <s v="М050ХХ198"/>
    <n v="2.95"/>
    <n v="11.1"/>
    <n v="8.15"/>
  </r>
  <r>
    <x v="24"/>
    <d v="1903-09-19T00:00:00"/>
    <n v="1"/>
    <s v="ООО &quot;Эко Лэнд&quot;"/>
    <s v="ООО &quot;Эко Лэнд&quot;,ЛО, Ломоносовский р-н, п.г.т Большая Ижора, промзона «Бронка-2», квартал 1"/>
    <s v="Н914МЕ198"/>
    <n v="7.2"/>
    <n v="21"/>
    <n v="13.8"/>
  </r>
  <r>
    <x v="24"/>
    <d v="1904-02-16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8.1999999999999993"/>
    <n v="20.2"/>
    <n v="12"/>
  </r>
  <r>
    <x v="24"/>
    <d v="1900-08-23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5.15"/>
    <n v="17.350000000000001"/>
    <n v="12.2"/>
  </r>
  <r>
    <x v="24"/>
    <d v="1904-06-17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7"/>
    <n v="19.2"/>
    <n v="12.2"/>
  </r>
  <r>
    <x v="24"/>
    <d v="1903-07-31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4.3"/>
    <n v="19.649999999999999"/>
    <n v="15.35"/>
  </r>
  <r>
    <x v="24"/>
    <d v="1904-10-19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1000000000000001"/>
    <n v="6.9"/>
    <n v="5.8"/>
  </r>
  <r>
    <x v="24"/>
    <d v="1903-12-22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3.05"/>
    <n v="16.7"/>
    <n v="13.65"/>
  </r>
  <r>
    <x v="24"/>
    <d v="1902-07-10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2.4500000000000002"/>
    <n v="16.350000000000001"/>
    <n v="13.9"/>
  </r>
  <r>
    <x v="24"/>
    <d v="1903-09-11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0.95"/>
    <n v="6.35"/>
    <n v="5.4"/>
  </r>
  <r>
    <x v="24"/>
    <d v="1903-12-20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5.65"/>
    <n v="18.899999999999999"/>
    <n v="13.25"/>
  </r>
  <r>
    <x v="24"/>
    <d v="1902-07-21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6.65"/>
    <n v="22.8"/>
    <n v="16.149999999999999"/>
  </r>
  <r>
    <x v="24"/>
    <d v="1903-09-07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7.2"/>
    <n v="23.25"/>
    <n v="16.05"/>
  </r>
  <r>
    <x v="24"/>
    <d v="1905-01-23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4.4000000000000004"/>
    <n v="16.55"/>
    <n v="12.15"/>
  </r>
  <r>
    <x v="24"/>
    <d v="1904-10-11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6.5"/>
    <n v="18.05"/>
    <n v="11.55"/>
  </r>
  <r>
    <x v="24"/>
    <d v="1901-07-04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3.8"/>
    <n v="18"/>
    <n v="14.2"/>
  </r>
  <r>
    <x v="24"/>
    <d v="1904-05-26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8.4499999999999993"/>
    <n v="22.45"/>
    <n v="14"/>
  </r>
  <r>
    <x v="24"/>
    <d v="1903-05-15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"/>
    <n v="8.9"/>
    <n v="7.9"/>
  </r>
  <r>
    <x v="24"/>
    <d v="1904-05-21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6.45"/>
    <n v="19.8"/>
    <n v="13.35"/>
  </r>
  <r>
    <x v="24"/>
    <d v="1903-05-25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1.5"/>
    <n v="12.85"/>
    <n v="11.35"/>
  </r>
  <r>
    <x v="24"/>
    <d v="1904-05-18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5.05"/>
    <n v="17.2"/>
    <n v="12.15"/>
  </r>
  <r>
    <x v="24"/>
    <d v="1903-11-12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2"/>
    <n v="6.55"/>
    <n v="5.35"/>
  </r>
  <r>
    <x v="24"/>
    <d v="1903-12-28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1.45"/>
    <n v="7"/>
    <n v="5.55"/>
  </r>
  <r>
    <x v="24"/>
    <d v="1904-03-23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1"/>
    <n v="9.0500000000000007"/>
    <n v="6.95"/>
  </r>
  <r>
    <x v="24"/>
    <d v="1905-09-30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7"/>
    <n v="9.75"/>
    <n v="7.05"/>
  </r>
  <r>
    <x v="24"/>
    <d v="1900-08-04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2.35"/>
    <n v="11.1"/>
    <n v="8.75"/>
  </r>
  <r>
    <x v="24"/>
    <d v="1900-01-06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1.1499999999999999"/>
    <n v="9.85"/>
    <n v="8.6999999999999993"/>
  </r>
  <r>
    <x v="25"/>
    <d v="1905-01-18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5.85"/>
    <n v="18.5"/>
    <n v="12.65"/>
  </r>
  <r>
    <x v="25"/>
    <d v="1904-12-26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9.3000000000000007"/>
    <n v="24.6"/>
    <n v="15.3"/>
  </r>
  <r>
    <x v="25"/>
    <d v="1905-03-27T00:00:00"/>
    <n v="4"/>
    <s v="ООО &quot;Петро-Васт&quot;"/>
    <s v="ООО &quot;Эко Лэнд&quot;,ЛО, Ломоносовский р-н, п.г.т Большая Ижора, промзона «Бронка-2», квартал 1"/>
    <s v="А030АЕ147"/>
    <n v="9.5500000000000007"/>
    <n v="26.25"/>
    <n v="16.7"/>
  </r>
  <r>
    <x v="25"/>
    <d v="1904-04-02T00:00:00"/>
    <n v="4"/>
    <s v="ООО &quot;Петро-Васт&quot;"/>
    <s v="ООО &quot;Эко Лэнд&quot;,ЛО, Ломоносовский р-н, п.г.т Большая Ижора, промзона «Бронка-2», квартал 1"/>
    <s v="В568СС47"/>
    <n v="10.65"/>
    <n v="25.8"/>
    <n v="15.15"/>
  </r>
  <r>
    <x v="25"/>
    <d v="1905-01-05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2.05"/>
    <n v="27.95"/>
    <n v="15.9"/>
  </r>
  <r>
    <x v="25"/>
    <d v="1902-04-06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2.1"/>
    <n v="17.2"/>
    <n v="15.1"/>
  </r>
  <r>
    <x v="25"/>
    <d v="1903-02-10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1.6"/>
    <n v="16.75"/>
    <n v="15.15"/>
  </r>
  <r>
    <x v="25"/>
    <d v="1903-02-06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5"/>
    <n v="17.3"/>
    <n v="14.8"/>
  </r>
  <r>
    <x v="25"/>
    <d v="1903-09-09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4500000000000002"/>
    <n v="17.350000000000001"/>
    <n v="14.9"/>
  </r>
  <r>
    <x v="25"/>
    <d v="1903-09-16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8.1999999999999993"/>
    <n v="23.65"/>
    <n v="15.45"/>
  </r>
  <r>
    <x v="25"/>
    <d v="1903-06-11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1.95"/>
    <n v="27.95"/>
    <n v="16"/>
  </r>
  <r>
    <x v="25"/>
    <d v="1904-09-17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6.25"/>
    <n v="22.15"/>
    <n v="15.9"/>
  </r>
  <r>
    <x v="25"/>
    <d v="1903-02-12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2"/>
    <n v="27.5"/>
    <n v="15.5"/>
  </r>
  <r>
    <x v="25"/>
    <d v="1904-07-01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8.75"/>
    <n v="24.2"/>
    <n v="15.45"/>
  </r>
  <r>
    <x v="25"/>
    <d v="1902-10-12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9"/>
    <n v="9.1"/>
    <n v="6.2"/>
  </r>
  <r>
    <x v="25"/>
    <d v="1904-09-1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25"/>
    <n v="7.4"/>
    <n v="6.15"/>
  </r>
  <r>
    <x v="25"/>
    <d v="1902-01-12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4"/>
    <n v="8.3000000000000007"/>
    <n v="5.9"/>
  </r>
  <r>
    <x v="25"/>
    <d v="1904-02-1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8"/>
    <n v="7.8"/>
    <n v="6"/>
  </r>
  <r>
    <x v="25"/>
    <d v="1905-01-07T00:00:00"/>
    <n v="1"/>
    <s v="ООО &quot;Эко Лэнд&quot;"/>
    <s v="ООО &quot;Эко Лэнд&quot;,ЛО, Ломоносовский р-н, п.г.т Большая Ижора, промзона «Бронка-2», квартал 1"/>
    <s v="М201ХХ198"/>
    <n v="3.7"/>
    <n v="12"/>
    <n v="8.3000000000000007"/>
  </r>
  <r>
    <x v="25"/>
    <d v="1905-11-19T00:00:00"/>
    <n v="1"/>
    <s v="ООО &quot;Эко Лэнд&quot;"/>
    <s v="ООО &quot;Эко Лэнд&quot;,ЛО, Ломоносовский р-н, п.г.т Большая Ижора, промзона «Бронка-2», квартал 1"/>
    <s v="М201ХХ198"/>
    <n v="1.25"/>
    <n v="9.5"/>
    <n v="8.25"/>
  </r>
  <r>
    <x v="25"/>
    <d v="1905-03-19T00:00:00"/>
    <n v="1"/>
    <s v="ООО &quot;Эко Лэнд&quot;"/>
    <s v="ООО &quot;Эко Лэнд&quot;,ЛО, Ломоносовский р-н, п.г.т Большая Ижора, промзона «Бронка-2», квартал 1"/>
    <s v="С621РО198"/>
    <n v="0.8"/>
    <n v="9.35"/>
    <n v="8.5500000000000007"/>
  </r>
  <r>
    <x v="25"/>
    <d v="1903-01-11T00:00:00"/>
    <n v="1"/>
    <s v="ООО &quot;Эко Лэнд&quot;"/>
    <s v="ООО &quot;Эко Лэнд&quot;,ЛО, Ломоносовский р-н, п.г.т Большая Ижора, промзона «Бронка-2», квартал 1"/>
    <s v="О530АН198"/>
    <n v="6.95"/>
    <n v="19.55"/>
    <n v="12.6"/>
  </r>
  <r>
    <x v="25"/>
    <d v="1905-01-16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11.15"/>
    <n v="27"/>
    <n v="15.85"/>
  </r>
  <r>
    <x v="25"/>
    <d v="1904-10-22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1.1499999999999999"/>
    <n v="12.9"/>
    <n v="11.75"/>
  </r>
  <r>
    <x v="25"/>
    <d v="1904-05-31T00:00:00"/>
    <n v="1"/>
    <s v="ООО &quot;Эко Лэнд&quot;"/>
    <s v="ООО &quot;Эко Лэнд&quot;,ЛО, Ломоносовский р-н, п.г.т Большая Ижора, промзона «Бронка-2», квартал 1"/>
    <s v="О980ТТ198"/>
    <n v="6.85"/>
    <n v="20.55"/>
    <n v="13.7"/>
  </r>
  <r>
    <x v="25"/>
    <d v="1903-02-15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1000000000000001"/>
    <n v="6.35"/>
    <n v="5.25"/>
  </r>
  <r>
    <x v="25"/>
    <d v="1904-02-13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5"/>
    <n v="6.9"/>
    <n v="5.4"/>
  </r>
  <r>
    <x v="25"/>
    <d v="1904-09-2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65"/>
    <n v="7.2"/>
    <n v="5.55"/>
  </r>
  <r>
    <x v="25"/>
    <d v="1905-07-22T00:00:00"/>
    <n v="1"/>
    <s v="ООО &quot;Эко Лэнд&quot;"/>
    <s v="ООО &quot;Эко Лэнд&quot;,ЛО, Ломоносовский р-н, п.г.т Большая Ижора, промзона «Бронка-2», квартал 1"/>
    <s v="Р062ОТ198"/>
    <n v="5.45"/>
    <n v="17.7"/>
    <n v="12.25"/>
  </r>
  <r>
    <x v="25"/>
    <d v="1905-07-18T00:00:00"/>
    <n v="1"/>
    <s v="ООО &quot;Эко Лэнд&quot;"/>
    <s v="ООО &quot;Эко Лэнд&quot;,ЛО, Ломоносовский р-н, п.г.т Большая Ижора, промзона «Бронка-2», квартал 1"/>
    <s v="Р067ОТ198"/>
    <n v="7.45"/>
    <n v="19.600000000000001"/>
    <n v="12.15"/>
  </r>
  <r>
    <x v="25"/>
    <d v="1905-11-23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1.65"/>
    <n v="9.8000000000000007"/>
    <n v="8.15"/>
  </r>
  <r>
    <x v="25"/>
    <d v="1905-07-05T00:00:00"/>
    <n v="1"/>
    <s v="ООО &quot;Эко Лэнд&quot;"/>
    <s v="ООО &quot;Эко Лэнд&quot;,ЛО, Ломоносовский р-н, п.г.т Большая Ижора, промзона «Бронка-2», квартал 1"/>
    <s v="М050ХХ198"/>
    <n v="1"/>
    <n v="9.25"/>
    <n v="8.25"/>
  </r>
  <r>
    <x v="25"/>
    <d v="1904-02-23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10.050000000000001"/>
    <n v="21.95"/>
    <n v="11.9"/>
  </r>
  <r>
    <x v="25"/>
    <d v="1904-06-26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8.65"/>
    <n v="20.85"/>
    <n v="12.2"/>
  </r>
  <r>
    <x v="25"/>
    <d v="1903-08-12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2.7"/>
    <n v="17.8"/>
    <n v="15.1"/>
  </r>
  <r>
    <x v="25"/>
    <d v="1904-06-13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4.4000000000000004"/>
    <n v="18"/>
    <n v="13.6"/>
  </r>
  <r>
    <x v="25"/>
    <d v="1903-12-04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3.15"/>
    <n v="17.3"/>
    <n v="14.15"/>
  </r>
  <r>
    <x v="25"/>
    <d v="1904-10-07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2.75"/>
    <n v="16.850000000000001"/>
    <n v="14.1"/>
  </r>
  <r>
    <x v="25"/>
    <d v="1904-10-17T00:00:00"/>
    <n v="1"/>
    <s v="ООО &quot;Эко Лэнд&quot;"/>
    <s v="ООО &quot;Эко Лэнд&quot;,ЛО, Ломоносовский р-н, п.г.т Большая Ижора, промзона «Бронка-2», квартал 1"/>
    <s v="Р095ОВ198"/>
    <n v="4.55"/>
    <n v="20.25"/>
    <n v="15.7"/>
  </r>
  <r>
    <x v="25"/>
    <d v="1905-04-21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2.9"/>
    <n v="8.25"/>
    <n v="5.35"/>
  </r>
  <r>
    <x v="25"/>
    <d v="1904-06-25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8.4499999999999993"/>
    <n v="21.85"/>
    <n v="13.4"/>
  </r>
  <r>
    <x v="25"/>
    <d v="1905-06-22T00:00:00"/>
    <n v="1"/>
    <s v="ООО &quot;Эко Лэнд&quot;"/>
    <s v="ООО &quot;Эко Лэнд&quot;,ЛО, Ломоносовский р-н, п.г.т Большая Ижора, промзона «Бронка-2», квартал 1"/>
    <s v="Р814НК198"/>
    <n v="5.5"/>
    <n v="17.7"/>
    <n v="12.2"/>
  </r>
  <r>
    <x v="25"/>
    <d v="1903-09-11T00:00:00"/>
    <n v="1"/>
    <s v="ООО &quot;Эко Лэнд&quot;"/>
    <s v="ООО &quot;Эко Лэнд&quot;,ЛО, Ломоносовский р-н, п.г.т Большая Ижора, промзона «Бронка-2», квартал 1"/>
    <s v="Х140МН178"/>
    <n v="2.7"/>
    <n v="14.25"/>
    <n v="11.55"/>
  </r>
  <r>
    <x v="25"/>
    <d v="1904-12-22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9.15"/>
    <n v="23.2"/>
    <n v="14.05"/>
  </r>
  <r>
    <x v="25"/>
    <d v="1904-10-01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8"/>
    <n v="9.6999999999999993"/>
    <n v="7.9"/>
  </r>
  <r>
    <x v="25"/>
    <d v="1905-07-20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4.1500000000000004"/>
    <n v="17.55"/>
    <n v="13.4"/>
  </r>
  <r>
    <x v="25"/>
    <d v="1903-11-30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6.75"/>
    <n v="20.2"/>
    <n v="13.45"/>
  </r>
  <r>
    <x v="25"/>
    <d v="1905-01-11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4.4000000000000004"/>
    <n v="15.7"/>
    <n v="11.3"/>
  </r>
  <r>
    <x v="25"/>
    <d v="1906-04-27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10.35"/>
    <n v="26.95"/>
    <n v="16.600000000000001"/>
  </r>
  <r>
    <x v="25"/>
    <d v="1905-11-19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6.15"/>
    <n v="18.399999999999999"/>
    <n v="12.25"/>
  </r>
  <r>
    <x v="25"/>
    <d v="1906-04-18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3.55"/>
    <n v="12.1"/>
    <n v="8.5500000000000007"/>
  </r>
  <r>
    <x v="25"/>
    <d v="1904-12-18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6"/>
    <n v="12.3"/>
    <n v="8.6999999999999993"/>
  </r>
  <r>
    <x v="25"/>
    <d v="1905-08-09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2.5499999999999998"/>
    <n v="8.75"/>
    <n v="6.2"/>
  </r>
  <r>
    <x v="25"/>
    <d v="1905-01-09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1.2"/>
    <n v="6.55"/>
    <n v="5.35"/>
  </r>
  <r>
    <x v="25"/>
    <d v="1904-10-02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2.15"/>
    <n v="9.1999999999999993"/>
    <n v="7.05"/>
  </r>
  <r>
    <x v="25"/>
    <d v="1905-10-05T00:00:00"/>
    <n v="1"/>
    <s v="ООО &quot;Эко Лэнд&quot;"/>
    <s v="ООО &quot;Эко Лэнд&quot;,ЛО, Ломоносовский р-н, п.г.т Большая Ижора, промзона «Бронка-2», квартал 1"/>
    <s v="С723ТЕ198"/>
    <n v="1.5"/>
    <n v="7.95"/>
    <n v="6.45"/>
  </r>
  <r>
    <x v="25"/>
    <d v="1906-02-12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0499999999999998"/>
    <n v="9.0500000000000007"/>
    <n v="7"/>
  </r>
  <r>
    <x v="25"/>
    <d v="1904-06-15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4"/>
    <n v="12.75"/>
    <n v="8.75"/>
  </r>
  <r>
    <x v="26"/>
    <d v="1903-07-23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6.95"/>
    <n v="19.7"/>
    <n v="12.75"/>
  </r>
  <r>
    <x v="26"/>
    <d v="1900-01-18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6.5"/>
    <n v="21.8"/>
    <n v="15.3"/>
  </r>
  <r>
    <x v="26"/>
    <d v="1900-02-22T00:00:00"/>
    <n v="1"/>
    <s v="ООО &quot;ЛЭК&quot;"/>
    <s v="ООО &quot;Эко Лэнд&quot;,ЛО, Ломоносовский р-н, п.г.т Большая Ижора, промзона «Бронка-2», квартал 1"/>
    <s v="Р519СК198"/>
    <n v="7.7"/>
    <n v="19.3"/>
    <n v="11.6"/>
  </r>
  <r>
    <x v="26"/>
    <d v="1905-11-10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1.35"/>
    <n v="27.25"/>
    <n v="15.9"/>
  </r>
  <r>
    <x v="26"/>
    <d v="1902-10-18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5.0999999999999996"/>
    <n v="19.899999999999999"/>
    <n v="14.8"/>
  </r>
  <r>
    <x v="26"/>
    <d v="1903-05-07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35"/>
    <n v="17.149999999999999"/>
    <n v="14.8"/>
  </r>
  <r>
    <x v="26"/>
    <d v="1904-03-23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9.5500000000000007"/>
    <n v="25.05"/>
    <n v="15.5"/>
  </r>
  <r>
    <x v="26"/>
    <d v="1903-12-25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3.15"/>
    <n v="29.1"/>
    <n v="15.95"/>
  </r>
  <r>
    <x v="26"/>
    <d v="1905-10-25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2.85"/>
    <n v="18.3"/>
    <n v="15.45"/>
  </r>
  <r>
    <x v="26"/>
    <d v="1903-09-17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0.9"/>
    <n v="26.45"/>
    <n v="15.55"/>
  </r>
  <r>
    <x v="26"/>
    <d v="1902-11-10T00:00:00"/>
    <n v="4"/>
    <s v="ООО &quot;Курортный берег&quot;"/>
    <s v="ООО &quot;Эко Лэнд&quot;,ЛО, Ломоносовский р-н, п.г.т Большая Ижора, промзона «Бронка-2», квартал 1"/>
    <s v="Н352МХ"/>
    <n v="22.4"/>
    <n v="48.5"/>
    <n v="26.1"/>
  </r>
  <r>
    <x v="26"/>
    <d v="1902-09-26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55"/>
    <n v="7.7"/>
    <n v="6.15"/>
  </r>
  <r>
    <x v="26"/>
    <d v="1904-03-09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15"/>
    <n v="8.15"/>
    <n v="6"/>
  </r>
  <r>
    <x v="26"/>
    <d v="1902-07-11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8"/>
    <n v="7.8"/>
    <n v="6"/>
  </r>
  <r>
    <x v="26"/>
    <d v="1903-11-22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4"/>
    <n v="7.55"/>
    <n v="6.15"/>
  </r>
  <r>
    <x v="26"/>
    <d v="1904-09-25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9"/>
    <n v="7.8"/>
    <n v="5.9"/>
  </r>
  <r>
    <x v="26"/>
    <d v="1905-01-04T00:00:00"/>
    <n v="1"/>
    <s v="ООО &quot;Эко Лэнд&quot;"/>
    <s v="ООО &quot;Эко Лэнд&quot;,ЛО, Ломоносовский р-н, п.г.т Большая Ижора, промзона «Бронка-2», квартал 1"/>
    <s v="С008УХ"/>
    <n v="4.5"/>
    <n v="13.05"/>
    <n v="8.5500000000000007"/>
  </r>
  <r>
    <x v="26"/>
    <d v="1905-06-30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8.3000000000000007"/>
    <n v="24"/>
    <n v="15.7"/>
  </r>
  <r>
    <x v="26"/>
    <d v="1905-03-23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3.2"/>
    <n v="14.95"/>
    <n v="11.75"/>
  </r>
  <r>
    <x v="26"/>
    <d v="1902-07-13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8"/>
    <n v="6.2"/>
    <n v="5.4"/>
  </r>
  <r>
    <x v="26"/>
    <d v="1903-04-14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8"/>
    <n v="6.35"/>
    <n v="5.55"/>
  </r>
  <r>
    <x v="26"/>
    <d v="1904-03-0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7"/>
    <n v="7.05"/>
    <n v="5.35"/>
  </r>
  <r>
    <x v="26"/>
    <d v="1905-04-10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5.35"/>
    <n v="13.45"/>
    <n v="8.1"/>
  </r>
  <r>
    <x v="26"/>
    <d v="1904-12-30T00:00:00"/>
    <n v="1"/>
    <s v="ООО &quot;Эко Лэнд&quot;"/>
    <s v="ООО &quot;Эко Лэнд&quot;,ЛО, Ломоносовский р-н, п.г.т Большая Ижора, промзона «Бронка-2», квартал 1"/>
    <s v="М050ХХ198"/>
    <n v="4.55"/>
    <n v="12.75"/>
    <n v="8.1999999999999993"/>
  </r>
  <r>
    <x v="26"/>
    <d v="1906-03-01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0.4"/>
    <n v="12.3"/>
    <n v="11.9"/>
  </r>
  <r>
    <x v="26"/>
    <d v="1904-05-20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8.8000000000000007"/>
    <n v="21"/>
    <n v="12.2"/>
  </r>
  <r>
    <x v="26"/>
    <d v="1904-05-18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4.25"/>
    <n v="19.55"/>
    <n v="15.3"/>
  </r>
  <r>
    <x v="26"/>
    <d v="1904-08-31T00:00:00"/>
    <n v="1"/>
    <s v="ООО &quot;Эко Лэнд&quot;"/>
    <s v="ООО &quot;Эко Лэнд&quot;,ЛО, Ломоносовский р-н, п.г.т Большая Ижора, промзона «Бронка-2», квартал 1"/>
    <s v="О889УТ47"/>
    <n v="2.95"/>
    <n v="18.95"/>
    <n v="16"/>
  </r>
  <r>
    <x v="26"/>
    <d v="1904-12-04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8"/>
    <n v="7.4"/>
    <n v="5.6"/>
  </r>
  <r>
    <x v="26"/>
    <d v="1904-07-13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7.55"/>
    <n v="21.2"/>
    <n v="13.65"/>
  </r>
  <r>
    <x v="26"/>
    <d v="1904-10-05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1.85"/>
    <n v="9.6"/>
    <n v="7.75"/>
  </r>
  <r>
    <x v="26"/>
    <d v="1903-05-24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3.7"/>
    <n v="17.8"/>
    <n v="14.1"/>
  </r>
  <r>
    <x v="26"/>
    <d v="1904-03-29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3.25"/>
    <n v="17.3"/>
    <n v="14.05"/>
  </r>
  <r>
    <x v="26"/>
    <d v="1905-04-04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3.2"/>
    <n v="17.25"/>
    <n v="14.05"/>
  </r>
  <r>
    <x v="26"/>
    <d v="1903-11-10T00:00:00"/>
    <n v="1"/>
    <s v="ООО &quot;Эко Лэнд&quot;"/>
    <s v="ООО &quot;Эко Лэнд&quot;,ЛО, Ломоносовский р-н, п.г.т Большая Ижора, промзона «Бронка-2», квартал 1"/>
    <s v="Р188ОС198"/>
    <n v="6.3"/>
    <n v="19.7"/>
    <n v="13.4"/>
  </r>
  <r>
    <x v="26"/>
    <d v="1904-10-16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25"/>
    <n v="6.65"/>
    <n v="5.4"/>
  </r>
  <r>
    <x v="26"/>
    <d v="1904-03-29T00:00:00"/>
    <n v="1"/>
    <s v="ООО &quot;Эко Лэнд&quot;"/>
    <s v="ООО &quot;Эко Лэнд&quot;,ЛО, Ломоносовский р-н, п.г.т Большая Ижора, промзона «Бронка-2», квартал 1"/>
    <s v="О545ХК47"/>
    <n v="6.3"/>
    <n v="22.35"/>
    <n v="16.05"/>
  </r>
  <r>
    <x v="26"/>
    <d v="1903-05-04T00:00:00"/>
    <n v="1"/>
    <s v="ООО &quot;Эко Лэнд&quot;"/>
    <s v="ООО &quot;Эко Лэнд&quot;,ЛО, Ломоносовский р-н, п.г.т Большая Ижора, промзона «Бронка-2», квартал 1"/>
    <s v="Р851ОХ198"/>
    <n v="2.0499999999999998"/>
    <n v="8.9"/>
    <n v="6.85"/>
  </r>
  <r>
    <x v="26"/>
    <d v="1904-07-09T00:00:00"/>
    <n v="1"/>
    <s v="ООО &quot;Эко Лэнд&quot;"/>
    <s v="ООО &quot;Эко Лэнд&quot;,ЛО, Ломоносовский р-н, п.г.т Большая Ижора, промзона «Бронка-2», квартал 1"/>
    <s v="Р211АУ47"/>
    <n v="7.55"/>
    <n v="21.55"/>
    <n v="14"/>
  </r>
  <r>
    <x v="26"/>
    <d v="1905-08-07T00:00:00"/>
    <n v="1"/>
    <s v="ООО &quot;Эко Лэнд&quot;"/>
    <s v="ООО &quot;Эко Лэнд&quot;,ЛО, Ломоносовский р-н, п.г.т Большая Ижора, промзона «Бронка-2», квартал 1"/>
    <s v="А356КС198"/>
    <n v="2.15"/>
    <n v="9.5"/>
    <n v="7.35"/>
  </r>
  <r>
    <x v="26"/>
    <d v="1902-11-06T00:00:00"/>
    <n v="1"/>
    <s v="ООО &quot;Эко Лэнд&quot;"/>
    <s v="ООО &quot;Эко Лэнд&quot;,ЛО, Ломоносовский р-н, п.г.т Большая Ижора, промзона «Бронка-2», квартал 1"/>
    <s v="Н741ОХ198"/>
    <n v="1.55"/>
    <n v="9.4499999999999993"/>
    <n v="7.9"/>
  </r>
  <r>
    <x v="26"/>
    <d v="1905-08-06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6.85"/>
    <n v="20.350000000000001"/>
    <n v="13.5"/>
  </r>
  <r>
    <x v="26"/>
    <d v="1903-12-10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8.0500000000000007"/>
    <n v="21.4"/>
    <n v="13.35"/>
  </r>
  <r>
    <x v="26"/>
    <d v="1905-04-08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1.1000000000000001"/>
    <n v="12.3"/>
    <n v="11.2"/>
  </r>
  <r>
    <x v="26"/>
    <d v="1901-03-27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1.4"/>
    <n v="8.9"/>
    <n v="7.5"/>
  </r>
  <r>
    <x v="26"/>
    <d v="1905-04-18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0.45"/>
    <n v="9.1999999999999993"/>
    <n v="8.75"/>
  </r>
  <r>
    <x v="26"/>
    <d v="1905-07-22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0.8"/>
    <n v="7"/>
    <n v="6.2"/>
  </r>
  <r>
    <x v="26"/>
    <d v="1904-06-28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3"/>
    <n v="8.25"/>
    <n v="6.95"/>
  </r>
  <r>
    <x v="26"/>
    <d v="1906-01-23T00:00:00"/>
    <n v="1"/>
    <s v="ООО &quot;Эко Лэнд&quot;"/>
    <s v="ООО &quot;Эко Лэнд&quot;,ЛО, Ломоносовский р-н, п.г.т Большая Ижора, промзона «Бронка-2», квартал 1"/>
    <s v="С723ТЕ198"/>
    <n v="2.7"/>
    <n v="9.1999999999999993"/>
    <n v="6.5"/>
  </r>
  <r>
    <x v="26"/>
    <d v="1905-10-09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4"/>
    <n v="9.4"/>
    <n v="7"/>
  </r>
  <r>
    <x v="26"/>
    <d v="1904-09-05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2.4"/>
    <n v="9.8000000000000007"/>
    <n v="7.4"/>
  </r>
  <r>
    <x v="26"/>
    <d v="1901-03-13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2.0499999999999998"/>
    <n v="10.85"/>
    <n v="8.8000000000000007"/>
  </r>
  <r>
    <x v="26"/>
    <d v="1906-05-01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0.8"/>
    <n v="9.5"/>
    <n v="8.6999999999999993"/>
  </r>
  <r>
    <x v="27"/>
    <d v="1904-09-23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8.15"/>
    <n v="20.9"/>
    <n v="12.75"/>
  </r>
  <r>
    <x v="27"/>
    <d v="1906-05-27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7.9"/>
    <n v="20.85"/>
    <n v="12.95"/>
  </r>
  <r>
    <x v="27"/>
    <d v="1904-12-19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9.6"/>
    <n v="25"/>
    <n v="15.4"/>
  </r>
  <r>
    <x v="27"/>
    <d v="1902-04-29T00:00:00"/>
    <n v="1"/>
    <s v="ООО &quot;ЛЭК&quot;"/>
    <s v="ООО &quot;Эко Лэнд&quot;,ЛО, Ломоносовский р-н, п.г.т Большая Ижора, промзона «Бронка-2», квартал 1"/>
    <s v="Р906ОУ178"/>
    <n v="3.25"/>
    <n v="15.7"/>
    <n v="12.45"/>
  </r>
  <r>
    <x v="27"/>
    <d v="1904-05-29T00:00:00"/>
    <n v="4"/>
    <s v="ООО &quot;Петро-Васт&quot;"/>
    <s v="ООО &quot;Эко Лэнд&quot;,ЛО, Ломоносовский р-н, п.г.т Большая Ижора, промзона «Бронка-2», квартал 1"/>
    <s v="В187ХО47"/>
    <n v="11.4"/>
    <n v="27.35"/>
    <n v="15.95"/>
  </r>
  <r>
    <x v="27"/>
    <d v="1902-06-23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6.2"/>
    <n v="21.3"/>
    <n v="15.1"/>
  </r>
  <r>
    <x v="27"/>
    <d v="1903-02-13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4.8"/>
    <n v="20"/>
    <n v="15.2"/>
  </r>
  <r>
    <x v="27"/>
    <d v="1903-09-14T00:00:00"/>
    <n v="4"/>
    <s v="ООО &quot;Петро-Васт&quot;"/>
    <s v="ООО &quot;Эко Лэнд&quot;,ЛО, Ломоносовский р-н, п.г.т Большая Ижора, промзона «Бронка-2», квартал 1"/>
    <s v="В184ТЕ47"/>
    <n v="3.1"/>
    <n v="18.149999999999999"/>
    <n v="15.05"/>
  </r>
  <r>
    <x v="27"/>
    <d v="1903-02-1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5.85"/>
    <n v="20.8"/>
    <n v="14.95"/>
  </r>
  <r>
    <x v="27"/>
    <d v="1903-11-0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85"/>
    <n v="17.8"/>
    <n v="14.95"/>
  </r>
  <r>
    <x v="27"/>
    <d v="1904-06-2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3.55"/>
    <n v="18.45"/>
    <n v="14.9"/>
  </r>
  <r>
    <x v="27"/>
    <d v="1903-09-16T00:00:00"/>
    <n v="4"/>
    <s v="ООО &quot;Петро-Васт&quot;"/>
    <s v="ООО &quot;Эко Лэнд&quot;,ЛО, Ломоносовский р-н, п.г.т Большая Ижора, промзона «Бронка-2», квартал 1"/>
    <s v="О083СМ47"/>
    <n v="11"/>
    <n v="26.45"/>
    <n v="15.45"/>
  </r>
  <r>
    <x v="27"/>
    <d v="1904-05-20T00:00:00"/>
    <n v="4"/>
    <s v="ООО &quot;Петро-Васт&quot;"/>
    <s v="ООО &quot;Эко Лэнд&quot;,ЛО, Ломоносовский р-н, п.г.т Большая Ижора, промзона «Бронка-2», квартал 1"/>
    <s v="В451УВ47"/>
    <n v="12.95"/>
    <n v="29"/>
    <n v="16.05"/>
  </r>
  <r>
    <x v="27"/>
    <d v="1903-05-30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1.25"/>
    <n v="26.75"/>
    <n v="15.5"/>
  </r>
  <r>
    <x v="27"/>
    <d v="1904-09-26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7.55"/>
    <n v="23"/>
    <n v="15.45"/>
  </r>
  <r>
    <x v="27"/>
    <d v="1903-02-26T00:00:00"/>
    <n v="4"/>
    <s v="ООО &quot;Петро-Васт&quot;"/>
    <s v="ООО &quot;Эко Лэнд&quot;,ЛО, Ломоносовский р-н, п.г.т Большая Ижора, промзона «Бронка-2», квартал 1"/>
    <s v="К182РС147"/>
    <n v="2.4"/>
    <n v="18.75"/>
    <n v="16.350000000000001"/>
  </r>
  <r>
    <x v="27"/>
    <d v="1903-12-14T00:00:00"/>
    <n v="4"/>
    <s v="ООО &quot;ВЕРЕСК&quot;"/>
    <s v="ООО &quot;Эко Лэнд&quot;,ЛО, Ломоносовский р-н, п.г.т Большая Ижора, промзона «Бронка-2», квартал 1"/>
    <s v="А129УР147"/>
    <n v="5.05"/>
    <n v="16.850000000000001"/>
    <n v="11.8"/>
  </r>
  <r>
    <x v="27"/>
    <d v="1902-03-1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65"/>
    <n v="7.45"/>
    <n v="5.8"/>
  </r>
  <r>
    <x v="27"/>
    <d v="1903-08-17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25"/>
    <n v="7.1"/>
    <n v="5.85"/>
  </r>
  <r>
    <x v="27"/>
    <d v="1905-01-28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1000000000000001"/>
    <n v="6.9"/>
    <n v="5.8"/>
  </r>
  <r>
    <x v="27"/>
    <d v="1902-10-0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2.7"/>
    <n v="8.6"/>
    <n v="5.9"/>
  </r>
  <r>
    <x v="27"/>
    <d v="1904-06-20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4"/>
    <n v="7.3"/>
    <n v="5.9"/>
  </r>
  <r>
    <x v="27"/>
    <d v="1903-04-24T00:00:00"/>
    <n v="1"/>
    <s v="ООО &quot;Эко Лэнд&quot;"/>
    <s v="ООО &quot;Эко Лэнд&quot;,ЛО, Ломоносовский р-н, п.г.т Большая Ижора, промзона «Бронка-2», квартал 1"/>
    <s v="М201ХХ198"/>
    <n v="5"/>
    <n v="13.3"/>
    <n v="8.3000000000000007"/>
  </r>
  <r>
    <x v="27"/>
    <d v="1902-04-22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65"/>
    <n v="13.55"/>
    <n v="9.9"/>
  </r>
  <r>
    <x v="27"/>
    <d v="1903-02-0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2"/>
    <n v="13.4"/>
    <n v="10.199999999999999"/>
  </r>
  <r>
    <x v="27"/>
    <d v="1903-10-31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1500000000000004"/>
    <n v="14.35"/>
    <n v="10.199999999999999"/>
  </r>
  <r>
    <x v="27"/>
    <d v="1904-09-15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5499999999999998"/>
    <n v="12.7"/>
    <n v="10.15"/>
  </r>
  <r>
    <x v="27"/>
    <d v="1905-03-31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5.2"/>
    <n v="16.8"/>
    <n v="11.6"/>
  </r>
  <r>
    <x v="27"/>
    <d v="1902-07-2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0.7"/>
    <n v="6.05"/>
    <n v="5.35"/>
  </r>
  <r>
    <x v="27"/>
    <d v="1903-07-27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2.2999999999999998"/>
    <n v="7.7"/>
    <n v="5.4"/>
  </r>
  <r>
    <x v="27"/>
    <d v="1904-09-09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3"/>
    <n v="8.25"/>
    <n v="5.25"/>
  </r>
  <r>
    <x v="27"/>
    <d v="1904-02-14T00:00:00"/>
    <n v="1"/>
    <s v="ООО &quot;Эко Лэнд&quot;"/>
    <s v="ООО &quot;Эко Лэнд&quot;,ЛО, Ломоносовский р-н, п.г.т Большая Ижора, промзона «Бронка-2», квартал 1"/>
    <s v="Р062ОТ198"/>
    <n v="7.65"/>
    <n v="19.899999999999999"/>
    <n v="12.25"/>
  </r>
  <r>
    <x v="27"/>
    <d v="1904-09-25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3.5"/>
    <n v="11.75"/>
    <n v="8.25"/>
  </r>
  <r>
    <x v="27"/>
    <d v="1905-01-27T00:00:00"/>
    <n v="1"/>
    <s v="ООО &quot;Эко Лэнд&quot;"/>
    <s v="ООО &quot;Эко Лэнд&quot;,ЛО, Ломоносовский р-н, п.г.т Большая Ижора, промзона «Бронка-2», квартал 1"/>
    <s v="М050ХХ198"/>
    <n v="4.55"/>
    <n v="12.8"/>
    <n v="8.25"/>
  </r>
  <r>
    <x v="27"/>
    <d v="1905-03-27T00:00:00"/>
    <n v="1"/>
    <s v="ООО &quot;Эко Лэнд&quot;"/>
    <s v="ООО &quot;Эко Лэнд&quot;,ЛО, Ломоносовский р-н, п.г.т Большая Ижора, промзона «Бронка-2», квартал 1"/>
    <s v="С984РО198"/>
    <n v="1.1499999999999999"/>
    <n v="9.75"/>
    <n v="8.6"/>
  </r>
  <r>
    <x v="27"/>
    <d v="1906-06-16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9.1999999999999993"/>
    <n v="21.1"/>
    <n v="11.9"/>
  </r>
  <r>
    <x v="27"/>
    <d v="1904-09-25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9.1999999999999993"/>
    <n v="21.35"/>
    <n v="12.15"/>
  </r>
  <r>
    <x v="27"/>
    <d v="1903-12-11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2.7"/>
    <n v="17.95"/>
    <n v="15.25"/>
  </r>
  <r>
    <x v="27"/>
    <d v="1904-06-16T00:00:00"/>
    <n v="1"/>
    <s v="ООО &quot;Эко Лэнд&quot;"/>
    <s v="ООО &quot;Эко Лэнд&quot;,ЛО, Ломоносовский р-н, п.г.т Большая Ижора, промзона «Бронка-2», квартал 1"/>
    <s v="О529НМ198"/>
    <n v="8"/>
    <n v="20.05"/>
    <n v="12.05"/>
  </r>
  <r>
    <x v="27"/>
    <d v="1904-05-24T00:00:00"/>
    <n v="1"/>
    <s v="ООО &quot;Эко Лэнд&quot;"/>
    <s v="ООО &quot;Эко Лэнд&quot;,ЛО, Ломоносовский р-н, п.г.т Большая Ижора, промзона «Бронка-2», квартал 1"/>
    <s v="В626ХВ178"/>
    <n v="1.2"/>
    <n v="6.75"/>
    <n v="5.55"/>
  </r>
  <r>
    <x v="27"/>
    <d v="1904-02-18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3.6"/>
    <n v="17.25"/>
    <n v="13.65"/>
  </r>
  <r>
    <x v="27"/>
    <d v="1904-10-14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4.3499999999999996"/>
    <n v="12.05"/>
    <n v="7.7"/>
  </r>
  <r>
    <x v="27"/>
    <d v="1903-09-03T00:00:00"/>
    <n v="1"/>
    <s v="ООО &quot;Эко Лэнд&quot;"/>
    <s v="ООО &quot;Эко Лэнд&quot;,ЛО, Ломоносовский р-н, п.г.т Большая Ижора, промзона «Бронка-2», квартал 1"/>
    <s v="О642УА47"/>
    <n v="2.9"/>
    <n v="16.75"/>
    <n v="13.85"/>
  </r>
  <r>
    <x v="27"/>
    <d v="1905-10-13T00:00:00"/>
    <n v="1"/>
    <s v="ООО &quot;Эко Лэнд&quot;"/>
    <s v="ООО &quot;Эко Лэнд&quot;,ЛО, Ломоносовский р-н, п.г.т Большая Ижора, промзона «Бронка-2», квартал 1"/>
    <s v="Р113ВК198"/>
    <n v="7.3"/>
    <n v="20.8"/>
    <n v="13.5"/>
  </r>
  <r>
    <x v="27"/>
    <d v="1904-12-24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.25"/>
    <n v="6.65"/>
    <n v="5.4"/>
  </r>
  <r>
    <x v="27"/>
    <d v="1903-12-12T00:00:00"/>
    <n v="1"/>
    <s v="ООО &quot;Эко Лэнд&quot;"/>
    <s v="ООО &quot;Эко Лэнд&quot;,ЛО, Ломоносовский р-н, п.г.т Большая Ижора, промзона «Бронка-2», квартал 1"/>
    <s v="Р054НМ198"/>
    <n v="13"/>
    <n v="28.7"/>
    <n v="15.7"/>
  </r>
  <r>
    <x v="27"/>
    <d v="1903-07-27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8.25"/>
    <n v="21.7"/>
    <n v="13.45"/>
  </r>
  <r>
    <x v="27"/>
    <d v="1905-01-13T00:00:00"/>
    <n v="1"/>
    <s v="ООО &quot;Эко Лэнд&quot;"/>
    <s v="ООО &quot;Эко Лэнд&quot;,ЛО, Ломоносовский р-н, п.г.т Большая Ижора, промзона «Бронка-2», квартал 1"/>
    <s v="Р446ОР198"/>
    <n v="7.05"/>
    <n v="20.6"/>
    <n v="13.55"/>
  </r>
  <r>
    <x v="27"/>
    <d v="1905-07-29T00:00:00"/>
    <n v="1"/>
    <s v="ООО &quot;Эко Лэнд&quot;"/>
    <s v="ООО &quot;Эко Лэнд&quot;,ЛО, Ломоносовский р-н, п.г.т Большая Ижора, промзона «Бронка-2», квартал 1"/>
    <s v="А356КС198"/>
    <n v="2.1"/>
    <n v="9.4499999999999993"/>
    <n v="7.35"/>
  </r>
  <r>
    <x v="27"/>
    <d v="1905-04-15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5.95"/>
    <n v="19.350000000000001"/>
    <n v="13.4"/>
  </r>
  <r>
    <x v="27"/>
    <d v="1905-10-28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4.55"/>
    <n v="18.100000000000001"/>
    <n v="13.55"/>
  </r>
  <r>
    <x v="27"/>
    <d v="1904-09-05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0.45"/>
    <n v="11.85"/>
    <n v="11.4"/>
  </r>
  <r>
    <x v="27"/>
    <d v="1905-04-13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9.15"/>
    <n v="25.8"/>
    <n v="16.649999999999999"/>
  </r>
  <r>
    <x v="27"/>
    <d v="1905-04-17T00:00:00"/>
    <n v="1"/>
    <s v="ООО &quot;Эко Лэнд&quot;"/>
    <s v="ООО &quot;Эко Лэнд&quot;,ЛО, Ломоносовский р-н, п.г.т Большая Ижора, промзона «Бронка-2», квартал 1"/>
    <s v="К059ВУ147"/>
    <n v="2.6"/>
    <n v="9.9499999999999993"/>
    <n v="7.35"/>
  </r>
  <r>
    <x v="27"/>
    <d v="1903-11-28T00:00:00"/>
    <n v="1"/>
    <s v="ООО &quot;Эко Лэнд&quot;"/>
    <s v="ООО &quot;Эко Лэнд&quot;,ЛО, Ломоносовский р-н, п.г.т Большая Ижора, промзона «Бронка-2», квартал 1"/>
    <s v="В622НМ198"/>
    <n v="5.55"/>
    <n v="17.05"/>
    <n v="11.5"/>
  </r>
  <r>
    <x v="27"/>
    <d v="1905-06-22T00:00:00"/>
    <n v="1"/>
    <s v="ООО &quot;Эко Лэнд&quot;"/>
    <s v="ООО &quot;Эко Лэнд&quot;,ЛО, Ломоносовский р-н, п.г.т Большая Ижора, промзона «Бронка-2», квартал 1"/>
    <s v="Р573ОМ198"/>
    <n v="5.5"/>
    <n v="17.7"/>
    <n v="12.2"/>
  </r>
  <r>
    <x v="27"/>
    <d v="1904-07-09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0.4"/>
    <n v="5.75"/>
    <n v="5.35"/>
  </r>
  <r>
    <x v="27"/>
    <d v="1904-03-03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1.45"/>
    <n v="10"/>
    <n v="8.5500000000000007"/>
  </r>
  <r>
    <x v="27"/>
    <d v="1904-09-07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1"/>
    <n v="11.8"/>
    <n v="8.6999999999999993"/>
  </r>
  <r>
    <x v="27"/>
    <d v="1905-03-17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1.95"/>
    <n v="8.15"/>
    <n v="6.2"/>
  </r>
  <r>
    <x v="27"/>
    <d v="1903-12-05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85"/>
    <n v="8.85"/>
    <n v="7"/>
  </r>
  <r>
    <x v="27"/>
    <d v="1902-10-21T00:00:00"/>
    <n v="1"/>
    <s v="ООО &quot;Эко Лэнд&quot;"/>
    <s v="ООО &quot;Эко Лэнд&quot;,ЛО, Ломоносовский р-н, п.г.т Большая Ижора, промзона «Бронка-2», квартал 1"/>
    <s v="В036ОТ198"/>
    <n v="0.95"/>
    <n v="12.9"/>
    <n v="11.95"/>
  </r>
  <r>
    <x v="27"/>
    <d v="1905-04-23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0.5"/>
    <n v="7.6"/>
    <n v="7.1"/>
  </r>
  <r>
    <x v="27"/>
    <d v="1905-11-11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2.8"/>
    <n v="11.55"/>
    <n v="8.75"/>
  </r>
  <r>
    <x v="28"/>
    <d v="1903-11-08T00:00:00"/>
    <n v="1"/>
    <s v="ООО &quot;ЛЭК&quot;"/>
    <s v="ООО &quot;Эко Лэнд&quot;,ЛО, Ломоносовский р-н, п.г.т Большая Ижора, промзона «Бронка-2», квартал 1"/>
    <s v="С257КХ178"/>
    <n v="7.5"/>
    <n v="20.3"/>
    <n v="12.8"/>
  </r>
  <r>
    <x v="28"/>
    <d v="1904-05-23T00:00:00"/>
    <n v="1"/>
    <s v="ООО &quot;ЛЭК&quot;"/>
    <s v="ООО &quot;Эко Лэнд&quot;,ЛО, Ломоносовский р-н, п.г.т Большая Ижора, промзона «Бронка-2», квартал 1"/>
    <s v="Н540УК198"/>
    <n v="8.9499999999999993"/>
    <n v="24.35"/>
    <n v="15.4"/>
  </r>
  <r>
    <x v="28"/>
    <d v="1905-04-10T00:00:00"/>
    <n v="4"/>
    <s v="ООО &quot;Петро-Васт&quot;"/>
    <s v="ООО &quot;Эко Лэнд&quot;,ЛО, Ломоносовский р-н, п.г.т Большая Ижора, промзона «Бронка-2», квартал 1"/>
    <s v="В568СС47"/>
    <n v="6.05"/>
    <n v="21.45"/>
    <n v="15.4"/>
  </r>
  <r>
    <x v="28"/>
    <d v="1902-07-18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6"/>
    <n v="17.45"/>
    <n v="14.85"/>
  </r>
  <r>
    <x v="28"/>
    <d v="1903-03-03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5499999999999998"/>
    <n v="17.399999999999999"/>
    <n v="14.85"/>
  </r>
  <r>
    <x v="28"/>
    <d v="1903-12-09T00:00:00"/>
    <n v="4"/>
    <s v="ООО &quot;Петро-Васт&quot;"/>
    <s v="ООО &quot;Эко Лэнд&quot;,ЛО, Ломоносовский р-н, п.г.т Большая Ижора, промзона «Бронка-2», квартал 1"/>
    <s v="О122УО47"/>
    <n v="2.2999999999999998"/>
    <n v="17.100000000000001"/>
    <n v="14.8"/>
  </r>
  <r>
    <x v="28"/>
    <d v="1905-04-04T00:00:00"/>
    <n v="4"/>
    <s v="ООО &quot;Петро-Васт&quot;"/>
    <s v="ООО &quot;Эко Лэнд&quot;,ЛО, Ломоносовский р-н, п.г.т Большая Ижора, промзона «Бронка-2», квартал 1"/>
    <s v="В381РО47"/>
    <n v="12.75"/>
    <n v="28.6"/>
    <n v="15.85"/>
  </r>
  <r>
    <x v="28"/>
    <d v="1903-08-05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10.4"/>
    <n v="25.9"/>
    <n v="15.5"/>
  </r>
  <r>
    <x v="28"/>
    <d v="1905-03-16T00:00:00"/>
    <n v="4"/>
    <s v="ООО &quot;Петро-Васт&quot;"/>
    <s v="ООО &quot;Эко Лэнд&quot;,ЛО, Ломоносовский р-н, п.г.т Большая Ижора, промзона «Бронка-2», квартал 1"/>
    <s v="А693АР147"/>
    <n v="9.1999999999999993"/>
    <n v="24.65"/>
    <n v="15.45"/>
  </r>
  <r>
    <x v="28"/>
    <d v="1903-02-18T00:00:00"/>
    <n v="4"/>
    <s v="ООО &quot;Курортный берег&quot;"/>
    <s v="ООО &quot;Эко Лэнд&quot;,ЛО, Ломоносовский р-н, п.г.т Большая Ижора, промзона «Бронка-2», квартал 1"/>
    <s v="Н352МХ"/>
    <n v="20.85"/>
    <n v="47.05"/>
    <n v="26.2"/>
  </r>
  <r>
    <x v="28"/>
    <d v="1900-04-13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2.1"/>
    <n v="7.9"/>
    <n v="5.8"/>
  </r>
  <r>
    <x v="28"/>
    <d v="1903-06-1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4.5999999999999996"/>
    <n v="10.45"/>
    <n v="5.85"/>
  </r>
  <r>
    <x v="28"/>
    <d v="1904-03-22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5"/>
    <n v="7.45"/>
    <n v="5.95"/>
  </r>
  <r>
    <x v="28"/>
    <d v="1905-01-11T00:00:00"/>
    <n v="1"/>
    <s v="ООО &quot;Сити-Клининг&quot;"/>
    <s v="ООО &quot;Эко Лэнд&quot;,ЛО, Ломоносовский р-н, п.г.т Большая Ижора, промзона «Бронка-2», квартал 1"/>
    <s v="Е677ТА198"/>
    <n v="1.85"/>
    <n v="7.65"/>
    <n v="5.8"/>
  </r>
  <r>
    <x v="28"/>
    <d v="1902-07-19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3"/>
    <n v="8.9"/>
    <n v="5.9"/>
  </r>
  <r>
    <x v="28"/>
    <d v="1904-10-1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85"/>
    <n v="7.9"/>
    <n v="6.05"/>
  </r>
  <r>
    <x v="28"/>
    <d v="1905-11-16T00:00:00"/>
    <n v="1"/>
    <s v="ООО &quot;Сити-Клининг&quot;"/>
    <s v="ООО &quot;Эко Лэнд&quot;,ЛО, Ломоносовский р-н, п.г.т Большая Ижора, промзона «Бронка-2», квартал 1"/>
    <s v="К620ОС198"/>
    <n v="1.65"/>
    <n v="7.75"/>
    <n v="6.1"/>
  </r>
  <r>
    <x v="28"/>
    <d v="1903-11-02T00:00:00"/>
    <n v="1"/>
    <s v="ООО &quot;Эко Лэнд&quot;"/>
    <s v="ООО &quot;Эко Лэнд&quot;,ЛО, Ломоносовский р-н, п.г.т Большая Ижора, промзона «Бронка-2», квартал 1"/>
    <s v="О530АН198"/>
    <n v="3.75"/>
    <n v="16.353999999999999"/>
    <n v="12.6"/>
  </r>
  <r>
    <x v="28"/>
    <d v="1903-02-15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4.8"/>
    <n v="15.05"/>
    <n v="10.25"/>
  </r>
  <r>
    <x v="28"/>
    <d v="1903-11-28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2.35"/>
    <n v="12.55"/>
    <n v="10.199999999999999"/>
  </r>
  <r>
    <x v="28"/>
    <d v="1904-09-24T00:00:00"/>
    <n v="1"/>
    <s v="ООО &quot;Эко Лэнд&quot;"/>
    <s v="ООО &quot;Эко Лэнд&quot;,ЛО, Ломоносовский р-н, п.г.т Большая Ижора, промзона «Бронка-2», квартал 1"/>
    <s v="О771СВ47"/>
    <n v="3.05"/>
    <n v="13.25"/>
    <n v="10.199999999999999"/>
  </r>
  <r>
    <x v="28"/>
    <d v="1904-10-20T00:00:00"/>
    <n v="1"/>
    <s v="ООО &quot;Эко Лэнд&quot;"/>
    <s v="ООО &quot;Эко Лэнд&quot;,ЛО, Ломоносовский р-н, п.г.т Большая Ижора, промзона «Бронка-2», квартал 1"/>
    <s v="О879УН47"/>
    <n v="5.0999999999999996"/>
    <n v="20.75"/>
    <n v="15.65"/>
  </r>
  <r>
    <x v="28"/>
    <d v="1905-04-14T00:00:00"/>
    <n v="1"/>
    <s v="ООО &quot;Эко Лэнд&quot;"/>
    <s v="ООО &quot;Эко Лэнд&quot;,ЛО, Ломоносовский р-н, п.г.т Большая Ижора, промзона «Бронка-2», квартал 1"/>
    <s v="О972СО198"/>
    <n v="2.95"/>
    <n v="14.7"/>
    <n v="11.75"/>
  </r>
  <r>
    <x v="28"/>
    <d v="1902-08-0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3"/>
    <n v="6.85"/>
    <n v="5.55"/>
  </r>
  <r>
    <x v="28"/>
    <d v="1903-05-23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2"/>
    <n v="7.35"/>
    <n v="5.35"/>
  </r>
  <r>
    <x v="28"/>
    <d v="1904-10-18T00:00:00"/>
    <n v="1"/>
    <s v="ООО &quot;Эко Лэнд&quot;"/>
    <s v="ООО &quot;Эко Лэнд&quot;,ЛО, Ломоносовский р-н, п.г.т Большая Ижора, промзона «Бронка-2», квартал 1"/>
    <s v="Р026КХ198"/>
    <n v="1.85"/>
    <n v="7.4"/>
    <n v="5.55"/>
  </r>
  <r>
    <x v="28"/>
    <d v="1903-12-14T00:00:00"/>
    <n v="1"/>
    <s v="ООО &quot;Эко Лэнд&quot;"/>
    <s v="ООО &quot;Эко Лэнд&quot;,ЛО, Ломоносовский р-н, п.г.т Большая Ижора, промзона «Бронка-2», квартал 1"/>
    <s v="Р062ОТ198"/>
    <n v="7.65"/>
    <n v="19.95"/>
    <n v="12.3"/>
  </r>
  <r>
    <x v="28"/>
    <d v="1904-10-22T00:00:00"/>
    <n v="1"/>
    <s v="ООО &quot;Эко Лэнд&quot;"/>
    <s v="ООО &quot;Эко Лэнд&quot;,ЛО, Ломоносовский р-н, п.г.т Большая Ижора, промзона «Бронка-2», квартал 1"/>
    <s v="М197ХХ198"/>
    <n v="3.9"/>
    <n v="12.15"/>
    <n v="8.25"/>
  </r>
  <r>
    <x v="28"/>
    <d v="1905-04-06T00:00:00"/>
    <n v="1"/>
    <s v="ООО &quot;Эко Лэнд&quot;"/>
    <s v="ООО &quot;Эко Лэнд&quot;,ЛО, Ломоносовский р-н, п.г.т Большая Ижора, промзона «Бронка-2», квартал 1"/>
    <s v="М050ХХ198"/>
    <n v="1.5"/>
    <n v="9.75"/>
    <n v="8.25"/>
  </r>
  <r>
    <x v="28"/>
    <d v="1904-06-03T00:00:00"/>
    <n v="1"/>
    <s v="ООО &quot;Эко Лэнд&quot;"/>
    <s v="ООО &quot;Эко Лэнд&quot;,ЛО, Ломоносовский р-н, п.г.т Большая Ижора, промзона «Бронка-2», квартал 1"/>
    <s v="Н437МН198"/>
    <n v="9"/>
    <n v="22"/>
    <n v="13"/>
  </r>
  <r>
    <x v="28"/>
    <d v="1903-07-25T00:00:00"/>
    <n v="1"/>
    <s v="ООО &quot;Эко Лэнд&quot;"/>
    <s v="ООО &quot;Эко Лэнд&quot;,ЛО, Ломоносовский р-н, п.г.т Большая Ижора, промзона «Бронка-2», квартал 1"/>
    <s v="Н914МЕ198"/>
    <n v="4.95"/>
    <n v="18.5"/>
    <n v="13.55"/>
  </r>
  <r>
    <x v="28"/>
    <d v="1905-04-02T00:00:00"/>
    <n v="1"/>
    <s v="ООО &quot;Эко Лэнд&quot;"/>
    <s v="ООО &quot;Эко Лэнд&quot;,ЛО, Ломоносовский р-н, п.г.т Большая Ижора, промзона «Бронка-2», квартал 1"/>
    <s v="А424ТХ198"/>
    <n v="3.35"/>
    <n v="15.3"/>
    <n v="11.95"/>
  </r>
  <r>
    <x v="28"/>
    <d v="1904-09-13T00:00:00"/>
    <n v="1"/>
    <s v="ООО &quot;Эко Лэнд&quot;"/>
    <s v="ООО &quot;Эко Лэнд&quot;,ЛО, Ломоносовский р-н, п.г.т Большая Ижора, промзона «Бронка-2», квартал 1"/>
    <s v="А370ТХ 198"/>
    <n v="7.5"/>
    <n v="19.7"/>
    <n v="12.2"/>
  </r>
  <r>
    <x v="28"/>
    <d v="1903-11-26T00:00:00"/>
    <n v="1"/>
    <s v="ООО &quot;Эко Лэнд&quot;"/>
    <s v="ООО &quot;Эко Лэнд&quot;,ЛО, Ломоносовский р-н, п.г.т Большая Ижора, промзона «Бронка-2», квартал 1"/>
    <s v="К130ОС147"/>
    <n v="4.55"/>
    <n v="19.899999999999999"/>
    <n v="15.35"/>
  </r>
  <r>
    <x v="28"/>
    <d v="1903-12-25T00:00:00"/>
    <n v="1"/>
    <s v="ООО &quot;Эко Лэнд&quot;"/>
    <s v="ООО &quot;Эко Лэнд&quot;,ЛО, Ломоносовский р-н, п.г.т Большая Ижора, промзона «Бронка-2», квартал 1"/>
    <s v="Р806НК198"/>
    <n v="5.9"/>
    <n v="18.100000000000001"/>
    <n v="12.2"/>
  </r>
  <r>
    <x v="28"/>
    <d v="1902-04-17T00:00:00"/>
    <n v="1"/>
    <s v="ООО &quot;Эко Лэнд&quot;"/>
    <s v="ООО &quot;Эко Лэнд&quot;,ЛО, Ломоносовский р-н, п.г.т Большая Ижора, промзона «Бронка-2», квартал 1"/>
    <s v="О889УТ47"/>
    <n v="2.7"/>
    <n v="18.5"/>
    <n v="15.8"/>
  </r>
  <r>
    <x v="28"/>
    <d v="1903-12-05T00:00:00"/>
    <n v="1"/>
    <s v="ООО &quot;Эко Лэнд&quot;"/>
    <s v="ООО &quot;Эко Лэнд&quot;,ЛО, Ломоносовский р-н, п.г.т Большая Ижора, промзона «Бронка-2», квартал 1"/>
    <s v="С858ЕТ198"/>
    <n v="3.35"/>
    <n v="16.899999999999999"/>
    <n v="13.55"/>
  </r>
  <r>
    <x v="28"/>
    <d v="1903-12-26T00:00:00"/>
    <n v="1"/>
    <s v="ООО &quot;Эко Лэнд&quot;"/>
    <s v="ООО &quot;Эко Лэнд&quot;,ЛО, Ломоносовский р-н, п.г.т Большая Ижора, промзона «Бронка-2», квартал 1"/>
    <s v="Н385НО198"/>
    <n v="2.65"/>
    <n v="10.45"/>
    <n v="7.8"/>
  </r>
  <r>
    <x v="28"/>
    <d v="1903-12-27T00:00:00"/>
    <n v="1"/>
    <s v="ООО &quot;Эко Лэнд&quot;"/>
    <s v="ООО &quot;Эко Лэнд&quot;,ЛО, Ломоносовский р-н, п.г.т Большая Ижора, промзона «Бронка-2», квартал 1"/>
    <s v="Р447ОР198"/>
    <n v="8.5"/>
    <n v="22.2"/>
    <n v="13.7"/>
  </r>
  <r>
    <x v="28"/>
    <d v="1904-06-19T00:00:00"/>
    <n v="1"/>
    <s v="ООО &quot;Эко Лэнд&quot;"/>
    <s v="ООО &quot;Эко Лэнд&quot;,ЛО, Ломоносовский р-н, п.г.т Большая Ижора, промзона «Бронка-2», квартал 1"/>
    <s v="Р334КН198"/>
    <n v="1"/>
    <n v="6.55"/>
    <n v="5.55"/>
  </r>
  <r>
    <x v="28"/>
    <d v="1904-03-08T00:00:00"/>
    <n v="1"/>
    <s v="ООО &quot;Эко Лэнд&quot;"/>
    <s v="ООО &quot;Эко Лэнд&quot;,ЛО, Ломоносовский р-н, п.г.т Большая Ижора, промзона «Бронка-2», квартал 1"/>
    <s v="Р238АУ198"/>
    <n v="6"/>
    <n v="19.399999999999999"/>
    <n v="13.4"/>
  </r>
  <r>
    <x v="28"/>
    <d v="1904-09-10T00:00:00"/>
    <n v="1"/>
    <s v="ООО &quot;Эко Лэнд&quot;"/>
    <s v="ООО &quot;Эко Лэнд&quot;,ЛО, Ломоносовский р-н, п.г.т Большая Ижора, промзона «Бронка-2», квартал 1"/>
    <s v="А356КС198"/>
    <n v="1.75"/>
    <n v="9.1999999999999993"/>
    <n v="7.45"/>
  </r>
  <r>
    <x v="28"/>
    <d v="1904-02-16T00:00:00"/>
    <n v="1"/>
    <s v="ООО &quot;Эко Лэнд&quot;"/>
    <s v="ООО &quot;Эко Лэнд&quot;,ЛО, Ломоносовский р-н, п.г.т Большая Ижора, промзона «Бронка-2», квартал 1"/>
    <s v="Р181МУ198"/>
    <n v="1.8"/>
    <n v="8.5500000000000007"/>
    <n v="6.75"/>
  </r>
  <r>
    <x v="28"/>
    <d v="1904-10-14T00:00:00"/>
    <n v="1"/>
    <s v="ООО &quot;Эко Лэнд&quot;"/>
    <s v="ООО &quot;Эко Лэнд&quot;,ЛО, Ломоносовский р-н, п.г.т Большая Ижора, промзона «Бронка-2», квартал 1"/>
    <s v="О075УА198"/>
    <n v="5.95"/>
    <n v="19.45"/>
    <n v="13.5"/>
  </r>
  <r>
    <x v="28"/>
    <d v="1905-03-20T00:00:00"/>
    <n v="1"/>
    <s v="ООО &quot;Эко Лэнд&quot;"/>
    <s v="ООО &quot;Эко Лэнд&quot;,ЛО, Ломоносовский р-н, п.г.т Большая Ижора, промзона «Бронка-2», квартал 1"/>
    <s v="О078РО198"/>
    <n v="8.5"/>
    <n v="21.95"/>
    <n v="13.45"/>
  </r>
  <r>
    <x v="28"/>
    <d v="1905-01-16T00:00:00"/>
    <n v="1"/>
    <s v="ООО &quot;Эко Лэнд&quot;"/>
    <s v="ООО &quot;Эко Лэнд&quot;,ЛО, Ломоносовский р-н, п.г.т Большая Ижора, промзона «Бронка-2», квартал 1"/>
    <s v="В848УУ198"/>
    <n v="2.2999999999999998"/>
    <n v="13.6"/>
    <n v="11.3"/>
  </r>
  <r>
    <x v="28"/>
    <d v="1904-04-03T00:00:00"/>
    <n v="1"/>
    <s v="ООО &quot;Эко Лэнд&quot;"/>
    <s v="ООО &quot;Эко Лэнд&quot;,ЛО, Ломоносовский р-н, п.г.т Большая Ижора, промзона «Бронка-2», квартал 1"/>
    <s v="В904УУ198"/>
    <n v="8.0500000000000007"/>
    <n v="24.65"/>
    <n v="16.600000000000001"/>
  </r>
  <r>
    <x v="28"/>
    <d v="1904-02-14T00:00:00"/>
    <n v="1"/>
    <s v="ООО &quot;Эко Лэнд&quot;"/>
    <s v="ООО &quot;Эко Лэнд&quot;,ЛО, Ломоносовский р-н, п.г.т Большая Ижора, промзона «Бронка-2», квартал 1"/>
    <s v="В627ХВ178"/>
    <n v="1.45"/>
    <n v="7.2"/>
    <n v="5.75"/>
  </r>
  <r>
    <x v="28"/>
    <d v="1903-12-19T00:00:00"/>
    <n v="1"/>
    <s v="ООО &quot;Эко Лэнд&quot;"/>
    <s v="ООО &quot;Эко Лэнд&quot;,ЛО, Ломоносовский р-н, п.г.т Большая Ижора, промзона «Бронка-2», квартал 1"/>
    <s v="С932КУ198"/>
    <n v="4.55"/>
    <n v="13.15"/>
    <n v="8.6"/>
  </r>
  <r>
    <x v="28"/>
    <d v="1904-06-24T00:00:00"/>
    <n v="1"/>
    <s v="ООО &quot;Эко Лэнд&quot;"/>
    <s v="ООО &quot;Эко Лэнд&quot;,ЛО, Ломоносовский р-н, п.г.т Большая Ижора, промзона «Бронка-2», квартал 1"/>
    <s v="С861РО198"/>
    <n v="3.8"/>
    <n v="12.45"/>
    <n v="8.65"/>
  </r>
  <r>
    <x v="28"/>
    <d v="1904-09-13T00:00:00"/>
    <n v="1"/>
    <s v="ООО &quot;Эко Лэнд&quot;"/>
    <s v="ООО &quot;Эко Лэнд&quot;,ЛО, Ломоносовский р-н, п.г.т Большая Ижора, промзона «Бронка-2», квартал 1"/>
    <s v="С727ТЕ178"/>
    <n v="2.7"/>
    <n v="8.9"/>
    <n v="6.2"/>
  </r>
  <r>
    <x v="28"/>
    <d v="1904-03-09T00:00:00"/>
    <n v="1"/>
    <s v="ООО &quot;Эко Лэнд&quot;"/>
    <s v="ООО &quot;Эко Лэнд&quot;,ЛО, Ломоносовский р-н, п.г.т Большая Ижора, промзона «Бронка-2», квартал 1"/>
    <s v="С721ТЕ178"/>
    <n v="0.65"/>
    <n v="6.05"/>
    <n v="5.4"/>
  </r>
  <r>
    <x v="28"/>
    <d v="1903-11-01T00:00:00"/>
    <n v="1"/>
    <s v="ООО &quot;Эко Лэнд&quot;"/>
    <s v="ООО &quot;Эко Лэнд&quot;,ЛО, Ломоносовский р-н, п.г.т Большая Ижора, промзона «Бронка-2», квартал 1"/>
    <s v="Н274МН198"/>
    <n v="3.2"/>
    <n v="16.899999999999999"/>
    <n v="13.7"/>
  </r>
  <r>
    <x v="28"/>
    <d v="1903-12-03T00:00:00"/>
    <n v="1"/>
    <s v="ООО &quot;Эко Лэнд&quot;"/>
    <s v="ООО &quot;Эко Лэнд&quot;,ЛО, Ломоносовский р-н, п.г.т Большая Ижора, промзона «Бронка-2», квартал 1"/>
    <s v="Н151ОХ198"/>
    <n v="1.2"/>
    <n v="8.15"/>
    <n v="6.95"/>
  </r>
  <r>
    <x v="28"/>
    <d v="1904-05-26T00:00:00"/>
    <n v="1"/>
    <s v="ООО &quot;Эко Лэнд&quot;"/>
    <s v="ООО &quot;Эко Лэнд&quot;,ЛО, Ломоносовский р-н, п.г.т Большая Ижора, промзона «Бронка-2», квартал 1"/>
    <s v="В036ОТ198"/>
    <n v="5.55"/>
    <n v="17.399999999999999"/>
    <n v="11.85"/>
  </r>
  <r>
    <x v="28"/>
    <d v="1904-06-19T00:00:00"/>
    <n v="1"/>
    <s v="ООО &quot;Эко Лэнд&quot;"/>
    <s v="ООО &quot;Эко Лэнд&quot;,ЛО, Ломоносовский р-н, п.г.т Большая Ижора, промзона «Бронка-2», квартал 1"/>
    <s v="Н383ОХ198"/>
    <n v="2.1"/>
    <n v="9.1999999999999993"/>
    <n v="7.1"/>
  </r>
  <r>
    <x v="28"/>
    <d v="1905-11-28T00:00:00"/>
    <n v="1"/>
    <s v="ООО &quot;Эко Лэнд&quot;"/>
    <s v="ООО &quot;Эко Лэнд&quot;,ЛО, Ломоносовский р-н, п.г.т Большая Ижора, промзона «Бронка-2», квартал 1"/>
    <s v="С161РО198"/>
    <n v="1.8"/>
    <n v="10.55"/>
    <n v="8.7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n v="1753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6400"/>
    <n v="26720"/>
    <n v="320"/>
    <s v="Обработка"/>
  </r>
  <r>
    <x v="0"/>
    <n v="1305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1650"/>
    <n v="21840"/>
    <n v="190"/>
    <s v="Обработка"/>
  </r>
  <r>
    <x v="0"/>
    <n v="948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3600"/>
    <n v="23720"/>
    <n v="120"/>
    <s v="Обработка"/>
  </r>
  <r>
    <x v="0"/>
    <n v="1654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31000"/>
    <n v="31280"/>
    <n v="280"/>
    <s v="Обработка"/>
  </r>
  <r>
    <x v="0"/>
    <n v="1936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5800"/>
    <n v="26100"/>
    <n v="300"/>
    <s v="Обработка"/>
  </r>
  <r>
    <x v="0"/>
    <n v="1934"/>
    <n v="1"/>
    <s v="ООО &quot;Эко Лэнд&quot;,ЛО, Ломоносовский р-н, п.г.т Большая Ижора, промзона «Бронка-2», квартал 1"/>
    <s v="ООО &quot;ГАММА&quot;"/>
    <s v="FAW"/>
    <s v="Н554ВУ199"/>
    <s v="АВТО-БЕРКУТ"/>
    <n v="23550"/>
    <n v="23620"/>
    <n v="70"/>
    <s v="Обработка"/>
  </r>
  <r>
    <x v="0"/>
    <n v="104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3950"/>
    <n v="24000"/>
    <n v="50"/>
    <s v="Обработка"/>
  </r>
  <r>
    <x v="1"/>
    <n v="2030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30100"/>
    <n v="30080"/>
    <n v="-20"/>
    <s v="Обработка"/>
  </r>
  <r>
    <x v="1"/>
    <n v="1317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2600"/>
    <n v="23000"/>
    <n v="400"/>
    <s v="Обработка"/>
  </r>
  <r>
    <x v="1"/>
    <n v="1850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0150"/>
    <n v="20640"/>
    <n v="490"/>
    <s v="Обработка"/>
  </r>
  <r>
    <x v="1"/>
    <n v="1547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2500"/>
    <n v="22800"/>
    <n v="300"/>
    <s v="Обработка"/>
  </r>
  <r>
    <x v="1"/>
    <n v="633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4400"/>
    <n v="23220"/>
    <n v="-1180"/>
    <s v="Обработка"/>
  </r>
  <r>
    <x v="1"/>
    <n v="1449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31200"/>
    <n v="29600"/>
    <n v="-1600"/>
    <s v="Обработка"/>
  </r>
  <r>
    <x v="2"/>
    <n v="1407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2450"/>
    <n v="22820"/>
    <n v="370"/>
    <s v="Обработка"/>
  </r>
  <r>
    <x v="2"/>
    <n v="1405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0050"/>
    <n v="20520"/>
    <n v="470"/>
    <s v="Обработка"/>
  </r>
  <r>
    <x v="2"/>
    <n v="1200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1700"/>
    <n v="22660"/>
    <n v="960"/>
    <s v="Обработка"/>
  </r>
  <r>
    <x v="2"/>
    <n v="1205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19450"/>
    <n v="19360"/>
    <n v="-90"/>
    <s v="Обработка"/>
  </r>
  <r>
    <x v="2"/>
    <n v="1445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2000"/>
    <n v="22020"/>
    <n v="20"/>
    <s v="Обработка"/>
  </r>
  <r>
    <x v="2"/>
    <n v="1623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7750"/>
    <n v="27940"/>
    <n v="190"/>
    <s v="Обработка"/>
  </r>
  <r>
    <x v="2"/>
    <n v="900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3550"/>
    <n v="23600"/>
    <n v="50"/>
    <s v="Обработка"/>
  </r>
  <r>
    <x v="2"/>
    <n v="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6400"/>
    <n v="25900"/>
    <n v="-500"/>
    <s v="Обработка"/>
  </r>
  <r>
    <x v="2"/>
    <n v="100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1400"/>
    <n v="22080"/>
    <n v="680"/>
    <s v="Обработка"/>
  </r>
  <r>
    <x v="2"/>
    <n v="1002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1450"/>
    <n v="21480"/>
    <n v="30"/>
    <s v="Обработка"/>
  </r>
  <r>
    <x v="3"/>
    <n v="1230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5700"/>
    <n v="26480"/>
    <n v="780"/>
    <s v="Обработка"/>
  </r>
  <r>
    <x v="3"/>
    <n v="1132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5800"/>
    <n v="24860"/>
    <n v="-940"/>
    <s v="Обработка"/>
  </r>
  <r>
    <x v="3"/>
    <n v="1135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4450"/>
    <n v="23980"/>
    <n v="-470"/>
    <s v="Обработка"/>
  </r>
  <r>
    <x v="3"/>
    <n v="1853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1500"/>
    <n v="20320"/>
    <n v="-1180"/>
    <s v="Обработка"/>
  </r>
  <r>
    <x v="3"/>
    <n v="1850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0950"/>
    <n v="19680"/>
    <n v="-1270"/>
    <s v="Обработка"/>
  </r>
  <r>
    <x v="3"/>
    <n v="1355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2600"/>
    <n v="22400"/>
    <n v="-200"/>
    <s v="Обработка"/>
  </r>
  <r>
    <x v="3"/>
    <n v="2104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0000"/>
    <n v="19420"/>
    <n v="-580"/>
    <s v="Обработка"/>
  </r>
  <r>
    <x v="3"/>
    <n v="2100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4700"/>
    <n v="24700"/>
    <n v="0"/>
    <s v="Обработка"/>
  </r>
  <r>
    <x v="3"/>
    <n v="1008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9850"/>
    <n v="29000"/>
    <n v="-850"/>
    <s v="Обработка"/>
  </r>
  <r>
    <x v="3"/>
    <n v="1016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2300"/>
    <n v="21760"/>
    <n v="-540"/>
    <s v="Обработка"/>
  </r>
  <r>
    <x v="3"/>
    <n v="1014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2250"/>
    <n v="22890"/>
    <n v="640"/>
    <s v="Обработка"/>
  </r>
  <r>
    <x v="3"/>
    <n v="173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6950"/>
    <n v="26560"/>
    <n v="-390"/>
    <s v="Обработка"/>
  </r>
  <r>
    <x v="3"/>
    <n v="1723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4300"/>
    <n v="24180"/>
    <n v="-120"/>
    <s v="Обработка"/>
  </r>
  <r>
    <x v="4"/>
    <n v="732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3150"/>
    <n v="23200"/>
    <n v="50"/>
    <s v="Обработка"/>
  </r>
  <r>
    <x v="4"/>
    <n v="1350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4400"/>
    <n v="24400"/>
    <n v="0"/>
    <s v="Обработка"/>
  </r>
  <r>
    <x v="4"/>
    <n v="1250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3700"/>
    <n v="23820"/>
    <n v="120"/>
    <s v="Обработка"/>
  </r>
  <r>
    <x v="4"/>
    <n v="1907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5150"/>
    <n v="25100"/>
    <n v="-50"/>
    <s v="Обработка"/>
  </r>
  <r>
    <x v="4"/>
    <n v="1146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4600"/>
    <n v="24500"/>
    <n v="-100"/>
    <s v="Обработка"/>
  </r>
  <r>
    <x v="4"/>
    <n v="1835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5650"/>
    <n v="25840"/>
    <n v="190"/>
    <s v="Обработка"/>
  </r>
  <r>
    <x v="4"/>
    <n v="1505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6950"/>
    <n v="27000"/>
    <n v="50"/>
    <s v="Обработка"/>
  </r>
  <r>
    <x v="4"/>
    <n v="1235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1250"/>
    <n v="21220"/>
    <n v="-30"/>
    <s v="Обработка"/>
  </r>
  <r>
    <x v="4"/>
    <n v="1240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7200"/>
    <n v="27040"/>
    <n v="-160"/>
    <s v="Обработка"/>
  </r>
  <r>
    <x v="4"/>
    <n v="1105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2850"/>
    <n v="22800"/>
    <n v="-50"/>
    <s v="Обработка"/>
  </r>
  <r>
    <x v="4"/>
    <n v="180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19400"/>
    <n v="19620"/>
    <n v="220"/>
    <s v="Обработка"/>
  </r>
  <r>
    <x v="4"/>
    <n v="102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7400"/>
    <n v="27520"/>
    <n v="120"/>
    <s v="Обработка"/>
  </r>
  <r>
    <x v="4"/>
    <n v="1025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6100"/>
    <n v="26040"/>
    <n v="-60"/>
    <s v="Обработка"/>
  </r>
  <r>
    <x v="4"/>
    <n v="1801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8850"/>
    <n v="18900"/>
    <n v="50"/>
    <s v="Обработка"/>
  </r>
  <r>
    <x v="5"/>
    <n v="1200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4850"/>
    <n v="24680"/>
    <n v="-170"/>
    <s v="Обработка"/>
  </r>
  <r>
    <x v="5"/>
    <n v="1744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0000"/>
    <n v="19840"/>
    <n v="-160"/>
    <s v="Обработка"/>
  </r>
  <r>
    <x v="5"/>
    <n v="1835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0350"/>
    <n v="20880"/>
    <n v="530"/>
    <s v="Обработка"/>
  </r>
  <r>
    <x v="5"/>
    <n v="1837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1900"/>
    <n v="22000"/>
    <n v="100"/>
    <s v="Обработка"/>
  </r>
  <r>
    <x v="5"/>
    <n v="1246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17600"/>
    <n v="18080"/>
    <n v="480"/>
    <s v="Обработка"/>
  </r>
  <r>
    <x v="5"/>
    <n v="1927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1100"/>
    <n v="21560"/>
    <n v="460"/>
    <s v="Обработка"/>
  </r>
  <r>
    <x v="5"/>
    <n v="1400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2000"/>
    <n v="22240"/>
    <n v="240"/>
    <s v="Обработка"/>
  </r>
  <r>
    <x v="5"/>
    <n v="1214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2350"/>
    <n v="22500"/>
    <n v="150"/>
    <s v="Обработка"/>
  </r>
  <r>
    <x v="5"/>
    <n v="1535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1500"/>
    <n v="22100"/>
    <n v="600"/>
    <s v="Обработка"/>
  </r>
  <r>
    <x v="5"/>
    <n v="1531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6150"/>
    <n v="26240"/>
    <n v="90"/>
    <s v="Обработка"/>
  </r>
  <r>
    <x v="6"/>
    <n v="1517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18300"/>
    <n v="18660"/>
    <n v="360"/>
    <s v="Обработка"/>
  </r>
  <r>
    <x v="6"/>
    <n v="904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19650"/>
    <n v="20480"/>
    <n v="830"/>
    <s v="Обработка"/>
  </r>
  <r>
    <x v="6"/>
    <n v="2117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19500"/>
    <n v="19940"/>
    <n v="440"/>
    <s v="Обработка"/>
  </r>
  <r>
    <x v="6"/>
    <n v="2113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19400"/>
    <n v="19780"/>
    <n v="380"/>
    <s v="Обработка"/>
  </r>
  <r>
    <x v="6"/>
    <n v="1310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1050"/>
    <n v="21500"/>
    <n v="450"/>
    <s v="Обработка"/>
  </r>
  <r>
    <x v="6"/>
    <n v="1306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3050"/>
    <n v="23480"/>
    <n v="430"/>
    <s v="Обработка"/>
  </r>
  <r>
    <x v="6"/>
    <n v="1012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1650"/>
    <n v="22500"/>
    <n v="850"/>
    <s v="Обработка"/>
  </r>
  <r>
    <x v="6"/>
    <n v="1748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1550"/>
    <n v="21720"/>
    <n v="170"/>
    <s v="Обработка"/>
  </r>
  <r>
    <x v="6"/>
    <n v="1735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16450"/>
    <n v="16580"/>
    <n v="130"/>
    <s v="Обработка"/>
  </r>
  <r>
    <x v="6"/>
    <n v="1724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18700"/>
    <n v="19480"/>
    <n v="780"/>
    <s v="Обработка"/>
  </r>
  <r>
    <x v="7"/>
    <n v="758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3800"/>
    <n v="24120"/>
    <n v="320"/>
    <s v="Обработка"/>
  </r>
  <r>
    <x v="7"/>
    <n v="1422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17000"/>
    <n v="17680"/>
    <n v="680"/>
    <s v="Обработка"/>
  </r>
  <r>
    <x v="7"/>
    <n v="10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1650"/>
    <n v="21900"/>
    <n v="250"/>
    <s v="Обработка"/>
  </r>
  <r>
    <x v="7"/>
    <n v="1234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17450"/>
    <n v="18020"/>
    <n v="570"/>
    <s v="Обработка"/>
  </r>
  <r>
    <x v="7"/>
    <n v="1856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3400"/>
    <n v="23500"/>
    <n v="100"/>
    <s v="Обработка"/>
  </r>
  <r>
    <x v="7"/>
    <n v="928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19750"/>
    <n v="19940"/>
    <n v="190"/>
    <s v="Обработка"/>
  </r>
  <r>
    <x v="7"/>
    <n v="1524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1850"/>
    <n v="22200"/>
    <n v="350"/>
    <s v="Обработка"/>
  </r>
  <r>
    <x v="7"/>
    <n v="907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18850"/>
    <n v="19220"/>
    <n v="370"/>
    <s v="Обработка"/>
  </r>
  <r>
    <x v="7"/>
    <n v="1555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2050"/>
    <n v="22440"/>
    <n v="390"/>
    <s v="Обработка"/>
  </r>
  <r>
    <x v="7"/>
    <n v="1020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1250"/>
    <n v="22440"/>
    <n v="1190"/>
    <s v="Обработка"/>
  </r>
  <r>
    <x v="7"/>
    <n v="1025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0800"/>
    <n v="21260"/>
    <n v="460"/>
    <s v="Обработка"/>
  </r>
  <r>
    <x v="7"/>
    <n v="1734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3550"/>
    <n v="23720"/>
    <n v="170"/>
    <s v="Обработка"/>
  </r>
  <r>
    <x v="7"/>
    <n v="1732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3400"/>
    <n v="23700"/>
    <n v="300"/>
    <s v="Обработка"/>
  </r>
  <r>
    <x v="7"/>
    <n v="112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8300"/>
    <n v="19220"/>
    <n v="920"/>
    <s v="Обработка"/>
  </r>
  <r>
    <x v="7"/>
    <n v="1117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5700"/>
    <n v="16340"/>
    <n v="640"/>
    <s v="Обработка"/>
  </r>
  <r>
    <x v="7"/>
    <n v="1826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8900"/>
    <n v="19100"/>
    <n v="200"/>
    <s v="Обработка"/>
  </r>
  <r>
    <x v="7"/>
    <n v="1823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8350"/>
    <n v="18640"/>
    <n v="290"/>
    <s v="Обработка"/>
  </r>
  <r>
    <x v="8"/>
    <n v="2138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2500"/>
    <n v="22680"/>
    <n v="180"/>
    <s v="Обработка"/>
  </r>
  <r>
    <x v="8"/>
    <n v="1718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19600"/>
    <n v="19940"/>
    <n v="340"/>
    <s v="Обработка"/>
  </r>
  <r>
    <x v="8"/>
    <n v="1003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1400"/>
    <n v="21720"/>
    <n v="320"/>
    <s v="Обработка"/>
  </r>
  <r>
    <x v="8"/>
    <n v="917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19550"/>
    <n v="19880"/>
    <n v="330"/>
    <s v="Обработка"/>
  </r>
  <r>
    <x v="8"/>
    <n v="1655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2000"/>
    <n v="22600"/>
    <n v="600"/>
    <s v="Обработка"/>
  </r>
  <r>
    <x v="8"/>
    <n v="920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15200"/>
    <n v="15360"/>
    <n v="160"/>
    <s v="Обработка"/>
  </r>
  <r>
    <x v="8"/>
    <n v="1710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18100"/>
    <n v="18540"/>
    <n v="440"/>
    <s v="Обработка"/>
  </r>
  <r>
    <x v="8"/>
    <n v="956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0700"/>
    <n v="21180"/>
    <n v="480"/>
    <s v="Обработка"/>
  </r>
  <r>
    <x v="8"/>
    <n v="1205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2150"/>
    <n v="23660"/>
    <n v="1510"/>
    <s v="Обработка"/>
  </r>
  <r>
    <x v="9"/>
    <n v="48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3000"/>
    <n v="23420"/>
    <n v="420"/>
    <s v="Обработка"/>
  </r>
  <r>
    <x v="9"/>
    <n v="2134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5900"/>
    <n v="26380"/>
    <n v="480"/>
    <s v="Обработка"/>
  </r>
  <r>
    <x v="9"/>
    <n v="1400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1450"/>
    <n v="21860"/>
    <n v="410"/>
    <s v="Обработка"/>
  </r>
  <r>
    <x v="9"/>
    <n v="1912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0350"/>
    <n v="20220"/>
    <n v="-130"/>
    <s v="Обработка"/>
  </r>
  <r>
    <x v="9"/>
    <n v="1908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19400"/>
    <n v="19360"/>
    <n v="-40"/>
    <s v="Обработка"/>
  </r>
  <r>
    <x v="9"/>
    <n v="1138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18300"/>
    <n v="18780"/>
    <n v="480"/>
    <s v="Обработка"/>
  </r>
  <r>
    <x v="9"/>
    <n v="1156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0750"/>
    <n v="21360"/>
    <n v="610"/>
    <s v="Обработка"/>
  </r>
  <r>
    <x v="9"/>
    <n v="2041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2450"/>
    <n v="22660"/>
    <n v="210"/>
    <s v="Обработка"/>
  </r>
  <r>
    <x v="9"/>
    <n v="1326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18450"/>
    <n v="18520"/>
    <n v="70"/>
    <s v="Обработка"/>
  </r>
  <r>
    <x v="9"/>
    <n v="2313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16800"/>
    <n v="16980"/>
    <n v="180"/>
    <s v="Обработка"/>
  </r>
  <r>
    <x v="9"/>
    <n v="2011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3750"/>
    <n v="24020"/>
    <n v="270"/>
    <s v="Обработка"/>
  </r>
  <r>
    <x v="9"/>
    <n v="2015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0550"/>
    <n v="20900"/>
    <n v="350"/>
    <s v="Обработка"/>
  </r>
  <r>
    <x v="9"/>
    <n v="1241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2150"/>
    <n v="22820"/>
    <n v="670"/>
    <s v="Обработка"/>
  </r>
  <r>
    <x v="9"/>
    <n v="1238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7800"/>
    <n v="16820"/>
    <n v="-980"/>
    <s v="Обработка"/>
  </r>
  <r>
    <x v="10"/>
    <n v="922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6600"/>
    <n v="26920"/>
    <n v="320"/>
    <s v="Обработка"/>
  </r>
  <r>
    <x v="10"/>
    <n v="1032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3450"/>
    <n v="23600"/>
    <n v="150"/>
    <s v="Обработка"/>
  </r>
  <r>
    <x v="10"/>
    <n v="1703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3250"/>
    <n v="23500"/>
    <n v="250"/>
    <s v="Обработка"/>
  </r>
  <r>
    <x v="10"/>
    <n v="1107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1750"/>
    <n v="22120"/>
    <n v="370"/>
    <s v="Обработка"/>
  </r>
  <r>
    <x v="10"/>
    <n v="1840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4600"/>
    <n v="24560"/>
    <n v="-40"/>
    <s v="Обработка"/>
  </r>
  <r>
    <x v="10"/>
    <n v="1104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30200"/>
    <n v="30600"/>
    <n v="400"/>
    <s v="Обработка"/>
  </r>
  <r>
    <x v="10"/>
    <n v="1845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15500"/>
    <n v="15700"/>
    <n v="200"/>
    <s v="Обработка"/>
  </r>
  <r>
    <x v="10"/>
    <n v="1556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2550"/>
    <n v="22740"/>
    <n v="190"/>
    <s v="Обработка"/>
  </r>
  <r>
    <x v="10"/>
    <n v="846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4150"/>
    <n v="24200"/>
    <n v="50"/>
    <s v="Обработка"/>
  </r>
  <r>
    <x v="10"/>
    <n v="95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3150"/>
    <n v="23400"/>
    <n v="250"/>
    <s v="Обработка"/>
  </r>
  <r>
    <x v="10"/>
    <n v="1628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16700"/>
    <n v="16920"/>
    <n v="220"/>
    <s v="Обработка"/>
  </r>
  <r>
    <x v="11"/>
    <n v="703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18450"/>
    <n v="18840"/>
    <n v="390"/>
    <s v="Обработка"/>
  </r>
  <r>
    <x v="11"/>
    <n v="1323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1850"/>
    <n v="22200"/>
    <n v="350"/>
    <s v="Обработка"/>
  </r>
  <r>
    <x v="11"/>
    <n v="1256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19850"/>
    <n v="19900"/>
    <n v="50"/>
    <s v="Обработка"/>
  </r>
  <r>
    <x v="11"/>
    <n v="2006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1350"/>
    <n v="21520"/>
    <n v="170"/>
    <s v="Обработка"/>
  </r>
  <r>
    <x v="11"/>
    <n v="906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4800"/>
    <n v="25520"/>
    <n v="720"/>
    <s v="Обработка"/>
  </r>
  <r>
    <x v="11"/>
    <n v="1556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19400"/>
    <n v="20020"/>
    <n v="620"/>
    <s v="Обработка"/>
  </r>
  <r>
    <x v="11"/>
    <n v="1148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18700"/>
    <n v="18700"/>
    <n v="0"/>
    <s v="Обработка"/>
  </r>
  <r>
    <x v="11"/>
    <n v="1743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17300"/>
    <n v="17400"/>
    <n v="100"/>
    <s v="Обработка"/>
  </r>
  <r>
    <x v="11"/>
    <n v="1217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8200"/>
    <n v="18840"/>
    <n v="640"/>
    <s v="Обработка"/>
  </r>
  <r>
    <x v="11"/>
    <n v="122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7300"/>
    <n v="17960"/>
    <n v="660"/>
    <s v="Обработка"/>
  </r>
  <r>
    <x v="11"/>
    <n v="1933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9400"/>
    <n v="19280"/>
    <n v="-120"/>
    <s v="Обработка"/>
  </r>
  <r>
    <x v="11"/>
    <n v="1936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9500"/>
    <n v="19620"/>
    <n v="120"/>
    <s v="Обработка"/>
  </r>
  <r>
    <x v="12"/>
    <n v="2255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19950"/>
    <n v="20260"/>
    <n v="310"/>
    <s v="Обработка"/>
  </r>
  <r>
    <x v="12"/>
    <n v="1615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19200"/>
    <n v="19600"/>
    <n v="400"/>
    <s v="Обработка"/>
  </r>
  <r>
    <x v="12"/>
    <n v="319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1000"/>
    <n v="21380"/>
    <n v="380"/>
    <s v="Обработка"/>
  </r>
  <r>
    <x v="12"/>
    <n v="1630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0650"/>
    <n v="20920"/>
    <n v="270"/>
    <s v="Обработка"/>
  </r>
  <r>
    <x v="12"/>
    <n v="1418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0850"/>
    <n v="21660"/>
    <n v="810"/>
    <s v="Обработка"/>
  </r>
  <r>
    <x v="12"/>
    <n v="1425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19550"/>
    <n v="20300"/>
    <n v="750"/>
    <s v="Обработка"/>
  </r>
  <r>
    <x v="12"/>
    <n v="1142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19700"/>
    <n v="20100"/>
    <n v="400"/>
    <s v="Обработка"/>
  </r>
  <r>
    <x v="12"/>
    <n v="1941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18950"/>
    <n v="19180"/>
    <n v="230"/>
    <s v="Обработка"/>
  </r>
  <r>
    <x v="13"/>
    <n v="1609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0600"/>
    <n v="20600"/>
    <n v="0"/>
    <s v="Обработка"/>
  </r>
  <r>
    <x v="13"/>
    <n v="806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19350"/>
    <n v="19780"/>
    <n v="430"/>
    <s v="Обработка"/>
  </r>
  <r>
    <x v="13"/>
    <n v="615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19400"/>
    <n v="19940"/>
    <n v="540"/>
    <s v="Обработка"/>
  </r>
  <r>
    <x v="13"/>
    <n v="1343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2950"/>
    <n v="23480"/>
    <n v="530"/>
    <s v="Обработка"/>
  </r>
  <r>
    <x v="13"/>
    <n v="1210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3150"/>
    <n v="23620"/>
    <n v="470"/>
    <s v="Обработка"/>
  </r>
  <r>
    <x v="13"/>
    <n v="1112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14500"/>
    <n v="14720"/>
    <n v="220"/>
    <s v="Обработка"/>
  </r>
  <r>
    <x v="13"/>
    <n v="1120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19950"/>
    <n v="20720"/>
    <n v="770"/>
    <s v="Обработка"/>
  </r>
  <r>
    <x v="13"/>
    <n v="915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4100"/>
    <n v="19200"/>
    <n v="5100"/>
    <s v="Обработка"/>
  </r>
  <r>
    <x v="13"/>
    <n v="91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0100"/>
    <n v="20440"/>
    <n v="340"/>
    <s v="Обработка"/>
  </r>
  <r>
    <x v="13"/>
    <n v="1715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14050"/>
    <n v="16940"/>
    <n v="2890"/>
    <s v="Обработка"/>
  </r>
  <r>
    <x v="13"/>
    <n v="1719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4150"/>
    <n v="24700"/>
    <n v="550"/>
    <s v="Обработка"/>
  </r>
  <r>
    <x v="14"/>
    <n v="159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0300"/>
    <n v="20880"/>
    <n v="580"/>
    <s v="Обработка"/>
  </r>
  <r>
    <x v="14"/>
    <n v="1720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5650"/>
    <n v="25020"/>
    <n v="-630"/>
    <s v="Обработка"/>
  </r>
  <r>
    <x v="15"/>
    <n v="1309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2300"/>
    <n v="24820"/>
    <n v="2520"/>
    <s v="Обработка"/>
  </r>
  <r>
    <x v="15"/>
    <n v="1313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0050"/>
    <n v="20420"/>
    <n v="370"/>
    <s v="Обработка"/>
  </r>
  <r>
    <x v="15"/>
    <n v="1150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0350"/>
    <n v="21280"/>
    <n v="930"/>
    <s v="Обработка"/>
  </r>
  <r>
    <x v="15"/>
    <n v="1210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17600"/>
    <n v="17920"/>
    <n v="320"/>
    <s v="Обработка"/>
  </r>
  <r>
    <x v="15"/>
    <n v="831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5250"/>
    <n v="25520"/>
    <n v="270"/>
    <s v="Обработка"/>
  </r>
  <r>
    <x v="15"/>
    <n v="1614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0200"/>
    <n v="20860"/>
    <n v="660"/>
    <s v="Обработка"/>
  </r>
  <r>
    <x v="16"/>
    <n v="1510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9100"/>
    <n v="29240"/>
    <n v="140"/>
    <s v="Обработка"/>
  </r>
  <r>
    <x v="16"/>
    <n v="721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1500"/>
    <n v="21540"/>
    <n v="40"/>
    <s v="Обработка"/>
  </r>
  <r>
    <x v="16"/>
    <n v="817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1850"/>
    <n v="22000"/>
    <n v="150"/>
    <s v="Обработка"/>
  </r>
  <r>
    <x v="16"/>
    <n v="82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2000"/>
    <n v="22340"/>
    <n v="340"/>
    <s v="Обработка"/>
  </r>
  <r>
    <x v="16"/>
    <n v="170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9550"/>
    <n v="29800"/>
    <n v="250"/>
    <s v="Обработка"/>
  </r>
  <r>
    <x v="16"/>
    <n v="1716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6000"/>
    <n v="25820"/>
    <n v="-180"/>
    <s v="Обработка"/>
  </r>
  <r>
    <x v="17"/>
    <n v="2301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4600"/>
    <n v="24680"/>
    <n v="80"/>
    <s v="Обработка"/>
  </r>
  <r>
    <x v="17"/>
    <n v="1739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1950"/>
    <n v="22200"/>
    <n v="250"/>
    <s v="Обработка"/>
  </r>
  <r>
    <x v="17"/>
    <n v="1112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30100"/>
    <n v="30300"/>
    <n v="200"/>
    <s v="Обработка"/>
  </r>
  <r>
    <x v="17"/>
    <n v="906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5800"/>
    <n v="26180"/>
    <n v="380"/>
    <s v="Обработка"/>
  </r>
  <r>
    <x v="17"/>
    <n v="921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5500"/>
    <n v="25680"/>
    <n v="180"/>
    <s v="Обработка"/>
  </r>
  <r>
    <x v="17"/>
    <n v="1707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3300"/>
    <n v="23440"/>
    <n v="140"/>
    <s v="Обработка"/>
  </r>
  <r>
    <x v="17"/>
    <n v="1703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5350"/>
    <n v="25520"/>
    <n v="170"/>
    <s v="Обработка"/>
  </r>
  <r>
    <x v="18"/>
    <n v="2013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19100"/>
    <n v="19340"/>
    <n v="240"/>
    <s v="Обработка"/>
  </r>
  <r>
    <x v="18"/>
    <n v="1204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2700"/>
    <n v="22900"/>
    <n v="200"/>
    <s v="Обработка"/>
  </r>
  <r>
    <x v="18"/>
    <n v="1423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2700"/>
    <n v="22760"/>
    <n v="60"/>
    <s v="Обработка"/>
  </r>
  <r>
    <x v="18"/>
    <n v="1417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18700"/>
    <n v="18780"/>
    <n v="80"/>
    <s v="Обработка"/>
  </r>
  <r>
    <x v="18"/>
    <n v="170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18950"/>
    <n v="18960"/>
    <n v="10"/>
    <s v="Обработка"/>
  </r>
  <r>
    <x v="18"/>
    <n v="1657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2100"/>
    <n v="22180"/>
    <n v="80"/>
    <s v="Обработка"/>
  </r>
  <r>
    <x v="19"/>
    <n v="719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1950"/>
    <n v="22200"/>
    <n v="250"/>
    <s v="Обработка"/>
  </r>
  <r>
    <x v="19"/>
    <n v="1447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2850"/>
    <n v="23000"/>
    <n v="150"/>
    <s v="Обработка"/>
  </r>
  <r>
    <x v="19"/>
    <n v="1640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4150"/>
    <n v="24800"/>
    <n v="650"/>
    <s v="Обработка"/>
  </r>
  <r>
    <x v="19"/>
    <n v="1223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5450"/>
    <n v="25700"/>
    <n v="250"/>
    <s v="Обработка"/>
  </r>
  <r>
    <x v="19"/>
    <n v="1102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0700"/>
    <n v="20900"/>
    <n v="200"/>
    <s v="Обработка"/>
  </r>
  <r>
    <x v="19"/>
    <n v="932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0750"/>
    <n v="21220"/>
    <n v="470"/>
    <s v="Обработка"/>
  </r>
  <r>
    <x v="19"/>
    <n v="1526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2900"/>
    <n v="23180"/>
    <n v="280"/>
    <s v="Обработка"/>
  </r>
  <r>
    <x v="20"/>
    <n v="1947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0450"/>
    <n v="20720"/>
    <n v="270"/>
    <s v="Обработка"/>
  </r>
  <r>
    <x v="20"/>
    <n v="1231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19650"/>
    <n v="19960"/>
    <n v="310"/>
    <s v="Обработка"/>
  </r>
  <r>
    <x v="20"/>
    <n v="2147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3850"/>
    <n v="24000"/>
    <n v="150"/>
    <s v="Обработка"/>
  </r>
  <r>
    <x v="20"/>
    <n v="1036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18050"/>
    <n v="18260"/>
    <n v="210"/>
    <s v="Обработка"/>
  </r>
  <r>
    <x v="20"/>
    <n v="1751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19900"/>
    <n v="20140"/>
    <n v="240"/>
    <s v="Обработка"/>
  </r>
  <r>
    <x v="20"/>
    <n v="1607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5150"/>
    <n v="25360"/>
    <n v="210"/>
    <s v="Обработка"/>
  </r>
  <r>
    <x v="20"/>
    <n v="1604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0150"/>
    <n v="20400"/>
    <n v="250"/>
    <s v="Обработка"/>
  </r>
  <r>
    <x v="20"/>
    <n v="134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3050"/>
    <n v="23060"/>
    <n v="10"/>
    <s v="Обработка"/>
  </r>
  <r>
    <x v="20"/>
    <n v="1342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2200"/>
    <n v="22260"/>
    <n v="60"/>
    <s v="Обработка"/>
  </r>
  <r>
    <x v="21"/>
    <n v="1350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19200"/>
    <n v="19240"/>
    <n v="40"/>
    <s v="Обработка"/>
  </r>
  <r>
    <x v="21"/>
    <n v="2018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0750"/>
    <n v="20880"/>
    <n v="130"/>
    <s v="Обработка"/>
  </r>
  <r>
    <x v="21"/>
    <n v="1305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3500"/>
    <n v="23680"/>
    <n v="180"/>
    <s v="Обработка"/>
  </r>
  <r>
    <x v="21"/>
    <n v="607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3850"/>
    <n v="24040"/>
    <n v="190"/>
    <s v="Обработка"/>
  </r>
  <r>
    <x v="21"/>
    <n v="1534"/>
    <n v="1"/>
    <s v="ООО &quot;Эко Лэнд&quot;,ЛО, Ломоносовский р-н, п.г.т Большая Ижора, промзона «Бронка-2», квартал 1"/>
    <s v="ООО &quot;ГАММА&quot;"/>
    <s v="FAW"/>
    <s v="С073АН198"/>
    <s v="АВТО-БЕРКУТ"/>
    <n v="20200"/>
    <n v="20280"/>
    <n v="80"/>
    <s v="Обработка"/>
  </r>
  <r>
    <x v="21"/>
    <n v="1836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4100"/>
    <n v="24220"/>
    <n v="120"/>
    <s v="Обработка"/>
  </r>
  <r>
    <x v="21"/>
    <n v="1140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4250"/>
    <n v="24400"/>
    <n v="150"/>
    <s v="Обработка"/>
  </r>
  <r>
    <x v="21"/>
    <n v="1211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4550"/>
    <n v="24620"/>
    <n v="70"/>
    <s v="Обработка"/>
  </r>
  <r>
    <x v="21"/>
    <n v="1820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3050"/>
    <n v="23140"/>
    <n v="90"/>
    <s v="Обработка"/>
  </r>
  <r>
    <x v="21"/>
    <n v="1507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2250"/>
    <n v="22540"/>
    <n v="290"/>
    <s v="Обработка"/>
  </r>
  <r>
    <x v="21"/>
    <n v="151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0450"/>
    <n v="20560"/>
    <n v="110"/>
    <s v="Обработка"/>
  </r>
  <r>
    <x v="22"/>
    <n v="909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3400"/>
    <n v="23440"/>
    <n v="40"/>
    <s v="Обработка"/>
  </r>
  <r>
    <x v="22"/>
    <n v="1652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5100"/>
    <n v="25040"/>
    <n v="-60"/>
    <s v="Обработка"/>
  </r>
  <r>
    <x v="22"/>
    <n v="1743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3900"/>
    <n v="24100"/>
    <n v="200"/>
    <s v="Обработка"/>
  </r>
  <r>
    <x v="22"/>
    <n v="1749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7050"/>
    <n v="27480"/>
    <n v="430"/>
    <s v="Обработка"/>
  </r>
  <r>
    <x v="23"/>
    <n v="756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3000"/>
    <n v="23200"/>
    <n v="200"/>
    <s v="Обработка"/>
  </r>
  <r>
    <x v="23"/>
    <n v="1451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3350"/>
    <n v="23480"/>
    <n v="130"/>
    <s v="Обработка"/>
  </r>
  <r>
    <x v="23"/>
    <n v="2104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7050"/>
    <n v="27120"/>
    <n v="70"/>
    <s v="Обработка"/>
  </r>
  <r>
    <x v="23"/>
    <n v="718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4050"/>
    <n v="24260"/>
    <n v="210"/>
    <s v="Обработка"/>
  </r>
  <r>
    <x v="23"/>
    <n v="1256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5000"/>
    <n v="24960"/>
    <n v="-40"/>
    <s v="Обработка"/>
  </r>
  <r>
    <x v="24"/>
    <n v="1217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s v="АВТО-БЕРКУТ"/>
    <n v="24650"/>
    <n v="24940"/>
    <n v="290"/>
    <s v="Обработка"/>
  </r>
  <r>
    <x v="24"/>
    <n v="1346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5050"/>
    <n v="25280"/>
    <n v="230"/>
    <s v="Обработка"/>
  </r>
  <r>
    <x v="24"/>
    <n v="1633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7850"/>
    <n v="27860"/>
    <n v="10"/>
    <s v="Обработка"/>
  </r>
  <r>
    <x v="24"/>
    <n v="1635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5100"/>
    <n v="25100"/>
    <n v="0"/>
    <s v="Обработка"/>
  </r>
  <r>
    <x v="24"/>
    <n v="1437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9500"/>
    <n v="29540"/>
    <n v="40"/>
    <s v="Обработка"/>
  </r>
  <r>
    <x v="24"/>
    <n v="1435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7450"/>
    <n v="27320"/>
    <n v="-130"/>
    <s v="Обработка"/>
  </r>
  <r>
    <x v="24"/>
    <n v="1512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4600"/>
    <n v="24720"/>
    <n v="120"/>
    <s v="Обработка"/>
  </r>
  <r>
    <x v="25"/>
    <n v="2108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s v="АВТО-БЕРКУТ"/>
    <n v="21500"/>
    <n v="21420"/>
    <n v="-80"/>
    <s v="Обработка"/>
  </r>
  <r>
    <x v="25"/>
    <n v="1407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6250"/>
    <n v="26380"/>
    <n v="130"/>
    <s v="Обработка"/>
  </r>
  <r>
    <x v="25"/>
    <n v="1327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6800"/>
    <n v="26660"/>
    <n v="-140"/>
    <s v="Обработка"/>
  </r>
  <r>
    <x v="25"/>
    <n v="1325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s v="АВТО-БЕРКУТ"/>
    <n v="25150"/>
    <n v="25320"/>
    <n v="170"/>
    <s v="Обработка"/>
  </r>
  <r>
    <x v="25"/>
    <n v="1712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9600"/>
    <n v="29520"/>
    <n v="-80"/>
    <s v="Обработка"/>
  </r>
  <r>
    <x v="25"/>
    <n v="1922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5450"/>
    <n v="25860"/>
    <n v="410"/>
    <s v="Обработка"/>
  </r>
  <r>
    <x v="25"/>
    <n v="1926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1800"/>
    <n v="21940"/>
    <n v="140"/>
    <s v="Обработка"/>
  </r>
  <r>
    <x v="26"/>
    <n v="555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s v="АВТО-БЕРКУТ"/>
    <n v="27550"/>
    <m/>
    <n v="-27550"/>
    <s v="Обработка"/>
  </r>
  <r>
    <x v="26"/>
    <n v="1633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3850"/>
    <n v="23960"/>
    <n v="110"/>
    <s v="Обработка"/>
  </r>
  <r>
    <x v="26"/>
    <n v="1220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6450"/>
    <n v="26640"/>
    <n v="190"/>
    <s v="Обработка"/>
  </r>
  <r>
    <x v="26"/>
    <n v="1151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7650"/>
    <n v="27820"/>
    <n v="170"/>
    <s v="Обработка"/>
  </r>
  <r>
    <x v="26"/>
    <n v="1118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6400"/>
    <n v="26480"/>
    <n v="80"/>
    <s v="Обработка"/>
  </r>
  <r>
    <x v="26"/>
    <n v="1115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4000"/>
    <n v="24000"/>
    <n v="0"/>
    <s v="Обработка"/>
  </r>
  <r>
    <x v="26"/>
    <n v="1812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6350"/>
    <n v="26540"/>
    <n v="190"/>
    <s v="Обработка"/>
  </r>
  <r>
    <x v="26"/>
    <n v="1821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3700"/>
    <n v="23780"/>
    <n v="80"/>
    <s v="Обработка"/>
  </r>
  <r>
    <x v="27"/>
    <m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4850"/>
    <n v="24980"/>
    <n v="130"/>
    <s v="Обработка"/>
  </r>
  <r>
    <x v="27"/>
    <n v="1129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6000"/>
    <n v="26160"/>
    <n v="160"/>
    <s v="Обработка"/>
  </r>
  <r>
    <x v="27"/>
    <n v="423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3050"/>
    <n v="22940"/>
    <n v="-110"/>
    <s v="Обработка"/>
  </r>
  <r>
    <x v="27"/>
    <n v="1725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3100"/>
    <n v="23240"/>
    <n v="140"/>
    <s v="Обработка"/>
  </r>
  <r>
    <x v="27"/>
    <n v="1615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7450"/>
    <n v="27580"/>
    <n v="130"/>
    <s v="Обработка"/>
  </r>
  <r>
    <x v="27"/>
    <n v="2106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7350"/>
    <n v="27540"/>
    <n v="190"/>
    <s v="Обработка"/>
  </r>
  <r>
    <x v="27"/>
    <n v="1415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2650"/>
    <n v="22720"/>
    <n v="70"/>
    <s v="Обработка"/>
  </r>
  <r>
    <x v="27"/>
    <n v="1350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5300"/>
    <n v="25360"/>
    <n v="60"/>
    <s v="Обработка"/>
  </r>
  <r>
    <x v="27"/>
    <n v="2029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4050"/>
    <n v="24180"/>
    <n v="130"/>
    <s v="Обработка"/>
  </r>
  <r>
    <x v="27"/>
    <n v="131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7150"/>
    <n v="27200"/>
    <n v="50"/>
    <s v="Обработка"/>
  </r>
  <r>
    <x v="27"/>
    <n v="1311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5550"/>
    <n v="25700"/>
    <n v="150"/>
    <s v="Обработка"/>
  </r>
  <r>
    <x v="27"/>
    <n v="2021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7050"/>
    <n v="27140"/>
    <n v="90"/>
    <s v="Обработка"/>
  </r>
  <r>
    <x v="27"/>
    <n v="2024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s v="АВТО-БЕРКУТ"/>
    <n v="23300"/>
    <n v="23460"/>
    <n v="160"/>
    <s v="Обработка"/>
  </r>
  <r>
    <x v="28"/>
    <n v="850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2100"/>
    <n v="22280"/>
    <n v="180"/>
    <s v="Обработка"/>
  </r>
  <r>
    <x v="28"/>
    <n v="1722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s v="АВТО-БЕРКУТ"/>
    <n v="24350"/>
    <n v="24300"/>
    <n v="-50"/>
    <s v="Обработка"/>
  </r>
  <r>
    <x v="28"/>
    <n v="1033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5500"/>
    <n v="25740"/>
    <n v="240"/>
    <s v="Обработка"/>
  </r>
  <r>
    <x v="28"/>
    <n v="2046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6500"/>
    <n v="26720"/>
    <n v="220"/>
    <s v="Обработка"/>
  </r>
  <r>
    <x v="28"/>
    <n v="1056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2150"/>
    <n v="22280"/>
    <n v="130"/>
    <s v="Обработка"/>
  </r>
  <r>
    <x v="28"/>
    <n v="2249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s v="АВТО-БЕРКУТ"/>
    <n v="22550"/>
    <n v="22400"/>
    <n v="-150"/>
    <s v="Обработка"/>
  </r>
  <r>
    <x v="28"/>
    <n v="4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2800"/>
    <n v="22960"/>
    <n v="160"/>
    <s v="Обработка"/>
  </r>
  <r>
    <x v="28"/>
    <n v="1430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s v="АВТО-БЕРКУТ"/>
    <n v="24400"/>
    <n v="24340"/>
    <n v="-60"/>
    <s v="Обработка"/>
  </r>
  <r>
    <x v="28"/>
    <n v="453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3050"/>
    <n v="23220"/>
    <n v="170"/>
    <s v="Обработка"/>
  </r>
  <r>
    <x v="28"/>
    <n v="1726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s v="АВТО-БЕРКУТ"/>
    <n v="28100"/>
    <n v="28200"/>
    <n v="100"/>
    <s v="Обработка"/>
  </r>
  <r>
    <x v="28"/>
    <n v="1214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3400"/>
    <n v="23540"/>
    <n v="140"/>
    <s v="Обработка"/>
  </r>
  <r>
    <x v="28"/>
    <n v="1211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6950"/>
    <n v="27080"/>
    <n v="130"/>
    <s v="Обработка"/>
  </r>
  <r>
    <x v="28"/>
    <n v="2007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2700"/>
    <n v="22620"/>
    <n v="-80"/>
    <s v="Обработка"/>
  </r>
  <r>
    <x v="28"/>
    <n v="2010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s v="АВТО-БЕРКУТ"/>
    <n v="21850"/>
    <n v="21800"/>
    <n v="-50"/>
    <s v="Обработка"/>
  </r>
  <r>
    <x v="28"/>
    <n v="1521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3200"/>
    <n v="23180"/>
    <n v="-20"/>
    <s v="Обработка"/>
  </r>
  <r>
    <x v="28"/>
    <n v="1523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s v="АВТО-БЕРКУТ"/>
    <n v="26200"/>
    <n v="26340"/>
    <n v="140"/>
    <s v="Обработка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n v="1833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4100"/>
    <n v="24200"/>
    <n v="100"/>
    <s v="Обработка"/>
  </r>
  <r>
    <x v="0"/>
    <n v="2220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7950"/>
    <n v="28080"/>
    <n v="130"/>
    <s v="Обработка"/>
  </r>
  <r>
    <x v="0"/>
    <n v="1829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6500"/>
    <n v="26520"/>
    <n v="20"/>
    <s v="Обработка"/>
  </r>
  <r>
    <x v="0"/>
    <n v="1110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7050"/>
    <n v="27320"/>
    <n v="270"/>
    <s v="Обработка"/>
  </r>
  <r>
    <x v="0"/>
    <n v="721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x v="0"/>
    <n v="19550"/>
    <n v="19700"/>
    <n v="150"/>
    <s v="Обработка"/>
  </r>
  <r>
    <x v="0"/>
    <n v="18250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x v="0"/>
    <n v="15520"/>
    <n v="18320"/>
    <n v="2800"/>
    <s v="Обработка"/>
  </r>
  <r>
    <x v="0"/>
    <n v="845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x v="0"/>
    <n v="22750"/>
    <n v="23060"/>
    <n v="310"/>
    <s v="Обработка"/>
  </r>
  <r>
    <x v="0"/>
    <n v="849"/>
    <n v="1"/>
    <s v="ООО &quot;Эко Лэнд&quot;,ЛО, Ломоносовский р-н, п.г.т Большая Ижора, промзона «Бронка-2», квартал 1"/>
    <s v="ООО &quot;ГАММА&quot;"/>
    <s v="FAW"/>
    <s v="Н424МТ198"/>
    <x v="0"/>
    <n v="20600"/>
    <n v="20600"/>
    <n v="0"/>
    <s v="Обработка"/>
  </r>
  <r>
    <x v="0"/>
    <n v="1147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x v="0"/>
    <n v="24850"/>
    <n v="24850"/>
    <n v="0"/>
    <s v="Обработка"/>
  </r>
  <r>
    <x v="0"/>
    <n v="1151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x v="0"/>
    <n v="27650"/>
    <n v="27640"/>
    <n v="-10"/>
    <s v="Обработка"/>
  </r>
  <r>
    <x v="0"/>
    <n v="1656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x v="0"/>
    <n v="25240"/>
    <n v="25320"/>
    <n v="80"/>
    <s v="Обработка"/>
  </r>
  <r>
    <x v="0"/>
    <n v="1652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x v="0"/>
    <n v="23850"/>
    <n v="24020"/>
    <n v="170"/>
    <s v="Обработка"/>
  </r>
  <r>
    <x v="0"/>
    <m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x v="0"/>
    <n v="21750"/>
    <n v="21760"/>
    <n v="10"/>
    <s v="Обработка"/>
  </r>
  <r>
    <x v="0"/>
    <n v="151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x v="0"/>
    <n v="23750"/>
    <n v="23820"/>
    <n v="70"/>
    <s v="Обработка"/>
  </r>
  <r>
    <x v="0"/>
    <n v="1512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x v="0"/>
    <n v="16750"/>
    <n v="16800"/>
    <n v="50"/>
    <s v="Обработка"/>
  </r>
  <r>
    <x v="1"/>
    <n v="922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0200"/>
    <n v="20420"/>
    <n v="220"/>
    <s v="Обработка"/>
  </r>
  <r>
    <x v="1"/>
    <n v="1945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0050"/>
    <n v="20280"/>
    <n v="230"/>
    <s v="Обработка"/>
  </r>
  <r>
    <x v="1"/>
    <n v="222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7300"/>
    <n v="27180"/>
    <n v="-120"/>
    <s v="Обработка"/>
  </r>
  <r>
    <x v="1"/>
    <n v="1108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9450"/>
    <n v="29540"/>
    <n v="90"/>
    <s v="Обработка"/>
  </r>
  <r>
    <x v="1"/>
    <n v="1948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8050"/>
    <n v="28460"/>
    <n v="410"/>
    <s v="Обработка"/>
  </r>
  <r>
    <x v="2"/>
    <n v="1828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2450"/>
    <n v="22580"/>
    <n v="130"/>
    <s v="Обработка"/>
  </r>
  <r>
    <x v="2"/>
    <n v="1138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2250"/>
    <n v="22300"/>
    <n v="50"/>
    <s v="Обработка"/>
  </r>
  <r>
    <x v="2"/>
    <n v="1135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5750"/>
    <n v="25900"/>
    <n v="150"/>
    <s v="Обработка"/>
  </r>
  <r>
    <x v="2"/>
    <n v="1825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5050"/>
    <n v="25300"/>
    <n v="250"/>
    <s v="Обработка"/>
  </r>
  <r>
    <x v="2"/>
    <n v="150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x v="0"/>
    <n v="23350"/>
    <n v="23380"/>
    <n v="30"/>
    <s v="Обработка"/>
  </r>
  <r>
    <x v="2"/>
    <n v="2236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x v="0"/>
    <n v="21900"/>
    <m/>
    <n v="-21900"/>
    <s v="Обработка"/>
  </r>
  <r>
    <x v="2"/>
    <n v="1424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x v="0"/>
    <n v="23450"/>
    <m/>
    <n v="-23450"/>
    <s v="Обработка"/>
  </r>
  <r>
    <x v="2"/>
    <n v="1427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x v="0"/>
    <n v="21300"/>
    <m/>
    <n v="-21300"/>
    <s v="Обработка"/>
  </r>
  <r>
    <x v="3"/>
    <d v="1899-12-30T04:03:00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2300"/>
    <n v="22560"/>
    <n v="260"/>
    <s v="Обработка"/>
  </r>
  <r>
    <x v="3"/>
    <d v="1899-12-30T13:29:00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7400"/>
    <n v="27380"/>
    <n v="-20"/>
    <s v="Обработка"/>
  </r>
  <r>
    <x v="3"/>
    <d v="1899-12-30T19:47:00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4950"/>
    <n v="25000"/>
    <n v="50"/>
    <s v="Обработка"/>
  </r>
  <r>
    <x v="3"/>
    <d v="1899-12-30T23:54:00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4550"/>
    <n v="24480"/>
    <n v="-70"/>
    <s v="Обработка"/>
  </r>
  <r>
    <x v="3"/>
    <d v="1899-12-30T10:06:00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6000"/>
    <n v="26000"/>
    <n v="0"/>
    <s v="Обработка"/>
  </r>
  <r>
    <x v="3"/>
    <d v="1899-12-30T06:35:00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x v="0"/>
    <n v="23700"/>
    <n v="23880"/>
    <n v="180"/>
    <s v="Обработка"/>
  </r>
  <r>
    <x v="3"/>
    <d v="1899-12-30T14:03:00"/>
    <n v="1"/>
    <s v="ООО &quot;Эко Лэнд&quot;,ЛО, Ломоносовский р-н, п.г.т Большая Ижора, промзона «Бронка-2», квартал 1"/>
    <s v="ООО &quot;ГАММА&quot;"/>
    <s v="Камаз"/>
    <s v="М057УТ198"/>
    <x v="0"/>
    <n v="20200"/>
    <m/>
    <n v="-20200"/>
    <s v="Обработка"/>
  </r>
  <r>
    <x v="3"/>
    <d v="1899-12-30T15:10:00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x v="0"/>
    <n v="29000"/>
    <m/>
    <n v="-29000"/>
    <s v="Обработка"/>
  </r>
  <r>
    <x v="3"/>
    <d v="1899-12-30T11:30:00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x v="0"/>
    <n v="25450"/>
    <n v="25700"/>
    <n v="250"/>
    <s v="Обработка"/>
  </r>
  <r>
    <x v="3"/>
    <d v="1899-12-30T18:23:00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x v="0"/>
    <n v="25000"/>
    <m/>
    <n v="-25000"/>
    <s v="Обработка"/>
  </r>
  <r>
    <x v="3"/>
    <d v="1899-12-30T10:40:00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x v="0"/>
    <n v="23950"/>
    <m/>
    <n v="-23950"/>
    <s v="Обработка"/>
  </r>
  <r>
    <x v="3"/>
    <d v="1899-12-30T13:01:00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x v="0"/>
    <n v="23350"/>
    <m/>
    <n v="-23350"/>
    <s v="Обработка"/>
  </r>
  <r>
    <x v="3"/>
    <m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x v="0"/>
    <n v="22050"/>
    <m/>
    <n v="-22050"/>
    <s v="Обработка"/>
  </r>
  <r>
    <x v="3"/>
    <d v="1899-12-30T11:32:0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x v="0"/>
    <n v="21900"/>
    <n v="22080"/>
    <n v="180"/>
    <s v="Обработка"/>
  </r>
  <r>
    <x v="3"/>
    <d v="1899-12-30T18:20:0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x v="0"/>
    <n v="23850"/>
    <m/>
    <n v="-23850"/>
    <s v="Обработка"/>
  </r>
  <r>
    <x v="3"/>
    <d v="1899-12-30T22:36:0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x v="0"/>
    <n v="21900"/>
    <n v="22040"/>
    <n v="140"/>
    <s v="Обработка"/>
  </r>
  <r>
    <x v="3"/>
    <d v="1899-12-30T17:05:0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x v="0"/>
    <n v="28000"/>
    <m/>
    <n v="-28000"/>
    <s v="Обработка"/>
  </r>
  <r>
    <x v="3"/>
    <m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x v="0"/>
    <n v="20800"/>
    <m/>
    <n v="-20800"/>
    <s v="Обработка"/>
  </r>
  <r>
    <x v="4"/>
    <d v="1899-12-30T07:17:00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2700"/>
    <m/>
    <n v="-22700"/>
    <s v="Обработка"/>
  </r>
  <r>
    <x v="4"/>
    <d v="1899-12-30T12:55:00"/>
    <n v="1"/>
    <s v="ООО &quot;Эко Лэнд&quot;,ЛО, Ломоносовский р-н, п.г.т Большая Ижора, промзона «Бронка-2», квартал 1"/>
    <s v="ООО &quot;Эко Лэнд&quot;"/>
    <s v="Volvo"/>
    <s v="м801ут198"/>
    <x v="0"/>
    <n v="23350"/>
    <m/>
    <n v="-23350"/>
    <s v="Обработка"/>
  </r>
  <r>
    <x v="4"/>
    <d v="1899-12-30T11:05:00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5300"/>
    <m/>
    <n v="-25300"/>
    <s v="Обработка"/>
  </r>
  <r>
    <x v="4"/>
    <d v="1899-12-30T17:37:00"/>
    <n v="1"/>
    <s v="ООО &quot;Эко Лэнд&quot;,ЛО, Ломоносовский р-н, п.г.т Большая Ижора, промзона «Бронка-2», квартал 1"/>
    <s v="ООО &quot;Эко Лэнд&quot;"/>
    <s v="МАН"/>
    <s v="К424ВР147"/>
    <x v="0"/>
    <n v="26450"/>
    <m/>
    <n v="-26450"/>
    <s v="Обработка"/>
  </r>
  <r>
    <x v="4"/>
    <d v="1899-12-30T17:21:00"/>
    <n v="1"/>
    <s v="ООО &quot;Эко Лэнд&quot;,ЛО, Ломоносовский р-н, п.г.т Большая Ижора, промзона «Бронка-2», квартал 1"/>
    <s v="ООО &quot;ГАММА&quot;"/>
    <s v="FAW"/>
    <s v="С278ВН198"/>
    <x v="0"/>
    <n v="26250"/>
    <m/>
    <n v="-26250"/>
    <s v="Обработка"/>
  </r>
  <r>
    <x v="4"/>
    <d v="1899-12-30T18:32:00"/>
    <n v="1"/>
    <s v="ООО &quot;Эко Лэнд&quot;,ЛО, Ломоносовский р-н, п.г.т Большая Ижора, промзона «Бронка-2», квартал 1"/>
    <s v="ООО &quot;ГАММА&quot;"/>
    <s v="FAW"/>
    <s v="С441ВН198"/>
    <x v="0"/>
    <n v="22350"/>
    <n v="22440"/>
    <n v="90"/>
    <s v="Обработка"/>
  </r>
  <r>
    <x v="4"/>
    <d v="1899-12-30T10:23:00"/>
    <n v="1"/>
    <s v="ООО &quot;Эко Лэнд&quot;,ЛО, Ломоносовский р-н, п.г.т Большая Ижора, промзона «Бронка-2», квартал 1"/>
    <s v="ООО &quot;ГАММА&quot;"/>
    <s v="FAW"/>
    <s v="С479ВН198"/>
    <x v="0"/>
    <n v="20900"/>
    <m/>
    <n v="-20900"/>
    <s v="Обработка"/>
  </r>
  <r>
    <x v="4"/>
    <d v="1899-12-30T16:40:00"/>
    <n v="1"/>
    <s v="ООО &quot;Эко Лэнд&quot;,ЛО, Ломоносовский р-н, п.г.т Большая Ижора, промзона «Бронка-2», квартал 1"/>
    <s v="ООО &quot;ГАММА&quot;"/>
    <s v="FAW"/>
    <s v="Н554ВУ198"/>
    <x v="0"/>
    <n v="23400"/>
    <m/>
    <n v="-23400"/>
    <s v="Обработка"/>
  </r>
  <r>
    <x v="4"/>
    <d v="1899-12-30T19:02:00"/>
    <n v="1"/>
    <s v="ООО &quot;Эко Лэнд&quot;,ЛО, Ломоносовский р-н, п.г.т Большая Ижора, промзона «Бронка-2», квартал 1"/>
    <s v="ООО &quot;ГАММА&quot;"/>
    <s v="FAW"/>
    <s v="С663АО198"/>
    <x v="0"/>
    <n v="18900"/>
    <m/>
    <n v="-18900"/>
    <s v="Обработка"/>
  </r>
  <r>
    <x v="4"/>
    <d v="1899-12-30T20:00:00"/>
    <n v="1"/>
    <s v="ООО &quot;Эко Лэнд&quot;,ЛО, Ломоносовский р-н, п.г.т Большая Ижора, промзона «Бронка-2», квартал 1"/>
    <s v="ООО &quot;ГАММА&quot;"/>
    <s v="Камаз"/>
    <s v="М985СС198"/>
    <x v="0"/>
    <n v="21700"/>
    <m/>
    <n v="-21700"/>
    <s v="Обработка"/>
  </r>
  <r>
    <x v="5"/>
    <m/>
    <m/>
    <m/>
    <m/>
    <m/>
    <m/>
    <x v="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6B29F9-2CAD-4573-BED5-E2C8464E4712}" name="Сводная таблица2" cacheId="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A42:B55" firstHeaderRow="1" firstDataRow="1" firstDataCol="1"/>
  <pivotFields count="12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</pivotFields>
  <rowFields count="2">
    <field x="0"/>
    <field x="7"/>
  </rowFields>
  <rowItems count="1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 v="1"/>
    </i>
    <i t="grand">
      <x/>
    </i>
  </rowItems>
  <colItems count="1">
    <i/>
  </colItems>
  <dataFields count="1">
    <dataField name="Сумма по полю Вес на погрузке" fld="8" baseField="0" baseItem="0" numFmtId="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FE3E01-7E80-4846-A9CC-17BBC7B02498}" name="Сводная таблица11" cacheId="3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6" indent="0" outline="1" outlineData="1" multipleFieldFilters="0">
  <location ref="A3:B33" firstHeaderRow="1" firstDataRow="1" firstDataCol="1"/>
  <pivotFields count="9">
    <pivotField axis="axisRow" numFmtId="14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Количество по полю Госномер ТС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5FBF62-5F4D-4D9C-B939-C839234D3047}" name="Сводная таблица12" cacheId="4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6" indent="0" outline="1" outlineData="1" multipleFieldFilters="0">
  <location ref="A3:B33" firstHeaderRow="1" firstDataRow="1" firstDataCol="1"/>
  <pivotFields count="12">
    <pivotField axis="axisRow" numFmtId="14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Количество по полю Госномер ТС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42"/>
  <sheetViews>
    <sheetView topLeftCell="A4" zoomScaleNormal="100" workbookViewId="0">
      <selection activeCell="C16" sqref="C16"/>
    </sheetView>
  </sheetViews>
  <sheetFormatPr defaultRowHeight="14.4" x14ac:dyDescent="0.3"/>
  <cols>
    <col min="1" max="1" width="33.6640625" customWidth="1"/>
    <col min="3" max="3" width="9" bestFit="1" customWidth="1"/>
    <col min="6" max="6" width="10" bestFit="1" customWidth="1"/>
    <col min="9" max="9" width="10.33203125" bestFit="1" customWidth="1"/>
    <col min="10" max="10" width="10.44140625" bestFit="1" customWidth="1"/>
  </cols>
  <sheetData>
    <row r="1" spans="1:11" ht="21" x14ac:dyDescent="0.4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</row>
    <row r="2" spans="1:11" x14ac:dyDescent="0.3">
      <c r="A2" s="86" t="s">
        <v>1</v>
      </c>
      <c r="B2" s="87" t="s">
        <v>23</v>
      </c>
      <c r="C2" s="87"/>
      <c r="D2" s="87"/>
      <c r="E2" s="87"/>
      <c r="F2" s="87"/>
      <c r="G2" s="87"/>
      <c r="H2" s="87"/>
      <c r="I2" s="87"/>
      <c r="J2" s="87"/>
      <c r="K2" s="1"/>
    </row>
    <row r="3" spans="1:11" ht="72" x14ac:dyDescent="0.3">
      <c r="A3" s="86"/>
      <c r="B3" s="30" t="s">
        <v>2</v>
      </c>
      <c r="C3" s="31" t="s">
        <v>3</v>
      </c>
      <c r="D3" s="30" t="s">
        <v>4</v>
      </c>
      <c r="E3" s="30" t="s">
        <v>5</v>
      </c>
      <c r="F3" s="30" t="s">
        <v>6</v>
      </c>
      <c r="G3" s="30" t="s">
        <v>7</v>
      </c>
      <c r="H3" s="30" t="s">
        <v>8</v>
      </c>
      <c r="I3" s="30" t="s">
        <v>9</v>
      </c>
      <c r="J3" s="30" t="s">
        <v>10</v>
      </c>
      <c r="K3" s="30" t="s">
        <v>11</v>
      </c>
    </row>
    <row r="4" spans="1:11" x14ac:dyDescent="0.3">
      <c r="A4" s="2">
        <v>1</v>
      </c>
      <c r="B4" s="2">
        <v>2</v>
      </c>
      <c r="C4" s="3">
        <v>3</v>
      </c>
      <c r="D4" s="4">
        <v>4</v>
      </c>
      <c r="E4" s="4">
        <v>5</v>
      </c>
      <c r="F4" s="5">
        <v>6</v>
      </c>
      <c r="G4" s="2">
        <v>7</v>
      </c>
      <c r="H4" s="2">
        <v>8</v>
      </c>
      <c r="I4" s="2">
        <v>9</v>
      </c>
      <c r="J4" s="6">
        <v>10</v>
      </c>
      <c r="K4" s="6">
        <v>11</v>
      </c>
    </row>
    <row r="5" spans="1:11" x14ac:dyDescent="0.3">
      <c r="A5" s="7">
        <v>45382</v>
      </c>
      <c r="B5" s="8" t="s">
        <v>12</v>
      </c>
      <c r="C5" s="9">
        <v>287.64999999999998</v>
      </c>
      <c r="D5" s="10">
        <v>44</v>
      </c>
      <c r="E5" s="11">
        <v>6.5374999999999996</v>
      </c>
      <c r="F5" s="12">
        <v>0</v>
      </c>
      <c r="G5" s="13">
        <v>0</v>
      </c>
      <c r="H5" s="14">
        <v>0</v>
      </c>
      <c r="I5" s="14">
        <v>287.64999999999998</v>
      </c>
      <c r="J5" s="15">
        <v>916.84999999999991</v>
      </c>
      <c r="K5" s="28">
        <v>573.49</v>
      </c>
    </row>
    <row r="6" spans="1:11" x14ac:dyDescent="0.3">
      <c r="A6" s="7">
        <v>45413</v>
      </c>
      <c r="B6" s="16" t="s">
        <v>12</v>
      </c>
      <c r="C6" s="79">
        <v>403.50000000000034</v>
      </c>
      <c r="D6" s="17">
        <f>'Сводная Ввоз'!C2</f>
        <v>0</v>
      </c>
      <c r="E6" s="18" t="e">
        <f>C6/D6</f>
        <v>#DIV/0!</v>
      </c>
      <c r="F6" s="19">
        <v>183.95</v>
      </c>
      <c r="G6" s="20">
        <f>'Сводная Вывоз'!C2</f>
        <v>0</v>
      </c>
      <c r="H6" s="21" t="e">
        <f>F6/G6</f>
        <v>#DIV/0!</v>
      </c>
      <c r="I6" s="21">
        <f>C6-F6</f>
        <v>219.55000000000035</v>
      </c>
      <c r="J6" s="15">
        <f>J5+C6-F6</f>
        <v>1136.4000000000003</v>
      </c>
      <c r="K6" s="22">
        <f>K5+C6-F6</f>
        <v>793.04000000000042</v>
      </c>
    </row>
    <row r="7" spans="1:11" x14ac:dyDescent="0.3">
      <c r="A7" s="7">
        <v>45414</v>
      </c>
      <c r="B7" s="16" t="s">
        <v>12</v>
      </c>
      <c r="C7" s="79">
        <v>385.8</v>
      </c>
      <c r="D7" s="17">
        <f>'Сводная Ввоз'!C3</f>
        <v>0</v>
      </c>
      <c r="E7" s="18" t="e">
        <f t="shared" ref="E7" si="0">C7/D7</f>
        <v>#DIV/0!</v>
      </c>
      <c r="F7" s="19">
        <v>55.45</v>
      </c>
      <c r="G7" s="20">
        <f>'Сводная Вывоз'!C3</f>
        <v>0</v>
      </c>
      <c r="H7" s="21" t="e">
        <f t="shared" ref="H7" si="1">F7/G7</f>
        <v>#DIV/0!</v>
      </c>
      <c r="I7" s="21">
        <f t="shared" ref="I7" si="2">C7-F7</f>
        <v>330.35</v>
      </c>
      <c r="J7" s="15">
        <f t="shared" ref="J7" si="3">J6+C7-F7</f>
        <v>1466.7500000000002</v>
      </c>
      <c r="K7" s="22">
        <f t="shared" ref="K7:K25" si="4">K6+C7-F7</f>
        <v>1123.3900000000003</v>
      </c>
    </row>
    <row r="8" spans="1:11" x14ac:dyDescent="0.3">
      <c r="A8" s="7">
        <v>45415</v>
      </c>
      <c r="B8" s="16" t="s">
        <v>12</v>
      </c>
      <c r="C8" s="79">
        <v>394.1</v>
      </c>
      <c r="D8" s="17">
        <f>'Сводная Ввоз'!C4</f>
        <v>0</v>
      </c>
      <c r="E8" s="18" t="e">
        <f t="shared" ref="E8:E14" si="5">C8/D8</f>
        <v>#DIV/0!</v>
      </c>
      <c r="F8" s="19">
        <v>117.95</v>
      </c>
      <c r="G8" s="20">
        <f>'Сводная Вывоз'!C4</f>
        <v>0</v>
      </c>
      <c r="H8" s="21" t="e">
        <f t="shared" ref="H8:H37" si="6">F8/G8</f>
        <v>#DIV/0!</v>
      </c>
      <c r="I8" s="21">
        <f>C8-F8</f>
        <v>276.15000000000003</v>
      </c>
      <c r="J8" s="15">
        <f>J7+C8-F8</f>
        <v>1742.9000000000003</v>
      </c>
      <c r="K8" s="22">
        <f t="shared" si="4"/>
        <v>1399.5400000000002</v>
      </c>
    </row>
    <row r="9" spans="1:11" x14ac:dyDescent="0.3">
      <c r="A9" s="7">
        <v>45416</v>
      </c>
      <c r="B9" s="16" t="s">
        <v>12</v>
      </c>
      <c r="C9" s="79">
        <v>330.60000000000008</v>
      </c>
      <c r="D9" s="17">
        <f>'Сводная Ввоз'!C5</f>
        <v>0</v>
      </c>
      <c r="E9" s="18" t="e">
        <f t="shared" si="5"/>
        <v>#DIV/0!</v>
      </c>
      <c r="F9" s="19">
        <v>254.6</v>
      </c>
      <c r="G9" s="20">
        <f>'Сводная Вывоз'!C5</f>
        <v>0</v>
      </c>
      <c r="H9" s="21" t="e">
        <f t="shared" si="6"/>
        <v>#DIV/0!</v>
      </c>
      <c r="I9" s="21">
        <f>C9-F9</f>
        <v>76.000000000000085</v>
      </c>
      <c r="J9" s="15">
        <f t="shared" ref="J9:J34" si="7">J8+C9-F9</f>
        <v>1818.9000000000005</v>
      </c>
      <c r="K9" s="22">
        <f t="shared" si="4"/>
        <v>1475.5400000000004</v>
      </c>
    </row>
    <row r="10" spans="1:11" x14ac:dyDescent="0.3">
      <c r="A10" s="7">
        <v>45417</v>
      </c>
      <c r="B10" s="16" t="s">
        <v>12</v>
      </c>
      <c r="C10" s="79">
        <v>313.80000000000013</v>
      </c>
      <c r="D10" s="17">
        <f>'Сводная Ввоз'!C6</f>
        <v>0</v>
      </c>
      <c r="E10" s="18" t="e">
        <f t="shared" si="5"/>
        <v>#DIV/0!</v>
      </c>
      <c r="F10" s="19">
        <v>212</v>
      </c>
      <c r="G10" s="20">
        <f>'Сводная Вывоз'!C6</f>
        <v>0</v>
      </c>
      <c r="H10" s="21" t="e">
        <f t="shared" si="6"/>
        <v>#DIV/0!</v>
      </c>
      <c r="I10" s="21">
        <f>C11-F10</f>
        <v>53.699999999999989</v>
      </c>
      <c r="J10" s="15">
        <f>J9+C11-F10</f>
        <v>1872.6000000000004</v>
      </c>
      <c r="K10" s="22">
        <f t="shared" si="4"/>
        <v>1577.3400000000006</v>
      </c>
    </row>
    <row r="11" spans="1:11" x14ac:dyDescent="0.3">
      <c r="A11" s="7">
        <v>45418</v>
      </c>
      <c r="B11" s="16" t="s">
        <v>12</v>
      </c>
      <c r="C11" s="79">
        <v>265.7</v>
      </c>
      <c r="D11" s="17">
        <f>'Сводная Ввоз'!C7</f>
        <v>0</v>
      </c>
      <c r="E11" s="18" t="e">
        <f t="shared" si="5"/>
        <v>#DIV/0!</v>
      </c>
      <c r="F11" s="19">
        <v>233.17</v>
      </c>
      <c r="G11" s="20">
        <f>'Сводная Вывоз'!C7</f>
        <v>0</v>
      </c>
      <c r="H11" s="21" t="e">
        <f t="shared" si="6"/>
        <v>#DIV/0!</v>
      </c>
      <c r="I11" s="21">
        <f t="shared" ref="I11:I34" si="8">C11-F11</f>
        <v>32.53</v>
      </c>
      <c r="J11" s="15">
        <f t="shared" ref="J11:J15" si="9">J10+C12-F11</f>
        <v>1948.9300000000003</v>
      </c>
      <c r="K11" s="22">
        <f t="shared" si="4"/>
        <v>1609.8700000000006</v>
      </c>
    </row>
    <row r="12" spans="1:11" x14ac:dyDescent="0.3">
      <c r="A12" s="7">
        <v>45419</v>
      </c>
      <c r="B12" s="16" t="s">
        <v>12</v>
      </c>
      <c r="C12" s="79">
        <v>309.50000000000011</v>
      </c>
      <c r="D12" s="17">
        <f>'Сводная Ввоз'!C8</f>
        <v>0</v>
      </c>
      <c r="E12" s="18" t="e">
        <f t="shared" si="5"/>
        <v>#DIV/0!</v>
      </c>
      <c r="F12" s="19">
        <v>235.96</v>
      </c>
      <c r="G12" s="20">
        <f>'Сводная Вывоз'!C8</f>
        <v>0</v>
      </c>
      <c r="H12" s="21" t="e">
        <f t="shared" si="6"/>
        <v>#DIV/0!</v>
      </c>
      <c r="I12" s="21">
        <f t="shared" si="8"/>
        <v>73.540000000000106</v>
      </c>
      <c r="J12" s="15">
        <f t="shared" si="9"/>
        <v>2089.3200000000006</v>
      </c>
      <c r="K12" s="22">
        <f t="shared" si="4"/>
        <v>1683.4100000000008</v>
      </c>
    </row>
    <row r="13" spans="1:11" x14ac:dyDescent="0.3">
      <c r="A13" s="7">
        <v>45420</v>
      </c>
      <c r="B13" s="16" t="s">
        <v>12</v>
      </c>
      <c r="C13" s="79">
        <v>376.35000000000014</v>
      </c>
      <c r="D13" s="17">
        <f>'Сводная Ввоз'!C9</f>
        <v>0</v>
      </c>
      <c r="E13" s="18" t="e">
        <f t="shared" si="5"/>
        <v>#DIV/0!</v>
      </c>
      <c r="F13" s="19">
        <v>234.77</v>
      </c>
      <c r="G13" s="20">
        <f>'Сводная Вывоз'!C9</f>
        <v>0</v>
      </c>
      <c r="H13" s="21" t="e">
        <f t="shared" si="6"/>
        <v>#DIV/0!</v>
      </c>
      <c r="I13" s="21">
        <f t="shared" si="8"/>
        <v>141.58000000000013</v>
      </c>
      <c r="J13" s="15">
        <f t="shared" si="9"/>
        <v>2230.5000000000005</v>
      </c>
      <c r="K13" s="22">
        <f t="shared" si="4"/>
        <v>1824.9900000000011</v>
      </c>
    </row>
    <row r="14" spans="1:11" x14ac:dyDescent="0.3">
      <c r="A14" s="7">
        <v>45421</v>
      </c>
      <c r="B14" s="16" t="s">
        <v>12</v>
      </c>
      <c r="C14" s="79">
        <v>375.95</v>
      </c>
      <c r="D14" s="17">
        <f>'Сводная Ввоз'!C10</f>
        <v>0</v>
      </c>
      <c r="E14" s="18" t="e">
        <f t="shared" si="5"/>
        <v>#DIV/0!</v>
      </c>
      <c r="F14" s="19">
        <v>177.17</v>
      </c>
      <c r="G14" s="20">
        <f>'Сводная Вывоз'!C10</f>
        <v>0</v>
      </c>
      <c r="H14" s="21" t="e">
        <f t="shared" si="6"/>
        <v>#DIV/0!</v>
      </c>
      <c r="I14" s="21">
        <f t="shared" si="8"/>
        <v>198.78</v>
      </c>
      <c r="J14" s="15">
        <f t="shared" si="9"/>
        <v>2053.3300000000004</v>
      </c>
      <c r="K14" s="22">
        <f t="shared" si="4"/>
        <v>2023.7700000000009</v>
      </c>
    </row>
    <row r="15" spans="1:11" x14ac:dyDescent="0.3">
      <c r="A15" s="7">
        <v>45422</v>
      </c>
      <c r="B15" s="16" t="s">
        <v>12</v>
      </c>
      <c r="C15" s="79">
        <f>'Сводная Ввоз'!B11</f>
        <v>0</v>
      </c>
      <c r="D15" s="17">
        <f>'Сводная Ввоз'!C11</f>
        <v>0</v>
      </c>
      <c r="E15" s="18" t="e">
        <f t="shared" ref="E15:E36" si="10">C15/D15</f>
        <v>#DIV/0!</v>
      </c>
      <c r="F15" s="19">
        <v>272.42</v>
      </c>
      <c r="G15" s="20">
        <f>'Сводная Вывоз'!C11</f>
        <v>0</v>
      </c>
      <c r="H15" s="21" t="e">
        <f t="shared" si="6"/>
        <v>#DIV/0!</v>
      </c>
      <c r="I15" s="21">
        <f t="shared" si="8"/>
        <v>-272.42</v>
      </c>
      <c r="J15" s="15">
        <f t="shared" si="9"/>
        <v>1780.9100000000003</v>
      </c>
      <c r="K15" s="22">
        <f t="shared" si="4"/>
        <v>1751.3500000000008</v>
      </c>
    </row>
    <row r="16" spans="1:11" x14ac:dyDescent="0.3">
      <c r="A16" s="7">
        <v>45423</v>
      </c>
      <c r="B16" s="16" t="s">
        <v>12</v>
      </c>
      <c r="C16" s="79">
        <f>'Сводная Ввоз'!B12</f>
        <v>0</v>
      </c>
      <c r="D16" s="17">
        <f>'Сводная Ввоз'!C12</f>
        <v>0</v>
      </c>
      <c r="E16" s="18" t="e">
        <f t="shared" si="10"/>
        <v>#DIV/0!</v>
      </c>
      <c r="F16" s="19">
        <v>208.19</v>
      </c>
      <c r="G16" s="20">
        <f>'Сводная Вывоз'!C12</f>
        <v>0</v>
      </c>
      <c r="H16" s="21" t="e">
        <f t="shared" si="6"/>
        <v>#DIV/0!</v>
      </c>
      <c r="I16" s="21">
        <f t="shared" si="8"/>
        <v>-208.19</v>
      </c>
      <c r="J16" s="15">
        <f t="shared" si="7"/>
        <v>1572.7200000000003</v>
      </c>
      <c r="K16" s="22">
        <f t="shared" si="4"/>
        <v>1543.1600000000008</v>
      </c>
    </row>
    <row r="17" spans="1:11" x14ac:dyDescent="0.3">
      <c r="A17" s="7">
        <v>45424</v>
      </c>
      <c r="B17" s="16" t="s">
        <v>12</v>
      </c>
      <c r="C17" s="79">
        <v>573.53</v>
      </c>
      <c r="D17" s="17">
        <f>'Сводная Ввоз'!C13</f>
        <v>0</v>
      </c>
      <c r="E17" s="18" t="e">
        <f t="shared" si="10"/>
        <v>#DIV/0!</v>
      </c>
      <c r="F17" s="19">
        <f>'Сводная Вывоз'!B13</f>
        <v>0</v>
      </c>
      <c r="G17" s="20">
        <f>'Сводная Вывоз'!C13</f>
        <v>0</v>
      </c>
      <c r="H17" s="21" t="e">
        <f t="shared" si="6"/>
        <v>#DIV/0!</v>
      </c>
      <c r="I17" s="21">
        <f t="shared" si="8"/>
        <v>573.53</v>
      </c>
      <c r="J17" s="15">
        <f t="shared" si="7"/>
        <v>2146.25</v>
      </c>
      <c r="K17" s="22">
        <f t="shared" si="4"/>
        <v>2116.6900000000005</v>
      </c>
    </row>
    <row r="18" spans="1:11" x14ac:dyDescent="0.3">
      <c r="A18" s="7">
        <v>45425</v>
      </c>
      <c r="B18" s="16" t="s">
        <v>12</v>
      </c>
      <c r="C18" s="79">
        <f>'Сводная Ввоз'!B14</f>
        <v>0</v>
      </c>
      <c r="D18" s="17">
        <f>'Сводная Ввоз'!C14</f>
        <v>0</v>
      </c>
      <c r="E18" s="18" t="e">
        <f t="shared" si="10"/>
        <v>#DIV/0!</v>
      </c>
      <c r="F18" s="19">
        <f>'Сводная Вывоз'!B14</f>
        <v>0</v>
      </c>
      <c r="G18" s="20">
        <f>'Сводная Вывоз'!C14</f>
        <v>0</v>
      </c>
      <c r="H18" s="21" t="e">
        <f t="shared" si="6"/>
        <v>#DIV/0!</v>
      </c>
      <c r="I18" s="21">
        <f t="shared" si="8"/>
        <v>0</v>
      </c>
      <c r="J18" s="15">
        <f>J5+C18-F18</f>
        <v>916.84999999999991</v>
      </c>
      <c r="K18" s="22">
        <f t="shared" si="4"/>
        <v>2116.6900000000005</v>
      </c>
    </row>
    <row r="19" spans="1:11" x14ac:dyDescent="0.3">
      <c r="A19" s="7">
        <v>45426</v>
      </c>
      <c r="B19" s="16" t="s">
        <v>12</v>
      </c>
      <c r="C19" s="79">
        <f>'Сводная Ввоз'!B15</f>
        <v>0</v>
      </c>
      <c r="D19" s="17">
        <f>'Сводная Ввоз'!C15</f>
        <v>0</v>
      </c>
      <c r="E19" s="18" t="e">
        <f t="shared" si="10"/>
        <v>#DIV/0!</v>
      </c>
      <c r="F19" s="19">
        <f>'Сводная Вывоз'!B15</f>
        <v>0</v>
      </c>
      <c r="G19" s="20">
        <f>'Сводная Вывоз'!C15</f>
        <v>0</v>
      </c>
      <c r="H19" s="21" t="e">
        <f t="shared" si="6"/>
        <v>#DIV/0!</v>
      </c>
      <c r="I19" s="21">
        <f t="shared" si="8"/>
        <v>0</v>
      </c>
      <c r="J19" s="15">
        <f t="shared" si="7"/>
        <v>916.84999999999991</v>
      </c>
      <c r="K19" s="22">
        <f t="shared" si="4"/>
        <v>2116.6900000000005</v>
      </c>
    </row>
    <row r="20" spans="1:11" x14ac:dyDescent="0.3">
      <c r="A20" s="7">
        <v>45427</v>
      </c>
      <c r="B20" s="16" t="s">
        <v>12</v>
      </c>
      <c r="C20" s="79">
        <f>'Сводная Ввоз'!B16</f>
        <v>0</v>
      </c>
      <c r="D20" s="17">
        <f>'Сводная Ввоз'!C16</f>
        <v>0</v>
      </c>
      <c r="E20" s="18" t="e">
        <f t="shared" si="10"/>
        <v>#DIV/0!</v>
      </c>
      <c r="F20" s="19">
        <f>'Сводная Вывоз'!B16</f>
        <v>0</v>
      </c>
      <c r="G20" s="20">
        <f>'Сводная Вывоз'!C16</f>
        <v>0</v>
      </c>
      <c r="H20" s="21" t="e">
        <f t="shared" si="6"/>
        <v>#DIV/0!</v>
      </c>
      <c r="I20" s="21">
        <f t="shared" si="8"/>
        <v>0</v>
      </c>
      <c r="J20" s="15">
        <f t="shared" si="7"/>
        <v>916.84999999999991</v>
      </c>
      <c r="K20" s="22">
        <f t="shared" si="4"/>
        <v>2116.6900000000005</v>
      </c>
    </row>
    <row r="21" spans="1:11" x14ac:dyDescent="0.3">
      <c r="A21" s="7">
        <v>45428</v>
      </c>
      <c r="B21" s="16" t="s">
        <v>12</v>
      </c>
      <c r="C21" s="79">
        <f>'Сводная Ввоз'!B17</f>
        <v>0</v>
      </c>
      <c r="D21" s="17">
        <f>'Сводная Ввоз'!C17</f>
        <v>0</v>
      </c>
      <c r="E21" s="18" t="e">
        <f t="shared" si="10"/>
        <v>#DIV/0!</v>
      </c>
      <c r="F21" s="19">
        <f>'Сводная Вывоз'!B17</f>
        <v>0</v>
      </c>
      <c r="G21" s="20">
        <f>'Сводная Вывоз'!C17</f>
        <v>0</v>
      </c>
      <c r="H21" s="21" t="e">
        <f t="shared" si="6"/>
        <v>#DIV/0!</v>
      </c>
      <c r="I21" s="21">
        <f t="shared" si="8"/>
        <v>0</v>
      </c>
      <c r="J21" s="15">
        <f t="shared" si="7"/>
        <v>916.84999999999991</v>
      </c>
      <c r="K21" s="22">
        <f t="shared" si="4"/>
        <v>2116.6900000000005</v>
      </c>
    </row>
    <row r="22" spans="1:11" x14ac:dyDescent="0.3">
      <c r="A22" s="7">
        <v>45429</v>
      </c>
      <c r="B22" s="16" t="s">
        <v>12</v>
      </c>
      <c r="C22" s="79">
        <f>'Сводная Ввоз'!B18</f>
        <v>0</v>
      </c>
      <c r="D22" s="17">
        <f>'Сводная Ввоз'!C18</f>
        <v>0</v>
      </c>
      <c r="E22" s="18" t="e">
        <f t="shared" si="10"/>
        <v>#DIV/0!</v>
      </c>
      <c r="F22" s="19">
        <f>'Сводная Вывоз'!B18</f>
        <v>0</v>
      </c>
      <c r="G22" s="20">
        <f>'Сводная Вывоз'!C18</f>
        <v>0</v>
      </c>
      <c r="H22" s="21" t="e">
        <f t="shared" si="6"/>
        <v>#DIV/0!</v>
      </c>
      <c r="I22" s="21">
        <f t="shared" si="8"/>
        <v>0</v>
      </c>
      <c r="J22" s="15">
        <f t="shared" si="7"/>
        <v>916.84999999999991</v>
      </c>
      <c r="K22" s="22">
        <f t="shared" si="4"/>
        <v>2116.6900000000005</v>
      </c>
    </row>
    <row r="23" spans="1:11" x14ac:dyDescent="0.3">
      <c r="A23" s="7">
        <v>45430</v>
      </c>
      <c r="B23" s="16" t="s">
        <v>12</v>
      </c>
      <c r="C23" s="79">
        <f>'Сводная Ввоз'!B19</f>
        <v>0</v>
      </c>
      <c r="D23" s="17">
        <f>'Сводная Ввоз'!C19</f>
        <v>0</v>
      </c>
      <c r="E23" s="18" t="e">
        <f t="shared" si="10"/>
        <v>#DIV/0!</v>
      </c>
      <c r="F23" s="19">
        <f>'Сводная Вывоз'!B19</f>
        <v>0</v>
      </c>
      <c r="G23" s="20">
        <f>'Сводная Вывоз'!C19</f>
        <v>0</v>
      </c>
      <c r="H23" s="21" t="e">
        <f t="shared" si="6"/>
        <v>#DIV/0!</v>
      </c>
      <c r="I23" s="21">
        <f t="shared" si="8"/>
        <v>0</v>
      </c>
      <c r="J23" s="15">
        <f t="shared" si="7"/>
        <v>916.84999999999991</v>
      </c>
      <c r="K23" s="22">
        <f t="shared" si="4"/>
        <v>2116.6900000000005</v>
      </c>
    </row>
    <row r="24" spans="1:11" x14ac:dyDescent="0.3">
      <c r="A24" s="7">
        <v>45431</v>
      </c>
      <c r="B24" s="16" t="s">
        <v>12</v>
      </c>
      <c r="C24" s="79">
        <f>'Сводная Ввоз'!B20</f>
        <v>0</v>
      </c>
      <c r="D24" s="17">
        <f>'Сводная Ввоз'!C20</f>
        <v>0</v>
      </c>
      <c r="E24" s="18" t="e">
        <f t="shared" si="10"/>
        <v>#DIV/0!</v>
      </c>
      <c r="F24" s="19">
        <f>'Сводная Вывоз'!B20</f>
        <v>0</v>
      </c>
      <c r="G24" s="20">
        <f>'Сводная Вывоз'!C20</f>
        <v>0</v>
      </c>
      <c r="H24" s="21" t="e">
        <f t="shared" si="6"/>
        <v>#DIV/0!</v>
      </c>
      <c r="I24" s="21">
        <f t="shared" si="8"/>
        <v>0</v>
      </c>
      <c r="J24" s="15">
        <f t="shared" si="7"/>
        <v>916.84999999999991</v>
      </c>
      <c r="K24" s="22">
        <f t="shared" si="4"/>
        <v>2116.6900000000005</v>
      </c>
    </row>
    <row r="25" spans="1:11" x14ac:dyDescent="0.3">
      <c r="A25" s="7">
        <v>45432</v>
      </c>
      <c r="B25" s="16" t="s">
        <v>12</v>
      </c>
      <c r="C25" s="79">
        <f>'Сводная Ввоз'!B21</f>
        <v>0</v>
      </c>
      <c r="D25" s="17">
        <f>'Сводная Ввоз'!C21</f>
        <v>0</v>
      </c>
      <c r="E25" s="18" t="e">
        <f t="shared" si="10"/>
        <v>#DIV/0!</v>
      </c>
      <c r="F25" s="19">
        <f>'Сводная Вывоз'!B21</f>
        <v>0</v>
      </c>
      <c r="G25" s="20">
        <f>'Сводная Вывоз'!C21</f>
        <v>0</v>
      </c>
      <c r="H25" s="21" t="e">
        <f t="shared" si="6"/>
        <v>#DIV/0!</v>
      </c>
      <c r="I25" s="21">
        <f t="shared" si="8"/>
        <v>0</v>
      </c>
      <c r="J25" s="15">
        <f t="shared" si="7"/>
        <v>916.84999999999991</v>
      </c>
      <c r="K25" s="22">
        <f t="shared" si="4"/>
        <v>2116.6900000000005</v>
      </c>
    </row>
    <row r="26" spans="1:11" x14ac:dyDescent="0.3">
      <c r="A26" s="7">
        <v>45433</v>
      </c>
      <c r="B26" s="16" t="s">
        <v>12</v>
      </c>
      <c r="C26" s="79">
        <f>'Сводная Ввоз'!B22</f>
        <v>0</v>
      </c>
      <c r="D26" s="17">
        <f>'Сводная Ввоз'!C22</f>
        <v>0</v>
      </c>
      <c r="E26" s="18" t="e">
        <f t="shared" si="10"/>
        <v>#DIV/0!</v>
      </c>
      <c r="F26" s="19">
        <f>'Сводная Вывоз'!B22</f>
        <v>0</v>
      </c>
      <c r="G26" s="20">
        <f>'Сводная Вывоз'!C22</f>
        <v>0</v>
      </c>
      <c r="H26" s="21" t="e">
        <f t="shared" si="6"/>
        <v>#DIV/0!</v>
      </c>
      <c r="I26" s="21">
        <f t="shared" si="8"/>
        <v>0</v>
      </c>
      <c r="J26" s="15">
        <f t="shared" si="7"/>
        <v>916.84999999999991</v>
      </c>
      <c r="K26" s="22">
        <f>K25+C26-F26</f>
        <v>2116.6900000000005</v>
      </c>
    </row>
    <row r="27" spans="1:11" x14ac:dyDescent="0.3">
      <c r="A27" s="7">
        <v>45434</v>
      </c>
      <c r="B27" s="16" t="s">
        <v>12</v>
      </c>
      <c r="C27" s="79">
        <f>'Сводная Ввоз'!B23</f>
        <v>0</v>
      </c>
      <c r="D27" s="17">
        <f>'Сводная Ввоз'!C23</f>
        <v>0</v>
      </c>
      <c r="E27" s="18" t="e">
        <f t="shared" si="10"/>
        <v>#DIV/0!</v>
      </c>
      <c r="F27" s="19">
        <f>'Сводная Вывоз'!B23</f>
        <v>0</v>
      </c>
      <c r="G27" s="20">
        <f>'Сводная Вывоз'!C23</f>
        <v>0</v>
      </c>
      <c r="H27" s="21" t="e">
        <f t="shared" si="6"/>
        <v>#DIV/0!</v>
      </c>
      <c r="I27" s="21">
        <f t="shared" si="8"/>
        <v>0</v>
      </c>
      <c r="J27" s="15">
        <f t="shared" si="7"/>
        <v>916.84999999999991</v>
      </c>
      <c r="K27" s="22">
        <f>K26+C27-F27</f>
        <v>2116.6900000000005</v>
      </c>
    </row>
    <row r="28" spans="1:11" x14ac:dyDescent="0.3">
      <c r="A28" s="7">
        <v>45435</v>
      </c>
      <c r="B28" s="16" t="s">
        <v>12</v>
      </c>
      <c r="C28" s="79">
        <f>'Сводная Ввоз'!B24</f>
        <v>0</v>
      </c>
      <c r="D28" s="17">
        <f>'Сводная Ввоз'!C24</f>
        <v>0</v>
      </c>
      <c r="E28" s="18" t="e">
        <f t="shared" si="10"/>
        <v>#DIV/0!</v>
      </c>
      <c r="F28" s="19">
        <f>'Сводная Вывоз'!B24</f>
        <v>0</v>
      </c>
      <c r="G28" s="20">
        <f>'Сводная Вывоз'!C24</f>
        <v>0</v>
      </c>
      <c r="H28" s="21" t="e">
        <f t="shared" si="6"/>
        <v>#DIV/0!</v>
      </c>
      <c r="I28" s="21">
        <f t="shared" si="8"/>
        <v>0</v>
      </c>
      <c r="J28" s="15">
        <f t="shared" si="7"/>
        <v>916.84999999999991</v>
      </c>
      <c r="K28" s="22">
        <f>K27+C28-F28</f>
        <v>2116.6900000000005</v>
      </c>
    </row>
    <row r="29" spans="1:11" x14ac:dyDescent="0.3">
      <c r="A29" s="7">
        <v>45436</v>
      </c>
      <c r="B29" s="16" t="s">
        <v>12</v>
      </c>
      <c r="C29" s="79">
        <f>'Сводная Ввоз'!B25</f>
        <v>0</v>
      </c>
      <c r="D29" s="17">
        <f>'Сводная Ввоз'!C25</f>
        <v>0</v>
      </c>
      <c r="E29" s="18" t="e">
        <f t="shared" si="10"/>
        <v>#DIV/0!</v>
      </c>
      <c r="F29" s="19">
        <f>'Сводная Вывоз'!B25</f>
        <v>0</v>
      </c>
      <c r="G29" s="20">
        <f>'Сводная Вывоз'!C25</f>
        <v>0</v>
      </c>
      <c r="H29" s="21" t="e">
        <f t="shared" si="6"/>
        <v>#DIV/0!</v>
      </c>
      <c r="I29" s="21">
        <f t="shared" si="8"/>
        <v>0</v>
      </c>
      <c r="J29" s="15">
        <f t="shared" si="7"/>
        <v>916.84999999999991</v>
      </c>
      <c r="K29" s="22">
        <f>K28+C29-F29</f>
        <v>2116.6900000000005</v>
      </c>
    </row>
    <row r="30" spans="1:11" x14ac:dyDescent="0.3">
      <c r="A30" s="7">
        <v>45437</v>
      </c>
      <c r="B30" s="16" t="s">
        <v>12</v>
      </c>
      <c r="C30" s="79">
        <f>'Сводная Ввоз'!B26</f>
        <v>0</v>
      </c>
      <c r="D30" s="17">
        <f>'Сводная Ввоз'!C26</f>
        <v>0</v>
      </c>
      <c r="E30" s="18" t="e">
        <f t="shared" si="10"/>
        <v>#DIV/0!</v>
      </c>
      <c r="F30" s="19">
        <f>'Сводная Вывоз'!B26</f>
        <v>0</v>
      </c>
      <c r="G30" s="20">
        <f>'Сводная Вывоз'!C26</f>
        <v>0</v>
      </c>
      <c r="H30" s="21" t="e">
        <f t="shared" si="6"/>
        <v>#DIV/0!</v>
      </c>
      <c r="I30" s="21">
        <f t="shared" si="8"/>
        <v>0</v>
      </c>
      <c r="J30" s="15">
        <f>C30-F30</f>
        <v>0</v>
      </c>
      <c r="K30" s="22">
        <f>K5+C30-F30</f>
        <v>573.49</v>
      </c>
    </row>
    <row r="31" spans="1:11" x14ac:dyDescent="0.3">
      <c r="A31" s="7">
        <v>45438</v>
      </c>
      <c r="B31" s="16" t="s">
        <v>12</v>
      </c>
      <c r="C31" s="79">
        <f>'Сводная Ввоз'!B27</f>
        <v>0</v>
      </c>
      <c r="D31" s="17">
        <f>'Сводная Ввоз'!C27</f>
        <v>0</v>
      </c>
      <c r="E31" s="18" t="e">
        <f t="shared" si="10"/>
        <v>#DIV/0!</v>
      </c>
      <c r="F31" s="19">
        <f>'Сводная Вывоз'!B27</f>
        <v>0</v>
      </c>
      <c r="G31" s="20">
        <f>'Сводная Вывоз'!C27</f>
        <v>0</v>
      </c>
      <c r="H31" s="21" t="e">
        <f t="shared" si="6"/>
        <v>#DIV/0!</v>
      </c>
      <c r="I31" s="21">
        <f t="shared" si="8"/>
        <v>0</v>
      </c>
      <c r="J31" s="15">
        <f t="shared" si="7"/>
        <v>0</v>
      </c>
      <c r="K31" s="22">
        <f>K30+C31-F31</f>
        <v>573.49</v>
      </c>
    </row>
    <row r="32" spans="1:11" x14ac:dyDescent="0.3">
      <c r="A32" s="7">
        <v>45439</v>
      </c>
      <c r="B32" s="16" t="s">
        <v>12</v>
      </c>
      <c r="C32" s="79">
        <f>'Сводная Ввоз'!B28</f>
        <v>0</v>
      </c>
      <c r="D32" s="17">
        <f>'Сводная Ввоз'!C28</f>
        <v>0</v>
      </c>
      <c r="E32" s="18" t="e">
        <f t="shared" si="10"/>
        <v>#DIV/0!</v>
      </c>
      <c r="F32" s="19">
        <f>'Сводная Вывоз'!B28</f>
        <v>0</v>
      </c>
      <c r="G32" s="20">
        <f>'Сводная Вывоз'!C28</f>
        <v>0</v>
      </c>
      <c r="H32" s="21" t="e">
        <f t="shared" si="6"/>
        <v>#DIV/0!</v>
      </c>
      <c r="I32" s="21">
        <f t="shared" si="8"/>
        <v>0</v>
      </c>
      <c r="J32" s="15">
        <f>J31+C32-F32</f>
        <v>0</v>
      </c>
      <c r="K32" s="22">
        <f>K31+C32-F32</f>
        <v>573.49</v>
      </c>
    </row>
    <row r="33" spans="1:11" x14ac:dyDescent="0.3">
      <c r="A33" s="7">
        <v>45440</v>
      </c>
      <c r="B33" s="16" t="s">
        <v>12</v>
      </c>
      <c r="C33" s="79">
        <f>'Сводная Ввоз'!B29</f>
        <v>0</v>
      </c>
      <c r="D33" s="17">
        <f>'Сводная Ввоз'!C29</f>
        <v>0</v>
      </c>
      <c r="E33" s="18" t="e">
        <f t="shared" si="10"/>
        <v>#DIV/0!</v>
      </c>
      <c r="F33" s="19">
        <f>'Сводная Вывоз'!B29</f>
        <v>0</v>
      </c>
      <c r="G33" s="20">
        <f>'Сводная Вывоз'!C29</f>
        <v>0</v>
      </c>
      <c r="H33" s="21" t="e">
        <f t="shared" si="6"/>
        <v>#DIV/0!</v>
      </c>
      <c r="I33" s="21">
        <f t="shared" si="8"/>
        <v>0</v>
      </c>
      <c r="J33" s="15">
        <f t="shared" si="7"/>
        <v>0</v>
      </c>
      <c r="K33" s="22">
        <f>K32+C33-F33</f>
        <v>573.49</v>
      </c>
    </row>
    <row r="34" spans="1:11" ht="15.75" customHeight="1" x14ac:dyDescent="0.3">
      <c r="A34" s="7">
        <v>45441</v>
      </c>
      <c r="B34" s="16" t="s">
        <v>12</v>
      </c>
      <c r="C34" s="79">
        <f>'Сводная Ввоз'!B30</f>
        <v>0</v>
      </c>
      <c r="D34" s="17">
        <f>'Сводная Ввоз'!C30</f>
        <v>0</v>
      </c>
      <c r="E34" s="18" t="e">
        <f t="shared" si="10"/>
        <v>#DIV/0!</v>
      </c>
      <c r="F34" s="19">
        <f>'Сводная Вывоз'!B30</f>
        <v>0</v>
      </c>
      <c r="G34" s="20">
        <f>'Сводная Вывоз'!C30</f>
        <v>0</v>
      </c>
      <c r="H34" s="21" t="e">
        <f t="shared" si="6"/>
        <v>#DIV/0!</v>
      </c>
      <c r="I34" s="21">
        <f t="shared" si="8"/>
        <v>0</v>
      </c>
      <c r="J34" s="15">
        <f t="shared" si="7"/>
        <v>0</v>
      </c>
      <c r="K34" s="22">
        <f>K33+C34-F34</f>
        <v>573.49</v>
      </c>
    </row>
    <row r="35" spans="1:11" x14ac:dyDescent="0.3">
      <c r="A35" s="7">
        <v>45442</v>
      </c>
      <c r="B35" s="16" t="s">
        <v>12</v>
      </c>
      <c r="C35" s="79">
        <f>'Сводная Ввоз'!B31</f>
        <v>0</v>
      </c>
      <c r="D35" s="17">
        <f>'Сводная Ввоз'!C31</f>
        <v>0</v>
      </c>
      <c r="E35" s="18" t="e">
        <f t="shared" si="10"/>
        <v>#DIV/0!</v>
      </c>
      <c r="F35" s="19">
        <f>'Сводная Вывоз'!B31</f>
        <v>0</v>
      </c>
      <c r="G35" s="20">
        <f>'Сводная Вывоз'!C31</f>
        <v>0</v>
      </c>
      <c r="H35" s="21" t="e">
        <f t="shared" si="6"/>
        <v>#DIV/0!</v>
      </c>
      <c r="I35" s="21">
        <f t="shared" ref="I35" si="11">C35-F35</f>
        <v>0</v>
      </c>
      <c r="J35" s="15">
        <f t="shared" ref="J35" si="12">J34+C35-F35</f>
        <v>0</v>
      </c>
      <c r="K35" s="22">
        <f t="shared" ref="K35" si="13">K34+C35-F35</f>
        <v>573.49</v>
      </c>
    </row>
    <row r="36" spans="1:11" x14ac:dyDescent="0.3">
      <c r="A36" s="7">
        <v>45413</v>
      </c>
      <c r="B36" s="16" t="s">
        <v>12</v>
      </c>
      <c r="C36" s="79">
        <f>'Сводная Ввоз'!B32</f>
        <v>0</v>
      </c>
      <c r="D36" s="17">
        <f>'Сводная Ввоз'!C32</f>
        <v>0</v>
      </c>
      <c r="E36" s="18" t="e">
        <f t="shared" si="10"/>
        <v>#DIV/0!</v>
      </c>
      <c r="F36" s="19">
        <f>'Сводная Вывоз'!B32</f>
        <v>819.73</v>
      </c>
      <c r="G36" s="20">
        <f>'Сводная Вывоз'!C32</f>
        <v>2</v>
      </c>
      <c r="H36" s="21">
        <f t="shared" si="6"/>
        <v>409.86500000000001</v>
      </c>
      <c r="I36" s="21">
        <f t="shared" ref="I36" si="14">C36-F36</f>
        <v>-819.73</v>
      </c>
      <c r="J36" s="15">
        <f t="shared" ref="J36" si="15">J35+C36-F36</f>
        <v>-819.73</v>
      </c>
      <c r="K36" s="22">
        <f t="shared" ref="K36" si="16">K35+C36-F36</f>
        <v>-246.24</v>
      </c>
    </row>
    <row r="37" spans="1:11" x14ac:dyDescent="0.3">
      <c r="A37" s="88" t="s">
        <v>34</v>
      </c>
      <c r="B37" s="88"/>
      <c r="C37" s="79">
        <f>'Сводная Ввоз'!B33</f>
        <v>0</v>
      </c>
      <c r="D37" s="17" t="e">
        <f>'Сводная Ввоз'!C33</f>
        <v>#DIV/0!</v>
      </c>
      <c r="E37" s="18" t="e">
        <f>AVERAGE(E6:E33)</f>
        <v>#DIV/0!</v>
      </c>
      <c r="F37" s="19">
        <f>'Сводная Вывоз'!B33</f>
        <v>819.73</v>
      </c>
      <c r="G37" s="20">
        <f>'Сводная Вывоз'!C33</f>
        <v>2</v>
      </c>
      <c r="H37" s="21">
        <f t="shared" si="6"/>
        <v>409.86500000000001</v>
      </c>
      <c r="I37" s="23">
        <f>SUM(I6:I35)</f>
        <v>1495.1000000000006</v>
      </c>
      <c r="J37" s="23">
        <f>J33</f>
        <v>0</v>
      </c>
      <c r="K37" s="23">
        <f>K33</f>
        <v>573.49</v>
      </c>
    </row>
    <row r="38" spans="1:11" ht="28.8" x14ac:dyDescent="0.3">
      <c r="A38" s="33" t="s">
        <v>35</v>
      </c>
      <c r="B38" s="32"/>
      <c r="F38" s="25"/>
      <c r="I38" s="24"/>
    </row>
    <row r="39" spans="1:11" x14ac:dyDescent="0.3">
      <c r="A39" s="26" t="s">
        <v>13</v>
      </c>
      <c r="B39" s="27">
        <f>C37</f>
        <v>0</v>
      </c>
      <c r="D39" s="25"/>
      <c r="I39" s="24"/>
    </row>
    <row r="40" spans="1:11" x14ac:dyDescent="0.3">
      <c r="A40" s="26" t="s">
        <v>14</v>
      </c>
      <c r="B40" s="27">
        <f>F37</f>
        <v>819.73</v>
      </c>
      <c r="I40" s="24"/>
    </row>
    <row r="41" spans="1:11" x14ac:dyDescent="0.3">
      <c r="A41" s="26" t="s">
        <v>36</v>
      </c>
      <c r="B41" s="27">
        <f>K37</f>
        <v>573.49</v>
      </c>
      <c r="I41" s="24"/>
    </row>
    <row r="42" spans="1:11" x14ac:dyDescent="0.3">
      <c r="I42" s="24"/>
    </row>
  </sheetData>
  <mergeCells count="4">
    <mergeCell ref="A1:J1"/>
    <mergeCell ref="A2:A3"/>
    <mergeCell ref="B2:J2"/>
    <mergeCell ref="A37:B37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F33"/>
  <sheetViews>
    <sheetView zoomScale="85" zoomScaleNormal="85" workbookViewId="0">
      <selection activeCell="B26" sqref="B26"/>
    </sheetView>
  </sheetViews>
  <sheetFormatPr defaultRowHeight="14.4" x14ac:dyDescent="0.3"/>
  <cols>
    <col min="1" max="1" width="17.33203125" bestFit="1" customWidth="1"/>
    <col min="2" max="2" width="29" bestFit="1" customWidth="1"/>
    <col min="5" max="5" width="40.6640625" bestFit="1" customWidth="1"/>
  </cols>
  <sheetData>
    <row r="1" spans="1:6" x14ac:dyDescent="0.3">
      <c r="A1" s="37" t="s">
        <v>1</v>
      </c>
      <c r="B1" s="38" t="s">
        <v>43</v>
      </c>
      <c r="C1" s="38" t="s">
        <v>44</v>
      </c>
      <c r="E1" s="39" t="s">
        <v>45</v>
      </c>
      <c r="F1" s="40" t="e">
        <f>ROUND(AVERAGEIFS(B:B,B:B,"&gt;0",A:A,"&lt;&gt;Итого"),2)</f>
        <v>#DIV/0!</v>
      </c>
    </row>
    <row r="2" spans="1:6" x14ac:dyDescent="0.3">
      <c r="A2" s="41">
        <v>45383</v>
      </c>
      <c r="B2" s="42">
        <f>SUMIF(Ввоз!A:A,'Сводная Ввоз'!A2,Ввоз!G:G)</f>
        <v>0</v>
      </c>
      <c r="C2" s="43">
        <f>COUNTIF(Ввоз!A:A,'Сводная Ввоз'!A2)</f>
        <v>0</v>
      </c>
      <c r="E2" s="39" t="s">
        <v>46</v>
      </c>
      <c r="F2" s="39" t="e">
        <f>ROUND(AVERAGEIFS(C:C,C:C,"&gt;0",A:A,"&lt;&gt;Итого"),0)</f>
        <v>#DIV/0!</v>
      </c>
    </row>
    <row r="3" spans="1:6" x14ac:dyDescent="0.3">
      <c r="A3" s="41">
        <v>45384</v>
      </c>
      <c r="B3" s="42">
        <f>SUMIF(Ввоз!A:A,'Сводная Ввоз'!A3,Ввоз!G:G)</f>
        <v>0</v>
      </c>
      <c r="C3" s="43">
        <f>COUNTIF(Ввоз!A:A,'Сводная Ввоз'!A3)</f>
        <v>0</v>
      </c>
    </row>
    <row r="4" spans="1:6" x14ac:dyDescent="0.3">
      <c r="A4" s="41">
        <v>45385</v>
      </c>
      <c r="B4" s="42">
        <f>SUMIF(Ввоз!A:A,'Сводная Ввоз'!A4,Ввоз!G:G)</f>
        <v>0</v>
      </c>
      <c r="C4" s="43">
        <f>COUNTIF(Ввоз!A:A,'Сводная Ввоз'!A4)</f>
        <v>0</v>
      </c>
    </row>
    <row r="5" spans="1:6" x14ac:dyDescent="0.3">
      <c r="A5" s="41">
        <v>45386</v>
      </c>
      <c r="B5" s="42">
        <f>SUMIF(Ввоз!A:A,'Сводная Ввоз'!A5,Ввоз!G:G)</f>
        <v>0</v>
      </c>
      <c r="C5" s="43">
        <f>COUNTIF(Ввоз!A:A,'Сводная Ввоз'!A5)</f>
        <v>0</v>
      </c>
    </row>
    <row r="6" spans="1:6" x14ac:dyDescent="0.3">
      <c r="A6" s="41">
        <v>45387</v>
      </c>
      <c r="B6" s="42">
        <f>SUMIF(Ввоз!A:A,'Сводная Ввоз'!A6,Ввоз!G:G)</f>
        <v>0</v>
      </c>
      <c r="C6" s="43">
        <f>COUNTIF(Ввоз!A:A,'Сводная Ввоз'!A6)</f>
        <v>0</v>
      </c>
    </row>
    <row r="7" spans="1:6" x14ac:dyDescent="0.3">
      <c r="A7" s="41">
        <v>45388</v>
      </c>
      <c r="B7" s="42">
        <f>SUMIF(Ввоз!A:A,'Сводная Ввоз'!A7,Ввоз!G:G)</f>
        <v>0</v>
      </c>
      <c r="C7" s="43">
        <f>COUNTIF(Ввоз!A:A,'Сводная Ввоз'!A7)</f>
        <v>0</v>
      </c>
    </row>
    <row r="8" spans="1:6" x14ac:dyDescent="0.3">
      <c r="A8" s="41">
        <v>45389</v>
      </c>
      <c r="B8" s="42">
        <f>SUMIF(Ввоз!A:A,'Сводная Ввоз'!A8,Ввоз!G:G)</f>
        <v>0</v>
      </c>
      <c r="C8" s="43">
        <f>COUNTIF(Ввоз!A:A,'Сводная Ввоз'!A8)</f>
        <v>0</v>
      </c>
    </row>
    <row r="9" spans="1:6" x14ac:dyDescent="0.3">
      <c r="A9" s="41">
        <v>45390</v>
      </c>
      <c r="B9" s="42">
        <f>SUMIF(Ввоз!A:A,'Сводная Ввоз'!A9,Ввоз!G:G)</f>
        <v>0</v>
      </c>
      <c r="C9" s="43">
        <f>COUNTIF(Ввоз!A:A,'Сводная Ввоз'!A9)</f>
        <v>0</v>
      </c>
    </row>
    <row r="10" spans="1:6" x14ac:dyDescent="0.3">
      <c r="A10" s="41">
        <v>45391</v>
      </c>
      <c r="B10" s="42">
        <f>SUMIF(Ввоз!A:A,'Сводная Ввоз'!A10,Ввоз!G:G)</f>
        <v>0</v>
      </c>
      <c r="C10" s="43">
        <f>COUNTIF(Ввоз!A:A,'Сводная Ввоз'!A10)</f>
        <v>0</v>
      </c>
    </row>
    <row r="11" spans="1:6" x14ac:dyDescent="0.3">
      <c r="A11" s="41">
        <v>45392</v>
      </c>
      <c r="B11" s="42">
        <f>SUMIF(Ввоз!A:A,'Сводная Ввоз'!A11,Ввоз!G:G)</f>
        <v>0</v>
      </c>
      <c r="C11" s="43">
        <f>COUNTIF(Ввоз!A:A,'Сводная Ввоз'!A11)</f>
        <v>0</v>
      </c>
    </row>
    <row r="12" spans="1:6" x14ac:dyDescent="0.3">
      <c r="A12" s="41">
        <v>45393</v>
      </c>
      <c r="B12" s="42">
        <f>SUMIF(Ввоз!A:A,'Сводная Ввоз'!A12,Ввоз!G:G)</f>
        <v>0</v>
      </c>
      <c r="C12" s="43">
        <f>COUNTIF(Ввоз!A:A,'Сводная Ввоз'!A12)</f>
        <v>0</v>
      </c>
    </row>
    <row r="13" spans="1:6" x14ac:dyDescent="0.3">
      <c r="A13" s="41">
        <v>45394</v>
      </c>
      <c r="B13" s="42">
        <f>SUMIF(Ввоз!A:A,'Сводная Ввоз'!A13,Ввоз!G:G)</f>
        <v>0</v>
      </c>
      <c r="C13" s="43">
        <f>COUNTIF(Ввоз!A:A,'Сводная Ввоз'!A13)</f>
        <v>0</v>
      </c>
    </row>
    <row r="14" spans="1:6" x14ac:dyDescent="0.3">
      <c r="A14" s="41">
        <v>45395</v>
      </c>
      <c r="B14" s="42">
        <f>SUMIF(Ввоз!A:A,'Сводная Ввоз'!A14,Ввоз!G:G)</f>
        <v>0</v>
      </c>
      <c r="C14" s="43">
        <f>COUNTIF(Ввоз!A:A,'Сводная Ввоз'!A14)</f>
        <v>0</v>
      </c>
    </row>
    <row r="15" spans="1:6" x14ac:dyDescent="0.3">
      <c r="A15" s="41">
        <v>45396</v>
      </c>
      <c r="B15" s="42">
        <f>SUMIF(Ввоз!A:A,'Сводная Ввоз'!A15,Ввоз!G:G)</f>
        <v>0</v>
      </c>
      <c r="C15" s="43">
        <f>COUNTIF(Ввоз!A:A,'Сводная Ввоз'!A15)</f>
        <v>0</v>
      </c>
    </row>
    <row r="16" spans="1:6" x14ac:dyDescent="0.3">
      <c r="A16" s="41">
        <v>45397</v>
      </c>
      <c r="B16" s="42">
        <f>SUMIF(Ввоз!A:A,'Сводная Ввоз'!A16,Ввоз!G:G)</f>
        <v>0</v>
      </c>
      <c r="C16" s="43">
        <f>COUNTIF(Ввоз!A:A,'Сводная Ввоз'!A16)</f>
        <v>0</v>
      </c>
    </row>
    <row r="17" spans="1:3" x14ac:dyDescent="0.3">
      <c r="A17" s="41">
        <v>45398</v>
      </c>
      <c r="B17" s="42">
        <f>SUMIF(Ввоз!A:A,'Сводная Ввоз'!A17,Ввоз!G:G)</f>
        <v>0</v>
      </c>
      <c r="C17" s="43">
        <f>COUNTIF(Ввоз!A:A,'Сводная Ввоз'!A17)</f>
        <v>0</v>
      </c>
    </row>
    <row r="18" spans="1:3" x14ac:dyDescent="0.3">
      <c r="A18" s="41">
        <v>45399</v>
      </c>
      <c r="B18" s="42">
        <f>SUMIF(Ввоз!A:A,'Сводная Ввоз'!A18,Ввоз!G:G)</f>
        <v>0</v>
      </c>
      <c r="C18" s="43">
        <f>COUNTIF(Ввоз!A:A,'Сводная Ввоз'!A18)</f>
        <v>0</v>
      </c>
    </row>
    <row r="19" spans="1:3" x14ac:dyDescent="0.3">
      <c r="A19" s="41">
        <v>45400</v>
      </c>
      <c r="B19" s="42">
        <f>SUMIF(Ввоз!A:A,'Сводная Ввоз'!A19,Ввоз!G:G)</f>
        <v>0</v>
      </c>
      <c r="C19" s="43">
        <f>COUNTIF(Ввоз!A:A,'Сводная Ввоз'!A19)</f>
        <v>0</v>
      </c>
    </row>
    <row r="20" spans="1:3" x14ac:dyDescent="0.3">
      <c r="A20" s="41">
        <v>45401</v>
      </c>
      <c r="B20" s="42">
        <f>SUMIF(Ввоз!A:A,'Сводная Ввоз'!A20,Ввоз!G:G)</f>
        <v>0</v>
      </c>
      <c r="C20" s="43">
        <f>COUNTIF(Ввоз!A:A,'Сводная Ввоз'!A20)</f>
        <v>0</v>
      </c>
    </row>
    <row r="21" spans="1:3" x14ac:dyDescent="0.3">
      <c r="A21" s="41">
        <v>45402</v>
      </c>
      <c r="B21" s="42">
        <f>SUMIF(Ввоз!A:A,'Сводная Ввоз'!A21,Ввоз!G:G)</f>
        <v>0</v>
      </c>
      <c r="C21" s="43">
        <f>COUNTIF(Ввоз!A:A,'Сводная Ввоз'!A21)</f>
        <v>0</v>
      </c>
    </row>
    <row r="22" spans="1:3" x14ac:dyDescent="0.3">
      <c r="A22" s="41">
        <v>45403</v>
      </c>
      <c r="B22" s="42">
        <f>SUMIF(Ввоз!A:A,'Сводная Ввоз'!A22,Ввоз!G:G)</f>
        <v>0</v>
      </c>
      <c r="C22" s="43">
        <f>COUNTIF(Ввоз!A:A,'Сводная Ввоз'!A22)</f>
        <v>0</v>
      </c>
    </row>
    <row r="23" spans="1:3" x14ac:dyDescent="0.3">
      <c r="A23" s="41">
        <v>45404</v>
      </c>
      <c r="B23" s="42">
        <f>SUMIF(Ввоз!A:A,'Сводная Ввоз'!A23,Ввоз!G:G)</f>
        <v>0</v>
      </c>
      <c r="C23" s="43">
        <f>COUNTIF(Ввоз!A:A,'Сводная Ввоз'!A23)</f>
        <v>0</v>
      </c>
    </row>
    <row r="24" spans="1:3" x14ac:dyDescent="0.3">
      <c r="A24" s="41">
        <v>45405</v>
      </c>
      <c r="B24" s="42">
        <f>SUMIF(Ввоз!A:A,'Сводная Ввоз'!A24,Ввоз!G:G)</f>
        <v>0</v>
      </c>
      <c r="C24" s="43">
        <f>COUNTIF(Ввоз!A:A,'Сводная Ввоз'!A24)</f>
        <v>0</v>
      </c>
    </row>
    <row r="25" spans="1:3" x14ac:dyDescent="0.3">
      <c r="A25" s="41">
        <v>45406</v>
      </c>
      <c r="B25" s="42">
        <f>SUMIF(Ввоз!A:A,'Сводная Ввоз'!A25,Ввоз!G:G)</f>
        <v>0</v>
      </c>
      <c r="C25" s="43">
        <f>COUNTIF(Ввоз!A:A,'Сводная Ввоз'!A25)</f>
        <v>0</v>
      </c>
    </row>
    <row r="26" spans="1:3" x14ac:dyDescent="0.3">
      <c r="A26" s="41">
        <v>45407</v>
      </c>
      <c r="B26" s="42">
        <f>SUMIF(Ввоз!A:A,'Сводная Ввоз'!A26,Ввоз!G:G)</f>
        <v>0</v>
      </c>
      <c r="C26" s="43">
        <f>COUNTIF(Ввоз!A:A,'Сводная Ввоз'!A26)</f>
        <v>0</v>
      </c>
    </row>
    <row r="27" spans="1:3" x14ac:dyDescent="0.3">
      <c r="A27" s="41">
        <v>45408</v>
      </c>
      <c r="B27" s="42">
        <f>SUMIF(Ввоз!A:A,'Сводная Ввоз'!A27,Ввоз!G:G)</f>
        <v>0</v>
      </c>
      <c r="C27" s="43">
        <f>COUNTIF(Ввоз!A:A,'Сводная Ввоз'!A27)</f>
        <v>0</v>
      </c>
    </row>
    <row r="28" spans="1:3" x14ac:dyDescent="0.3">
      <c r="A28" s="41">
        <v>45409</v>
      </c>
      <c r="B28" s="42">
        <f>SUMIF(Ввоз!A:A,'Сводная Ввоз'!A28,Ввоз!G:G)</f>
        <v>0</v>
      </c>
      <c r="C28" s="43">
        <f>COUNTIF(Ввоз!A:A,'Сводная Ввоз'!A28)</f>
        <v>0</v>
      </c>
    </row>
    <row r="29" spans="1:3" x14ac:dyDescent="0.3">
      <c r="A29" s="41">
        <v>45410</v>
      </c>
      <c r="B29" s="42">
        <f>SUMIF(Ввоз!A:A,'Сводная Ввоз'!A29,Ввоз!G:G)</f>
        <v>0</v>
      </c>
      <c r="C29" s="43">
        <f>COUNTIF(Ввоз!A:A,'Сводная Ввоз'!A29)</f>
        <v>0</v>
      </c>
    </row>
    <row r="30" spans="1:3" x14ac:dyDescent="0.3">
      <c r="A30" s="41">
        <v>45411</v>
      </c>
      <c r="B30" s="42">
        <f>SUMIF(Ввоз!A:A,'Сводная Ввоз'!A30,Ввоз!G:G)</f>
        <v>0</v>
      </c>
      <c r="C30" s="43">
        <f>COUNTIF(Ввоз!A:A,'Сводная Ввоз'!A30)</f>
        <v>0</v>
      </c>
    </row>
    <row r="31" spans="1:3" x14ac:dyDescent="0.3">
      <c r="A31" s="41">
        <v>45412</v>
      </c>
      <c r="B31" s="42">
        <f>SUMIF(Ввоз!A:A,'Сводная Ввоз'!A31,Ввоз!G:G)</f>
        <v>0</v>
      </c>
      <c r="C31" s="43">
        <f>COUNTIF(Ввоз!A:A,'Сводная Ввоз'!A31)</f>
        <v>0</v>
      </c>
    </row>
    <row r="32" spans="1:3" x14ac:dyDescent="0.3">
      <c r="A32" s="41">
        <v>45413</v>
      </c>
      <c r="B32" s="42">
        <f>SUMIF(Ввоз!A:A,'Сводная Ввоз'!A32,Ввоз!G:G)</f>
        <v>0</v>
      </c>
      <c r="C32" s="43">
        <f>COUNTIF(Ввоз!A:A,'Сводная Ввоз'!A32)</f>
        <v>0</v>
      </c>
    </row>
    <row r="33" spans="1:3" x14ac:dyDescent="0.3">
      <c r="A33" s="37" t="s">
        <v>47</v>
      </c>
      <c r="B33" s="44">
        <f>SUM(B2:B32)</f>
        <v>0</v>
      </c>
      <c r="C33" s="44" t="e">
        <f>AVERAGEIF(C2:C32,"&gt;0",C2:C32)</f>
        <v>#DIV/0!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75"/>
  <sheetViews>
    <sheetView zoomScale="85" zoomScaleNormal="85" workbookViewId="0">
      <selection activeCell="B14" sqref="B14"/>
    </sheetView>
  </sheetViews>
  <sheetFormatPr defaultRowHeight="14.4" x14ac:dyDescent="0.3"/>
  <cols>
    <col min="1" max="1" width="17.88671875" bestFit="1" customWidth="1"/>
    <col min="2" max="2" width="30.88671875" bestFit="1" customWidth="1"/>
    <col min="5" max="5" width="40.6640625" bestFit="1" customWidth="1"/>
    <col min="6" max="6" width="6.6640625" bestFit="1" customWidth="1"/>
    <col min="8" max="8" width="16" customWidth="1"/>
    <col min="10" max="10" width="19.44140625" customWidth="1"/>
    <col min="11" max="11" width="11.44140625" customWidth="1"/>
    <col min="12" max="12" width="7" bestFit="1" customWidth="1"/>
    <col min="13" max="13" width="22.44140625" bestFit="1" customWidth="1"/>
    <col min="14" max="14" width="10.33203125" bestFit="1" customWidth="1"/>
    <col min="16" max="16" width="9.109375" customWidth="1"/>
    <col min="18" max="18" width="9.109375" customWidth="1"/>
  </cols>
  <sheetData>
    <row r="1" spans="1:11" x14ac:dyDescent="0.3">
      <c r="A1" s="37" t="s">
        <v>1</v>
      </c>
      <c r="B1" s="38" t="s">
        <v>43</v>
      </c>
      <c r="C1" s="38" t="s">
        <v>44</v>
      </c>
      <c r="E1" s="39" t="s">
        <v>50</v>
      </c>
      <c r="F1" s="40">
        <f>ROUND(AVERAGEIFS(B2:B35,B2:B35,"&gt;0",A2:A35,"&lt;&gt;Итого"),2)</f>
        <v>819.73</v>
      </c>
    </row>
    <row r="2" spans="1:11" x14ac:dyDescent="0.3">
      <c r="A2" s="41">
        <v>45383</v>
      </c>
      <c r="B2" s="42">
        <f>SUMIF(Вывоз!A:A,'Сводная Вывоз'!A2,Вывоз!I:I)/1000</f>
        <v>0</v>
      </c>
      <c r="C2" s="43">
        <f>COUNTIF(Вывоз!A:A,'Сводная Вывоз'!A2)</f>
        <v>0</v>
      </c>
      <c r="E2" s="39" t="s">
        <v>46</v>
      </c>
      <c r="F2" s="39">
        <f>ROUND(AVERAGEIFS(C2:C35,C2:C35,"&gt;0",A2:A35,"&lt;&gt;Итого"),0)</f>
        <v>2</v>
      </c>
      <c r="H2" s="73"/>
      <c r="I2" s="73" t="s">
        <v>37</v>
      </c>
      <c r="J2" s="73" t="s">
        <v>38</v>
      </c>
      <c r="K2" s="73"/>
    </row>
    <row r="3" spans="1:11" x14ac:dyDescent="0.3">
      <c r="A3" s="41">
        <v>45384</v>
      </c>
      <c r="B3" s="42">
        <f>SUMIF(Вывоз!A:A,'Сводная Вывоз'!A3,Вывоз!I:I)/1000</f>
        <v>0</v>
      </c>
      <c r="C3" s="43">
        <f>COUNTIF(Вывоз!A:A,'Сводная Вывоз'!A3)</f>
        <v>0</v>
      </c>
      <c r="H3" s="71" t="s">
        <v>41</v>
      </c>
      <c r="I3" s="72" t="e">
        <f>VLOOKUP(K3,'Сводная Ввоз'!A:C,2,0)</f>
        <v>#N/A</v>
      </c>
      <c r="J3" s="72"/>
      <c r="K3" s="71">
        <v>45366</v>
      </c>
    </row>
    <row r="4" spans="1:11" x14ac:dyDescent="0.3">
      <c r="A4" s="41">
        <v>45385</v>
      </c>
      <c r="B4" s="42">
        <f>SUMIF(Вывоз!A:A,'Сводная Вывоз'!A4,Вывоз!I:I)/1000</f>
        <v>0</v>
      </c>
      <c r="C4" s="43">
        <f>COUNTIF(Вывоз!A:A,'Сводная Вывоз'!A4)</f>
        <v>0</v>
      </c>
      <c r="H4" s="71" t="s">
        <v>41</v>
      </c>
      <c r="I4" s="72"/>
      <c r="J4" s="72" t="e">
        <f>VLOOKUP(K4,A:C,2,0)</f>
        <v>#N/A</v>
      </c>
      <c r="K4" s="71">
        <v>45366</v>
      </c>
    </row>
    <row r="5" spans="1:11" x14ac:dyDescent="0.3">
      <c r="A5" s="41">
        <v>45386</v>
      </c>
      <c r="B5" s="42">
        <f>SUMIF(Вывоз!A:A,'Сводная Вывоз'!A5,Вывоз!I:I)/1000</f>
        <v>0</v>
      </c>
      <c r="C5" s="43">
        <f>COUNTIF(Вывоз!A:A,'Сводная Вывоз'!A5)</f>
        <v>0</v>
      </c>
      <c r="H5" s="80" t="s">
        <v>51</v>
      </c>
      <c r="I5" s="72" t="e">
        <f>VLOOKUP(K5,'Сводная Ввоз'!A:C,2,0)</f>
        <v>#N/A</v>
      </c>
      <c r="J5" s="72"/>
      <c r="K5" s="29">
        <v>45367</v>
      </c>
    </row>
    <row r="6" spans="1:11" x14ac:dyDescent="0.3">
      <c r="A6" s="41">
        <v>45387</v>
      </c>
      <c r="B6" s="42">
        <f>SUMIF(Вывоз!A:A,'Сводная Вывоз'!A6,Вывоз!I:I)/1000</f>
        <v>0</v>
      </c>
      <c r="C6" s="43">
        <f>COUNTIF(Вывоз!A:A,'Сводная Вывоз'!A6)</f>
        <v>0</v>
      </c>
      <c r="H6" s="80" t="s">
        <v>51</v>
      </c>
      <c r="I6" s="72"/>
      <c r="J6" s="72" t="e">
        <f>VLOOKUP(K6,A:C,2,0)</f>
        <v>#N/A</v>
      </c>
      <c r="K6" s="29">
        <v>45367</v>
      </c>
    </row>
    <row r="7" spans="1:11" x14ac:dyDescent="0.3">
      <c r="A7" s="41">
        <v>45388</v>
      </c>
      <c r="B7" s="42">
        <f>SUMIF(Вывоз!A:A,'Сводная Вывоз'!A7,Вывоз!I:I)/1000</f>
        <v>0</v>
      </c>
      <c r="C7" s="43">
        <f>COUNTIF(Вывоз!A:A,'Сводная Вывоз'!A7)</f>
        <v>0</v>
      </c>
      <c r="H7" s="80" t="s">
        <v>52</v>
      </c>
      <c r="I7" s="72" t="e">
        <f>VLOOKUP(K7,'Сводная Ввоз'!A:C,2,0)</f>
        <v>#N/A</v>
      </c>
      <c r="J7" s="72"/>
      <c r="K7" s="29">
        <v>45368</v>
      </c>
    </row>
    <row r="8" spans="1:11" x14ac:dyDescent="0.3">
      <c r="A8" s="41">
        <v>45389</v>
      </c>
      <c r="B8" s="42">
        <f>SUMIF(Вывоз!A:A,'Сводная Вывоз'!A8,Вывоз!I:I)/1000</f>
        <v>0</v>
      </c>
      <c r="C8" s="43">
        <f>COUNTIF(Вывоз!A:A,'Сводная Вывоз'!A8)</f>
        <v>0</v>
      </c>
      <c r="H8" s="80" t="s">
        <v>52</v>
      </c>
      <c r="I8" s="72"/>
      <c r="J8" s="72" t="e">
        <f>VLOOKUP(K8,A:C,2,0)</f>
        <v>#N/A</v>
      </c>
      <c r="K8" s="29">
        <v>45368</v>
      </c>
    </row>
    <row r="9" spans="1:11" x14ac:dyDescent="0.3">
      <c r="A9" s="41">
        <v>45390</v>
      </c>
      <c r="B9" s="42">
        <f>SUMIF(Вывоз!A:A,'Сводная Вывоз'!A9,Вывоз!I:I)/1000</f>
        <v>0</v>
      </c>
      <c r="C9" s="43">
        <f>COUNTIF(Вывоз!A:A,'Сводная Вывоз'!A9)</f>
        <v>0</v>
      </c>
      <c r="H9" s="80" t="s">
        <v>53</v>
      </c>
      <c r="I9" s="72" t="e">
        <f>VLOOKUP(K9,'Сводная Ввоз'!A:C,2,0)</f>
        <v>#N/A</v>
      </c>
      <c r="J9" s="72"/>
      <c r="K9" s="71">
        <v>45369</v>
      </c>
    </row>
    <row r="10" spans="1:11" x14ac:dyDescent="0.3">
      <c r="A10" s="41">
        <v>45391</v>
      </c>
      <c r="B10" s="42">
        <f>SUMIF(Вывоз!A:A,'Сводная Вывоз'!A10,Вывоз!I:I)/1000</f>
        <v>0</v>
      </c>
      <c r="C10" s="43">
        <f>COUNTIF(Вывоз!A:A,'Сводная Вывоз'!A10)</f>
        <v>0</v>
      </c>
      <c r="H10" s="80" t="s">
        <v>53</v>
      </c>
      <c r="I10" s="72"/>
      <c r="J10" s="72" t="e">
        <f>VLOOKUP(K10,A:C,2,0)</f>
        <v>#N/A</v>
      </c>
      <c r="K10" s="71">
        <v>45369</v>
      </c>
    </row>
    <row r="11" spans="1:11" x14ac:dyDescent="0.3">
      <c r="A11" s="41">
        <v>45392</v>
      </c>
      <c r="B11" s="42">
        <f>SUMIF(Вывоз!A:A,'Сводная Вывоз'!A11,Вывоз!I:I)/1000</f>
        <v>0</v>
      </c>
      <c r="C11" s="43">
        <f>COUNTIF(Вывоз!A:A,'Сводная Вывоз'!A11)</f>
        <v>0</v>
      </c>
      <c r="H11" s="80" t="s">
        <v>54</v>
      </c>
      <c r="I11" s="72" t="e">
        <f>VLOOKUP(K11,'Сводная Ввоз'!A:C,2,0)</f>
        <v>#N/A</v>
      </c>
      <c r="J11" s="72"/>
      <c r="K11" s="71">
        <v>45370</v>
      </c>
    </row>
    <row r="12" spans="1:11" x14ac:dyDescent="0.3">
      <c r="A12" s="41">
        <v>45393</v>
      </c>
      <c r="B12" s="42">
        <f>SUMIF(Вывоз!A:A,'Сводная Вывоз'!A12,Вывоз!I:I)/1000</f>
        <v>0</v>
      </c>
      <c r="C12" s="43">
        <f>COUNTIF(Вывоз!A:A,'Сводная Вывоз'!A12)</f>
        <v>0</v>
      </c>
      <c r="H12" s="80" t="s">
        <v>54</v>
      </c>
      <c r="I12" s="72"/>
      <c r="J12" s="72" t="e">
        <f>VLOOKUP(K12,A:C,2,0)</f>
        <v>#N/A</v>
      </c>
      <c r="K12" s="71">
        <v>45370</v>
      </c>
    </row>
    <row r="13" spans="1:11" x14ac:dyDescent="0.3">
      <c r="A13" s="41">
        <v>45394</v>
      </c>
      <c r="B13" s="42">
        <f>SUMIF(Вывоз!A:A,'Сводная Вывоз'!A13,Вывоз!I:I)/1000</f>
        <v>0</v>
      </c>
      <c r="C13" s="43">
        <f>COUNTIF(Вывоз!A:A,'Сводная Вывоз'!A13)</f>
        <v>0</v>
      </c>
      <c r="H13" s="80" t="s">
        <v>55</v>
      </c>
      <c r="I13" s="72" t="e">
        <f>VLOOKUP(K13,'Сводная Ввоз'!A:C,2,0)</f>
        <v>#N/A</v>
      </c>
      <c r="J13" s="72"/>
      <c r="K13" s="71">
        <v>45371</v>
      </c>
    </row>
    <row r="14" spans="1:11" x14ac:dyDescent="0.3">
      <c r="A14" s="41">
        <v>45395</v>
      </c>
      <c r="B14" s="42">
        <f>SUMIF(Вывоз!A:A,'Сводная Вывоз'!A14,Вывоз!I:I)/1000</f>
        <v>0</v>
      </c>
      <c r="C14" s="43">
        <f>COUNTIF(Вывоз!A:A,'Сводная Вывоз'!A14)</f>
        <v>0</v>
      </c>
      <c r="H14" s="80" t="s">
        <v>55</v>
      </c>
      <c r="I14" s="72"/>
      <c r="J14" s="72" t="e">
        <f>VLOOKUP(K14,A:C,2,0)</f>
        <v>#N/A</v>
      </c>
      <c r="K14" s="71">
        <v>45371</v>
      </c>
    </row>
    <row r="15" spans="1:11" x14ac:dyDescent="0.3">
      <c r="A15" s="41">
        <v>45396</v>
      </c>
      <c r="B15" s="42">
        <f>SUMIF(Вывоз!A:A,'Сводная Вывоз'!A15,Вывоз!I:I)/1000</f>
        <v>0</v>
      </c>
      <c r="C15" s="43">
        <f>COUNTIF(Вывоз!A:A,'Сводная Вывоз'!A15)</f>
        <v>0</v>
      </c>
      <c r="H15" s="80" t="s">
        <v>56</v>
      </c>
      <c r="I15" s="72" t="e">
        <f>VLOOKUP(K15,'Сводная Ввоз'!A:C,2,0)</f>
        <v>#N/A</v>
      </c>
      <c r="J15" s="72"/>
      <c r="K15" s="71">
        <v>45372</v>
      </c>
    </row>
    <row r="16" spans="1:11" x14ac:dyDescent="0.3">
      <c r="A16" s="41">
        <v>45397</v>
      </c>
      <c r="B16" s="42">
        <f>SUMIF(Вывоз!A:A,'Сводная Вывоз'!A16,Вывоз!I:I)/1000</f>
        <v>0</v>
      </c>
      <c r="C16" s="43">
        <f>COUNTIF(Вывоз!A:A,'Сводная Вывоз'!A16)</f>
        <v>0</v>
      </c>
      <c r="H16" s="80" t="s">
        <v>56</v>
      </c>
      <c r="I16" s="72"/>
      <c r="J16" s="72" t="e">
        <f>VLOOKUP(K16,A:C,2,0)</f>
        <v>#N/A</v>
      </c>
      <c r="K16" s="71">
        <v>45372</v>
      </c>
    </row>
    <row r="17" spans="1:11" x14ac:dyDescent="0.3">
      <c r="A17" s="41">
        <v>45398</v>
      </c>
      <c r="B17" s="42">
        <f>SUMIF(Вывоз!A:A,'Сводная Вывоз'!A17,Вывоз!I:I)/1000</f>
        <v>0</v>
      </c>
      <c r="C17" s="43">
        <f>COUNTIF(Вывоз!A:A,'Сводная Вывоз'!A17)</f>
        <v>0</v>
      </c>
      <c r="H17" s="80" t="s">
        <v>57</v>
      </c>
      <c r="I17" s="72" t="e">
        <f>VLOOKUP(K17,'Сводная Ввоз'!A:C,2,0)</f>
        <v>#N/A</v>
      </c>
      <c r="J17" s="72"/>
      <c r="K17" s="71">
        <v>45373</v>
      </c>
    </row>
    <row r="18" spans="1:11" x14ac:dyDescent="0.3">
      <c r="A18" s="41">
        <v>45399</v>
      </c>
      <c r="B18" s="42">
        <f>SUMIF(Вывоз!A:A,'Сводная Вывоз'!A18,Вывоз!I:I)/1000</f>
        <v>0</v>
      </c>
      <c r="C18" s="43">
        <f>COUNTIF(Вывоз!A:A,'Сводная Вывоз'!A18)</f>
        <v>0</v>
      </c>
      <c r="H18" s="80" t="s">
        <v>57</v>
      </c>
      <c r="I18" s="72"/>
      <c r="J18" s="72" t="e">
        <f>VLOOKUP(K18,A:C,2,0)</f>
        <v>#N/A</v>
      </c>
      <c r="K18" s="71">
        <v>45373</v>
      </c>
    </row>
    <row r="19" spans="1:11" x14ac:dyDescent="0.3">
      <c r="A19" s="41">
        <v>45400</v>
      </c>
      <c r="B19" s="42">
        <f>SUMIF(Вывоз!A:A,'Сводная Вывоз'!A19,Вывоз!I:I)/1000</f>
        <v>0</v>
      </c>
      <c r="C19" s="43">
        <f>COUNTIF(Вывоз!A:A,'Сводная Вывоз'!A19)</f>
        <v>0</v>
      </c>
      <c r="H19" s="80" t="s">
        <v>58</v>
      </c>
      <c r="I19" s="72" t="e">
        <f>VLOOKUP(K19,'Сводная Ввоз'!A:C,2,0)</f>
        <v>#N/A</v>
      </c>
      <c r="J19" s="72"/>
      <c r="K19" s="71">
        <v>45374</v>
      </c>
    </row>
    <row r="20" spans="1:11" x14ac:dyDescent="0.3">
      <c r="A20" s="41">
        <v>45401</v>
      </c>
      <c r="B20" s="42">
        <f>SUMIF(Вывоз!A:A,'Сводная Вывоз'!A20,Вывоз!I:I)/1000</f>
        <v>0</v>
      </c>
      <c r="C20" s="43">
        <f>COUNTIF(Вывоз!A:A,'Сводная Вывоз'!A20)</f>
        <v>0</v>
      </c>
      <c r="H20" s="80" t="s">
        <v>58</v>
      </c>
      <c r="I20" s="72"/>
      <c r="J20" s="72" t="e">
        <f>VLOOKUP(K20,A:C,2,0)</f>
        <v>#N/A</v>
      </c>
      <c r="K20" s="71">
        <v>45374</v>
      </c>
    </row>
    <row r="21" spans="1:11" x14ac:dyDescent="0.3">
      <c r="A21" s="41">
        <v>45402</v>
      </c>
      <c r="B21" s="42">
        <f>SUMIF(Вывоз!A:A,'Сводная Вывоз'!A21,Вывоз!I:I)/1000</f>
        <v>0</v>
      </c>
      <c r="C21" s="43">
        <f>COUNTIF(Вывоз!A:A,'Сводная Вывоз'!A21)</f>
        <v>0</v>
      </c>
      <c r="H21" s="80" t="s">
        <v>59</v>
      </c>
      <c r="I21" s="72" t="e">
        <f>VLOOKUP(K21,'Сводная Ввоз'!A:C,2,0)</f>
        <v>#N/A</v>
      </c>
      <c r="J21" s="72"/>
      <c r="K21" s="71">
        <v>45375</v>
      </c>
    </row>
    <row r="22" spans="1:11" x14ac:dyDescent="0.3">
      <c r="A22" s="41">
        <v>45403</v>
      </c>
      <c r="B22" s="42">
        <f>SUMIF(Вывоз!A:A,'Сводная Вывоз'!A22,Вывоз!I:I)/1000</f>
        <v>0</v>
      </c>
      <c r="C22" s="43">
        <f>COUNTIF(Вывоз!A:A,'Сводная Вывоз'!A22)</f>
        <v>0</v>
      </c>
      <c r="H22" s="80" t="s">
        <v>59</v>
      </c>
      <c r="I22" s="72"/>
      <c r="J22" s="72" t="e">
        <f>VLOOKUP(K22,A:C,2,0)</f>
        <v>#N/A</v>
      </c>
      <c r="K22" s="71">
        <v>45375</v>
      </c>
    </row>
    <row r="23" spans="1:11" x14ac:dyDescent="0.3">
      <c r="A23" s="41">
        <v>45404</v>
      </c>
      <c r="B23" s="42">
        <f>SUMIF(Вывоз!A:A,'Сводная Вывоз'!A23,Вывоз!I:I)/1000</f>
        <v>0</v>
      </c>
      <c r="C23" s="43">
        <f>COUNTIF(Вывоз!A:A,'Сводная Вывоз'!A23)</f>
        <v>0</v>
      </c>
      <c r="H23" s="80" t="s">
        <v>60</v>
      </c>
      <c r="I23" s="72" t="e">
        <f>VLOOKUP(K23,'Сводная Ввоз'!A:C,2,0)</f>
        <v>#N/A</v>
      </c>
      <c r="J23" s="72"/>
      <c r="K23" s="71">
        <v>45376</v>
      </c>
    </row>
    <row r="24" spans="1:11" x14ac:dyDescent="0.3">
      <c r="A24" s="41">
        <v>45405</v>
      </c>
      <c r="B24" s="42">
        <f>SUMIF(Вывоз!A:A,'Сводная Вывоз'!A24,Вывоз!I:I)/1000</f>
        <v>0</v>
      </c>
      <c r="C24" s="43">
        <f>COUNTIF(Вывоз!A:A,'Сводная Вывоз'!A24)</f>
        <v>0</v>
      </c>
      <c r="H24" s="80" t="s">
        <v>60</v>
      </c>
      <c r="I24" s="72"/>
      <c r="J24" s="72" t="e">
        <f>VLOOKUP(K24,A:C,2,0)</f>
        <v>#N/A</v>
      </c>
      <c r="K24" s="71">
        <v>45376</v>
      </c>
    </row>
    <row r="25" spans="1:11" x14ac:dyDescent="0.3">
      <c r="A25" s="41">
        <v>45406</v>
      </c>
      <c r="B25" s="42">
        <f>SUMIF(Вывоз!A:A,'Сводная Вывоз'!A25,Вывоз!I:I)/1000</f>
        <v>0</v>
      </c>
      <c r="C25" s="43">
        <f>COUNTIF(Вывоз!A:A,'Сводная Вывоз'!A25)</f>
        <v>0</v>
      </c>
      <c r="H25" s="80" t="s">
        <v>61</v>
      </c>
      <c r="I25" s="72" t="e">
        <f>VLOOKUP(K25,'Сводная Ввоз'!A:C,2,0)</f>
        <v>#N/A</v>
      </c>
      <c r="J25" s="72"/>
      <c r="K25" s="71">
        <v>45377</v>
      </c>
    </row>
    <row r="26" spans="1:11" x14ac:dyDescent="0.3">
      <c r="A26" s="41">
        <v>45407</v>
      </c>
      <c r="B26" s="42">
        <f>SUMIF(Вывоз!A:A,'Сводная Вывоз'!A26,Вывоз!I:I)/1000</f>
        <v>0</v>
      </c>
      <c r="C26" s="43">
        <f>COUNTIF(Вывоз!A:A,'Сводная Вывоз'!A26)</f>
        <v>0</v>
      </c>
      <c r="H26" s="80" t="s">
        <v>61</v>
      </c>
      <c r="I26" s="72"/>
      <c r="J26" s="72" t="e">
        <f>VLOOKUP(K26,A:C,2,0)</f>
        <v>#N/A</v>
      </c>
      <c r="K26" s="71">
        <v>45377</v>
      </c>
    </row>
    <row r="27" spans="1:11" x14ac:dyDescent="0.3">
      <c r="A27" s="41">
        <v>45408</v>
      </c>
      <c r="B27" s="42">
        <f>SUMIF(Вывоз!A:A,'Сводная Вывоз'!A27,Вывоз!I:I)/1000</f>
        <v>0</v>
      </c>
      <c r="C27" s="43">
        <f>COUNTIF(Вывоз!A:A,'Сводная Вывоз'!A27)</f>
        <v>0</v>
      </c>
      <c r="H27" s="80" t="s">
        <v>62</v>
      </c>
      <c r="I27" s="72" t="e">
        <f>VLOOKUP(K27,'Сводная Ввоз'!A:C,2,0)</f>
        <v>#N/A</v>
      </c>
      <c r="J27" s="72"/>
      <c r="K27" s="71">
        <v>45378</v>
      </c>
    </row>
    <row r="28" spans="1:11" x14ac:dyDescent="0.3">
      <c r="A28" s="41">
        <v>45409</v>
      </c>
      <c r="B28" s="42">
        <f>SUMIF(Вывоз!A:A,'Сводная Вывоз'!A28,Вывоз!I:I)/1000</f>
        <v>0</v>
      </c>
      <c r="C28" s="43">
        <f>COUNTIF(Вывоз!A:A,'Сводная Вывоз'!A28)</f>
        <v>0</v>
      </c>
      <c r="H28" s="80" t="s">
        <v>62</v>
      </c>
      <c r="I28" s="72"/>
      <c r="J28" s="72" t="e">
        <f>VLOOKUP(K28,A:C,2,0)</f>
        <v>#N/A</v>
      </c>
      <c r="K28" s="71">
        <v>45378</v>
      </c>
    </row>
    <row r="29" spans="1:11" x14ac:dyDescent="0.3">
      <c r="A29" s="41">
        <v>45410</v>
      </c>
      <c r="B29" s="42">
        <f>SUMIF(Вывоз!A:A,'Сводная Вывоз'!A29,Вывоз!I:I)/1000</f>
        <v>0</v>
      </c>
      <c r="C29" s="43">
        <f>COUNTIF(Вывоз!A:A,'Сводная Вывоз'!A29)</f>
        <v>0</v>
      </c>
      <c r="H29" s="80" t="s">
        <v>63</v>
      </c>
      <c r="I29" s="72" t="e">
        <f>VLOOKUP(K29,'Сводная Ввоз'!A:C,2,0)</f>
        <v>#N/A</v>
      </c>
      <c r="J29" s="72"/>
      <c r="K29" s="71">
        <v>45379</v>
      </c>
    </row>
    <row r="30" spans="1:11" x14ac:dyDescent="0.3">
      <c r="A30" s="41">
        <v>45411</v>
      </c>
      <c r="B30" s="42">
        <f>SUMIF(Вывоз!A:A,'Сводная Вывоз'!A30,Вывоз!I:I)/1000</f>
        <v>0</v>
      </c>
      <c r="C30" s="43">
        <f>COUNTIF(Вывоз!A:A,'Сводная Вывоз'!A30)</f>
        <v>0</v>
      </c>
      <c r="H30" s="80" t="s">
        <v>63</v>
      </c>
      <c r="I30" s="72"/>
      <c r="J30" s="72" t="e">
        <f>VLOOKUP(K30,A:C,2,0)</f>
        <v>#N/A</v>
      </c>
      <c r="K30" s="71">
        <v>45379</v>
      </c>
    </row>
    <row r="31" spans="1:11" x14ac:dyDescent="0.3">
      <c r="A31" s="41">
        <v>45412</v>
      </c>
      <c r="B31" s="42">
        <f>SUMIF(Вывоз!A:A,'Сводная Вывоз'!A31,Вывоз!I:I)/1000</f>
        <v>0</v>
      </c>
      <c r="C31" s="43">
        <f>COUNTIF(Вывоз!A:A,'Сводная Вывоз'!A31)</f>
        <v>0</v>
      </c>
      <c r="H31" s="80" t="s">
        <v>64</v>
      </c>
      <c r="I31" s="72" t="e">
        <f>VLOOKUP(K31,'Сводная Ввоз'!A:C,2,0)</f>
        <v>#N/A</v>
      </c>
      <c r="J31" s="72"/>
      <c r="K31" s="71">
        <v>45380</v>
      </c>
    </row>
    <row r="32" spans="1:11" x14ac:dyDescent="0.3">
      <c r="A32" s="41">
        <v>45413</v>
      </c>
      <c r="B32" s="42">
        <f>SUMIF(Вывоз!A:A,'Сводная Вывоз'!A32,Вывоз!I:I)/1000</f>
        <v>819.73</v>
      </c>
      <c r="C32" s="43">
        <f>COUNTIF(Вывоз!A:A,'Сводная Вывоз'!A32)</f>
        <v>2</v>
      </c>
      <c r="H32" s="80" t="s">
        <v>64</v>
      </c>
      <c r="I32" s="72"/>
      <c r="J32" s="72" t="e">
        <f>VLOOKUP(K32,A:C,2,0)</f>
        <v>#N/A</v>
      </c>
      <c r="K32" s="71">
        <v>45380</v>
      </c>
    </row>
    <row r="33" spans="1:11" x14ac:dyDescent="0.3">
      <c r="A33" s="37" t="s">
        <v>47</v>
      </c>
      <c r="B33" s="44">
        <f>SUM(B2:B32)</f>
        <v>819.73</v>
      </c>
      <c r="C33" s="44">
        <f>AVERAGEIF(C2:C32,"&gt;0",C2:C32)</f>
        <v>2</v>
      </c>
      <c r="H33" s="80" t="s">
        <v>65</v>
      </c>
      <c r="I33" s="72" t="e">
        <f>VLOOKUP(K33,'Сводная Ввоз'!A:C,2,0)</f>
        <v>#N/A</v>
      </c>
      <c r="J33" s="72"/>
      <c r="K33" s="29">
        <v>45381</v>
      </c>
    </row>
    <row r="34" spans="1:11" x14ac:dyDescent="0.3">
      <c r="A34" s="81"/>
      <c r="B34" s="82"/>
      <c r="C34" s="82"/>
      <c r="H34" s="80" t="s">
        <v>65</v>
      </c>
      <c r="I34" s="72"/>
      <c r="J34" s="72" t="e">
        <f>VLOOKUP(K34,A:C,2,0)</f>
        <v>#N/A</v>
      </c>
      <c r="K34" s="29">
        <v>45381</v>
      </c>
    </row>
    <row r="35" spans="1:11" x14ac:dyDescent="0.3">
      <c r="H35" s="80" t="s">
        <v>66</v>
      </c>
      <c r="I35" s="72" t="e">
        <f>VLOOKUP(K35,'Сводная Ввоз'!A:C,2,0)</f>
        <v>#N/A</v>
      </c>
      <c r="J35" s="72"/>
      <c r="K35" s="29">
        <v>45382</v>
      </c>
    </row>
    <row r="36" spans="1:11" x14ac:dyDescent="0.3">
      <c r="H36" s="80" t="s">
        <v>66</v>
      </c>
      <c r="I36" s="72"/>
      <c r="J36" s="72" t="e">
        <f>VLOOKUP(K36,A:C,2,0)</f>
        <v>#N/A</v>
      </c>
      <c r="K36" s="29">
        <v>45382</v>
      </c>
    </row>
    <row r="41" spans="1:11" x14ac:dyDescent="0.3">
      <c r="H41" s="73"/>
      <c r="I41" s="73" t="s">
        <v>37</v>
      </c>
      <c r="J41" s="73" t="s">
        <v>38</v>
      </c>
      <c r="K41" s="73"/>
    </row>
    <row r="42" spans="1:11" x14ac:dyDescent="0.3">
      <c r="A42" s="34" t="s">
        <v>24</v>
      </c>
      <c r="B42" t="s">
        <v>26</v>
      </c>
      <c r="H42" s="71" t="str">
        <f>LOWER(TEXT(K42,"ДД ММММ"))</f>
        <v>01 апрель</v>
      </c>
      <c r="I42" s="72">
        <f>VLOOKUP(K42,'Сводная Ввоз'!A:C,2,0)</f>
        <v>0</v>
      </c>
      <c r="J42" s="72"/>
      <c r="K42" s="71">
        <v>45383</v>
      </c>
    </row>
    <row r="43" spans="1:11" x14ac:dyDescent="0.3">
      <c r="A43" s="35">
        <v>45352</v>
      </c>
      <c r="B43" s="25">
        <v>347860</v>
      </c>
      <c r="H43" s="71" t="str">
        <f t="shared" ref="H43:H50" si="0">LOWER(TEXT(K43,"ДД ММММ"))</f>
        <v>01 апрель</v>
      </c>
      <c r="I43" s="72"/>
      <c r="J43" s="72">
        <f>VLOOKUP(K43,A:C,2,0)</f>
        <v>0</v>
      </c>
      <c r="K43" s="71">
        <v>45383</v>
      </c>
    </row>
    <row r="44" spans="1:11" x14ac:dyDescent="0.3">
      <c r="A44" s="75" t="s">
        <v>40</v>
      </c>
      <c r="B44" s="25">
        <v>347860</v>
      </c>
      <c r="H44" s="71" t="str">
        <f t="shared" si="0"/>
        <v>02 апрель</v>
      </c>
      <c r="I44" s="72">
        <f>VLOOKUP(K44,'Сводная Ввоз'!A:C,2,0)</f>
        <v>0</v>
      </c>
      <c r="J44" s="72"/>
      <c r="K44" s="71">
        <v>45384</v>
      </c>
    </row>
    <row r="45" spans="1:11" x14ac:dyDescent="0.3">
      <c r="A45" s="35">
        <v>45353</v>
      </c>
      <c r="B45" s="25">
        <v>125050</v>
      </c>
      <c r="H45" s="71" t="str">
        <f t="shared" si="0"/>
        <v>02 апрель</v>
      </c>
      <c r="I45" s="72"/>
      <c r="J45" s="72">
        <f t="shared" ref="J45" si="1">VLOOKUP(K45,A:C,2,0)</f>
        <v>0</v>
      </c>
      <c r="K45" s="71">
        <v>45384</v>
      </c>
    </row>
    <row r="46" spans="1:11" x14ac:dyDescent="0.3">
      <c r="A46" s="75" t="s">
        <v>40</v>
      </c>
      <c r="B46" s="25">
        <v>125050</v>
      </c>
      <c r="H46" s="71" t="str">
        <f t="shared" si="0"/>
        <v>03 апрель</v>
      </c>
      <c r="I46" s="72">
        <f>VLOOKUP(K46,'Сводная Ввоз'!A:C,2,0)</f>
        <v>0</v>
      </c>
      <c r="J46" s="72"/>
      <c r="K46" s="71">
        <v>45385</v>
      </c>
    </row>
    <row r="47" spans="1:11" x14ac:dyDescent="0.3">
      <c r="A47" s="35">
        <v>45354</v>
      </c>
      <c r="B47" s="25">
        <v>185500</v>
      </c>
      <c r="H47" s="71" t="str">
        <f t="shared" si="0"/>
        <v>03 апрель</v>
      </c>
      <c r="I47" s="72"/>
      <c r="J47" s="72">
        <f t="shared" ref="J47" si="2">VLOOKUP(K47,A:C,2,0)</f>
        <v>0</v>
      </c>
      <c r="K47" s="71">
        <v>45385</v>
      </c>
    </row>
    <row r="48" spans="1:11" x14ac:dyDescent="0.3">
      <c r="A48" s="75" t="s">
        <v>40</v>
      </c>
      <c r="B48" s="25">
        <v>185500</v>
      </c>
      <c r="H48" s="71" t="str">
        <f t="shared" si="0"/>
        <v>04 апрель</v>
      </c>
      <c r="I48" s="72">
        <f>VLOOKUP(K48,'Сводная Ввоз'!A:C,2,0)</f>
        <v>0</v>
      </c>
      <c r="J48" s="72"/>
      <c r="K48" s="71">
        <v>45386</v>
      </c>
    </row>
    <row r="49" spans="1:11" x14ac:dyDescent="0.3">
      <c r="A49" s="35">
        <v>45355</v>
      </c>
      <c r="B49" s="25">
        <v>434350</v>
      </c>
      <c r="H49" s="71" t="str">
        <f t="shared" si="0"/>
        <v>04 апрель</v>
      </c>
      <c r="I49" s="72"/>
      <c r="J49" s="72">
        <f t="shared" ref="J49" si="3">VLOOKUP(K49,A:C,2,0)</f>
        <v>0</v>
      </c>
      <c r="K49" s="71">
        <v>45386</v>
      </c>
    </row>
    <row r="50" spans="1:11" x14ac:dyDescent="0.3">
      <c r="A50" s="75" t="s">
        <v>40</v>
      </c>
      <c r="B50" s="25">
        <v>434350</v>
      </c>
      <c r="H50" s="71" t="str">
        <f t="shared" si="0"/>
        <v>05 апрель</v>
      </c>
      <c r="I50" s="72">
        <f>VLOOKUP(K50,'Сводная Ввоз'!A:C,2,0)</f>
        <v>0</v>
      </c>
      <c r="J50" s="72"/>
      <c r="K50" s="71">
        <v>45387</v>
      </c>
    </row>
    <row r="51" spans="1:11" x14ac:dyDescent="0.3">
      <c r="A51" s="35">
        <v>45356</v>
      </c>
      <c r="B51" s="25">
        <v>231300</v>
      </c>
      <c r="H51" s="71" t="s">
        <v>67</v>
      </c>
      <c r="I51" s="72"/>
      <c r="J51" s="72">
        <f>VLOOKUP(K51,A:C,2,0)</f>
        <v>0</v>
      </c>
      <c r="K51" s="71">
        <v>45387</v>
      </c>
    </row>
    <row r="52" spans="1:11" x14ac:dyDescent="0.3">
      <c r="A52" s="75" t="s">
        <v>40</v>
      </c>
      <c r="B52" s="25">
        <v>231300</v>
      </c>
      <c r="H52" s="71" t="s">
        <v>68</v>
      </c>
      <c r="I52" s="72">
        <f>VLOOKUP(K52,'Сводная Ввоз'!A:C,2,0)</f>
        <v>0</v>
      </c>
      <c r="J52" s="72"/>
      <c r="K52" s="71">
        <v>45388</v>
      </c>
    </row>
    <row r="53" spans="1:11" x14ac:dyDescent="0.3">
      <c r="A53" s="74" t="s">
        <v>42</v>
      </c>
      <c r="B53" s="25"/>
      <c r="H53" s="71" t="s">
        <v>68</v>
      </c>
      <c r="I53" s="72"/>
      <c r="J53" s="72">
        <f>VLOOKUP(K53,A:C,2,0)</f>
        <v>0</v>
      </c>
      <c r="K53" s="71">
        <v>45388</v>
      </c>
    </row>
    <row r="54" spans="1:11" x14ac:dyDescent="0.3">
      <c r="A54" s="75" t="s">
        <v>42</v>
      </c>
      <c r="B54" s="25"/>
      <c r="H54" s="71" t="s">
        <v>69</v>
      </c>
      <c r="I54" s="72">
        <f>VLOOKUP(K54,'Сводная Ввоз'!A:C,2,0)</f>
        <v>0</v>
      </c>
      <c r="J54" s="72"/>
      <c r="K54" s="71">
        <v>45389</v>
      </c>
    </row>
    <row r="55" spans="1:11" x14ac:dyDescent="0.3">
      <c r="A55" s="74" t="s">
        <v>25</v>
      </c>
      <c r="B55" s="25">
        <v>1324060</v>
      </c>
      <c r="H55" s="71" t="s">
        <v>69</v>
      </c>
      <c r="I55" s="72"/>
      <c r="J55" s="72">
        <f>VLOOKUP(K55,A:C,2,0)</f>
        <v>0</v>
      </c>
      <c r="K55" s="71">
        <v>45389</v>
      </c>
    </row>
    <row r="56" spans="1:11" x14ac:dyDescent="0.3">
      <c r="B56" s="25"/>
      <c r="H56" s="71" t="s">
        <v>70</v>
      </c>
      <c r="I56" s="72">
        <f>VLOOKUP(K56,'Сводная Ввоз'!A:C,2,0)</f>
        <v>0</v>
      </c>
      <c r="J56" s="72"/>
      <c r="K56" s="71">
        <v>45390</v>
      </c>
    </row>
    <row r="57" spans="1:11" x14ac:dyDescent="0.3">
      <c r="H57" s="71" t="s">
        <v>70</v>
      </c>
      <c r="I57" s="72"/>
      <c r="J57" s="72">
        <f>VLOOKUP(K57,A:C,2,0)</f>
        <v>0</v>
      </c>
      <c r="K57" s="71">
        <v>45390</v>
      </c>
    </row>
    <row r="58" spans="1:11" x14ac:dyDescent="0.3">
      <c r="H58" s="71" t="s">
        <v>71</v>
      </c>
      <c r="I58" s="72">
        <f>VLOOKUP(K58,'Сводная Ввоз'!A:C,2,0)</f>
        <v>0</v>
      </c>
      <c r="J58" s="72"/>
      <c r="K58" s="71">
        <v>45391</v>
      </c>
    </row>
    <row r="59" spans="1:11" x14ac:dyDescent="0.3">
      <c r="H59" s="71" t="s">
        <v>71</v>
      </c>
      <c r="I59" s="72"/>
      <c r="J59" s="72">
        <f>VLOOKUP(K59,A:C,2,0)</f>
        <v>0</v>
      </c>
      <c r="K59" s="71">
        <v>45391</v>
      </c>
    </row>
    <row r="60" spans="1:11" x14ac:dyDescent="0.3">
      <c r="H60" s="71" t="s">
        <v>72</v>
      </c>
      <c r="I60" s="72">
        <f>VLOOKUP(K60,'Сводная Ввоз'!A:C,2,0)</f>
        <v>0</v>
      </c>
      <c r="J60" s="72"/>
      <c r="K60" s="71">
        <v>45392</v>
      </c>
    </row>
    <row r="61" spans="1:11" x14ac:dyDescent="0.3">
      <c r="H61" s="71" t="s">
        <v>72</v>
      </c>
      <c r="I61" s="72"/>
      <c r="J61" s="72">
        <f>VLOOKUP(K61,A:C,2,0)</f>
        <v>0</v>
      </c>
      <c r="K61" s="71">
        <v>45392</v>
      </c>
    </row>
    <row r="62" spans="1:11" x14ac:dyDescent="0.3">
      <c r="H62" s="71" t="s">
        <v>73</v>
      </c>
      <c r="I62" s="72">
        <f>VLOOKUP(K62,'Сводная Ввоз'!A:C,2,0)</f>
        <v>0</v>
      </c>
      <c r="J62" s="72"/>
      <c r="K62" s="71">
        <v>45393</v>
      </c>
    </row>
    <row r="63" spans="1:11" x14ac:dyDescent="0.3">
      <c r="H63" s="71" t="s">
        <v>73</v>
      </c>
      <c r="I63" s="72"/>
      <c r="J63" s="72">
        <f>VLOOKUP(K63,A:C,2,0)</f>
        <v>0</v>
      </c>
      <c r="K63" s="71">
        <v>45393</v>
      </c>
    </row>
    <row r="64" spans="1:11" x14ac:dyDescent="0.3">
      <c r="H64" s="71" t="s">
        <v>74</v>
      </c>
      <c r="I64" s="72">
        <f>VLOOKUP(K64,'Сводная Ввоз'!A:C,2,0)</f>
        <v>0</v>
      </c>
      <c r="J64" s="72"/>
      <c r="K64" s="71">
        <v>45394</v>
      </c>
    </row>
    <row r="65" spans="8:11" x14ac:dyDescent="0.3">
      <c r="H65" s="71" t="s">
        <v>74</v>
      </c>
      <c r="I65" s="72"/>
      <c r="J65" s="72">
        <f>VLOOKUP(K65,A:C,2,0)</f>
        <v>0</v>
      </c>
      <c r="K65" s="71">
        <v>45394</v>
      </c>
    </row>
    <row r="66" spans="8:11" x14ac:dyDescent="0.3">
      <c r="H66" s="71" t="s">
        <v>75</v>
      </c>
      <c r="I66" s="72">
        <f>VLOOKUP(K66,'Сводная Ввоз'!A:C,2,0)</f>
        <v>0</v>
      </c>
      <c r="J66" s="72"/>
      <c r="K66" s="71">
        <v>45395</v>
      </c>
    </row>
    <row r="67" spans="8:11" x14ac:dyDescent="0.3">
      <c r="H67" s="71" t="s">
        <v>75</v>
      </c>
      <c r="I67" s="72"/>
      <c r="J67" s="72">
        <f>VLOOKUP(K67,A:C,2,0)</f>
        <v>0</v>
      </c>
      <c r="K67" s="71">
        <v>45395</v>
      </c>
    </row>
    <row r="68" spans="8:11" x14ac:dyDescent="0.3">
      <c r="H68" s="71" t="s">
        <v>76</v>
      </c>
      <c r="I68" s="72">
        <f>VLOOKUP(K68,'Сводная Ввоз'!A:C,2,0)</f>
        <v>0</v>
      </c>
      <c r="J68" s="72"/>
      <c r="K68" s="71">
        <v>45396</v>
      </c>
    </row>
    <row r="69" spans="8:11" x14ac:dyDescent="0.3">
      <c r="H69" s="71" t="s">
        <v>76</v>
      </c>
      <c r="I69" s="72"/>
      <c r="J69" s="72">
        <f>VLOOKUP(K69,A:C,2,0)</f>
        <v>0</v>
      </c>
      <c r="K69" s="71">
        <v>45396</v>
      </c>
    </row>
    <row r="70" spans="8:11" x14ac:dyDescent="0.3">
      <c r="H70" s="71" t="s">
        <v>77</v>
      </c>
      <c r="I70" s="72">
        <f>VLOOKUP(K70,'Сводная Ввоз'!A:C,2,0)</f>
        <v>0</v>
      </c>
      <c r="J70" s="72"/>
      <c r="K70" s="71">
        <v>45397</v>
      </c>
    </row>
    <row r="71" spans="8:11" x14ac:dyDescent="0.3">
      <c r="H71" s="71" t="s">
        <v>77</v>
      </c>
      <c r="I71" s="72"/>
      <c r="J71" s="72">
        <f>VLOOKUP(K71,A:C,2,0)</f>
        <v>0</v>
      </c>
      <c r="K71" s="71">
        <v>45397</v>
      </c>
    </row>
    <row r="72" spans="8:11" x14ac:dyDescent="0.3">
      <c r="H72" s="80" t="s">
        <v>78</v>
      </c>
      <c r="I72" s="72">
        <f>VLOOKUP(K72,'Сводная Ввоз'!A:C,2,0)</f>
        <v>0</v>
      </c>
      <c r="J72" s="72"/>
      <c r="K72" s="29">
        <v>45398</v>
      </c>
    </row>
    <row r="73" spans="8:11" x14ac:dyDescent="0.3">
      <c r="H73" s="80" t="s">
        <v>78</v>
      </c>
      <c r="I73" s="72"/>
      <c r="J73" s="72">
        <f>VLOOKUP(K73,A:C,2,0)</f>
        <v>0</v>
      </c>
      <c r="K73" s="29">
        <v>45398</v>
      </c>
    </row>
    <row r="74" spans="8:11" x14ac:dyDescent="0.3">
      <c r="H74" s="80" t="s">
        <v>79</v>
      </c>
      <c r="I74" s="72">
        <f>VLOOKUP(K74,'Сводная Ввоз'!A:C,2,0)</f>
        <v>0</v>
      </c>
      <c r="J74" s="72"/>
      <c r="K74" s="29">
        <v>45399</v>
      </c>
    </row>
    <row r="75" spans="8:11" x14ac:dyDescent="0.3">
      <c r="H75" s="80" t="s">
        <v>79</v>
      </c>
      <c r="I75" s="72"/>
      <c r="J75" s="72">
        <f>VLOOKUP(K75,A:C,2,0)</f>
        <v>0</v>
      </c>
      <c r="K75" s="29">
        <v>45399</v>
      </c>
    </row>
  </sheetData>
  <phoneticPr fontId="9" type="noConversion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3:D33"/>
  <sheetViews>
    <sheetView workbookViewId="0">
      <selection activeCell="D3" sqref="D3"/>
    </sheetView>
  </sheetViews>
  <sheetFormatPr defaultRowHeight="14.4" x14ac:dyDescent="0.3"/>
  <cols>
    <col min="1" max="1" width="17.33203125" bestFit="1" customWidth="1"/>
    <col min="2" max="2" width="32.44140625" bestFit="1" customWidth="1"/>
  </cols>
  <sheetData>
    <row r="3" spans="1:4" x14ac:dyDescent="0.3">
      <c r="A3" s="34" t="s">
        <v>24</v>
      </c>
      <c r="B3" t="s">
        <v>39</v>
      </c>
      <c r="D3" s="36">
        <f>ROUND(AVERAGE(C:C),0)</f>
        <v>56</v>
      </c>
    </row>
    <row r="4" spans="1:4" x14ac:dyDescent="0.3">
      <c r="A4" s="35">
        <v>45323</v>
      </c>
      <c r="B4">
        <v>56</v>
      </c>
      <c r="C4">
        <v>56</v>
      </c>
    </row>
    <row r="5" spans="1:4" x14ac:dyDescent="0.3">
      <c r="A5" s="35">
        <v>45324</v>
      </c>
      <c r="B5">
        <v>60</v>
      </c>
      <c r="C5">
        <v>60</v>
      </c>
    </row>
    <row r="6" spans="1:4" x14ac:dyDescent="0.3">
      <c r="A6" s="35">
        <v>45325</v>
      </c>
      <c r="B6">
        <v>45</v>
      </c>
      <c r="C6">
        <v>45</v>
      </c>
    </row>
    <row r="7" spans="1:4" x14ac:dyDescent="0.3">
      <c r="A7" s="35">
        <v>45326</v>
      </c>
      <c r="B7">
        <v>46</v>
      </c>
      <c r="C7">
        <v>46</v>
      </c>
    </row>
    <row r="8" spans="1:4" x14ac:dyDescent="0.3">
      <c r="A8" s="35">
        <v>45327</v>
      </c>
      <c r="B8">
        <v>70</v>
      </c>
      <c r="C8">
        <v>70</v>
      </c>
    </row>
    <row r="9" spans="1:4" x14ac:dyDescent="0.3">
      <c r="A9" s="35">
        <v>45328</v>
      </c>
      <c r="B9">
        <v>59</v>
      </c>
      <c r="C9">
        <v>59</v>
      </c>
    </row>
    <row r="10" spans="1:4" x14ac:dyDescent="0.3">
      <c r="A10" s="35">
        <v>45329</v>
      </c>
      <c r="B10">
        <v>64</v>
      </c>
      <c r="C10">
        <v>64</v>
      </c>
    </row>
    <row r="11" spans="1:4" x14ac:dyDescent="0.3">
      <c r="A11" s="35">
        <v>45330</v>
      </c>
      <c r="B11">
        <v>61</v>
      </c>
      <c r="C11">
        <v>61</v>
      </c>
    </row>
    <row r="12" spans="1:4" x14ac:dyDescent="0.3">
      <c r="A12" s="35">
        <v>45331</v>
      </c>
      <c r="B12">
        <v>53</v>
      </c>
      <c r="C12">
        <v>53</v>
      </c>
    </row>
    <row r="13" spans="1:4" x14ac:dyDescent="0.3">
      <c r="A13" s="35">
        <v>45332</v>
      </c>
      <c r="B13">
        <v>45</v>
      </c>
      <c r="C13">
        <v>45</v>
      </c>
    </row>
    <row r="14" spans="1:4" x14ac:dyDescent="0.3">
      <c r="A14" s="35">
        <v>45333</v>
      </c>
      <c r="B14">
        <v>53</v>
      </c>
      <c r="C14">
        <v>53</v>
      </c>
    </row>
    <row r="15" spans="1:4" x14ac:dyDescent="0.3">
      <c r="A15" s="35">
        <v>45334</v>
      </c>
      <c r="B15">
        <v>56</v>
      </c>
      <c r="C15">
        <v>56</v>
      </c>
    </row>
    <row r="16" spans="1:4" x14ac:dyDescent="0.3">
      <c r="A16" s="35">
        <v>45335</v>
      </c>
      <c r="B16">
        <v>61</v>
      </c>
      <c r="C16">
        <v>61</v>
      </c>
    </row>
    <row r="17" spans="1:3" x14ac:dyDescent="0.3">
      <c r="A17" s="35">
        <v>45336</v>
      </c>
      <c r="B17">
        <v>59</v>
      </c>
      <c r="C17">
        <v>59</v>
      </c>
    </row>
    <row r="18" spans="1:3" x14ac:dyDescent="0.3">
      <c r="A18" s="35">
        <v>45337</v>
      </c>
      <c r="B18">
        <v>54</v>
      </c>
      <c r="C18">
        <v>54</v>
      </c>
    </row>
    <row r="19" spans="1:3" x14ac:dyDescent="0.3">
      <c r="A19" s="35">
        <v>45338</v>
      </c>
      <c r="B19">
        <v>58</v>
      </c>
      <c r="C19">
        <v>58</v>
      </c>
    </row>
    <row r="20" spans="1:3" x14ac:dyDescent="0.3">
      <c r="A20" s="35">
        <v>45339</v>
      </c>
      <c r="B20">
        <v>54</v>
      </c>
      <c r="C20">
        <v>54</v>
      </c>
    </row>
    <row r="21" spans="1:3" x14ac:dyDescent="0.3">
      <c r="A21" s="35">
        <v>45340</v>
      </c>
      <c r="B21">
        <v>43</v>
      </c>
      <c r="C21">
        <v>43</v>
      </c>
    </row>
    <row r="22" spans="1:3" x14ac:dyDescent="0.3">
      <c r="A22" s="35">
        <v>45341</v>
      </c>
      <c r="B22">
        <v>62</v>
      </c>
      <c r="C22">
        <v>62</v>
      </c>
    </row>
    <row r="23" spans="1:3" x14ac:dyDescent="0.3">
      <c r="A23" s="35">
        <v>45342</v>
      </c>
      <c r="B23">
        <v>61</v>
      </c>
      <c r="C23">
        <v>61</v>
      </c>
    </row>
    <row r="24" spans="1:3" x14ac:dyDescent="0.3">
      <c r="A24" s="35">
        <v>45343</v>
      </c>
      <c r="B24">
        <v>61</v>
      </c>
      <c r="C24">
        <v>61</v>
      </c>
    </row>
    <row r="25" spans="1:3" x14ac:dyDescent="0.3">
      <c r="A25" s="35">
        <v>45344</v>
      </c>
      <c r="B25">
        <v>57</v>
      </c>
      <c r="C25">
        <v>57</v>
      </c>
    </row>
    <row r="26" spans="1:3" x14ac:dyDescent="0.3">
      <c r="A26" s="35">
        <v>45345</v>
      </c>
      <c r="B26">
        <v>60</v>
      </c>
      <c r="C26">
        <v>60</v>
      </c>
    </row>
    <row r="27" spans="1:3" x14ac:dyDescent="0.3">
      <c r="A27" s="35">
        <v>45346</v>
      </c>
      <c r="B27">
        <v>49</v>
      </c>
      <c r="C27">
        <v>49</v>
      </c>
    </row>
    <row r="28" spans="1:3" x14ac:dyDescent="0.3">
      <c r="A28" s="35">
        <v>45347</v>
      </c>
      <c r="B28">
        <v>55</v>
      </c>
      <c r="C28">
        <v>55</v>
      </c>
    </row>
    <row r="29" spans="1:3" x14ac:dyDescent="0.3">
      <c r="A29" s="35">
        <v>45348</v>
      </c>
      <c r="B29">
        <v>58</v>
      </c>
      <c r="C29">
        <v>58</v>
      </c>
    </row>
    <row r="30" spans="1:3" x14ac:dyDescent="0.3">
      <c r="A30" s="35">
        <v>45349</v>
      </c>
      <c r="B30">
        <v>53</v>
      </c>
      <c r="C30">
        <v>53</v>
      </c>
    </row>
    <row r="31" spans="1:3" x14ac:dyDescent="0.3">
      <c r="A31" s="35">
        <v>45350</v>
      </c>
      <c r="B31">
        <v>64</v>
      </c>
      <c r="C31">
        <v>64</v>
      </c>
    </row>
    <row r="32" spans="1:3" x14ac:dyDescent="0.3">
      <c r="A32" s="35">
        <v>45351</v>
      </c>
      <c r="B32">
        <v>57</v>
      </c>
      <c r="C32">
        <v>57</v>
      </c>
    </row>
    <row r="33" spans="1:2" x14ac:dyDescent="0.3">
      <c r="A33" s="35" t="s">
        <v>25</v>
      </c>
      <c r="B33">
        <v>1634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3:D33"/>
  <sheetViews>
    <sheetView workbookViewId="0">
      <selection activeCell="D3" sqref="D3"/>
    </sheetView>
  </sheetViews>
  <sheetFormatPr defaultRowHeight="14.4" x14ac:dyDescent="0.3"/>
  <cols>
    <col min="1" max="1" width="17.33203125" bestFit="1" customWidth="1"/>
    <col min="2" max="2" width="32.44140625" bestFit="1" customWidth="1"/>
  </cols>
  <sheetData>
    <row r="3" spans="1:4" x14ac:dyDescent="0.3">
      <c r="A3" s="34" t="s">
        <v>24</v>
      </c>
      <c r="B3" t="s">
        <v>39</v>
      </c>
      <c r="D3" s="36">
        <f>ROUND(AVERAGE(C:C),0)</f>
        <v>9</v>
      </c>
    </row>
    <row r="4" spans="1:4" x14ac:dyDescent="0.3">
      <c r="A4" s="35">
        <v>45323</v>
      </c>
      <c r="B4">
        <v>7</v>
      </c>
      <c r="C4">
        <v>7</v>
      </c>
    </row>
    <row r="5" spans="1:4" x14ac:dyDescent="0.3">
      <c r="A5" s="35">
        <v>45324</v>
      </c>
      <c r="B5">
        <v>6</v>
      </c>
      <c r="C5">
        <v>6</v>
      </c>
    </row>
    <row r="6" spans="1:4" x14ac:dyDescent="0.3">
      <c r="A6" s="35">
        <v>45325</v>
      </c>
      <c r="B6">
        <v>10</v>
      </c>
      <c r="C6">
        <v>10</v>
      </c>
    </row>
    <row r="7" spans="1:4" x14ac:dyDescent="0.3">
      <c r="A7" s="35">
        <v>45326</v>
      </c>
      <c r="B7">
        <v>13</v>
      </c>
      <c r="C7">
        <v>13</v>
      </c>
    </row>
    <row r="8" spans="1:4" x14ac:dyDescent="0.3">
      <c r="A8" s="35">
        <v>45327</v>
      </c>
      <c r="B8">
        <v>14</v>
      </c>
      <c r="C8">
        <v>14</v>
      </c>
    </row>
    <row r="9" spans="1:4" x14ac:dyDescent="0.3">
      <c r="A9" s="35">
        <v>45328</v>
      </c>
      <c r="B9">
        <v>10</v>
      </c>
      <c r="C9">
        <v>10</v>
      </c>
    </row>
    <row r="10" spans="1:4" x14ac:dyDescent="0.3">
      <c r="A10" s="35">
        <v>45329</v>
      </c>
      <c r="B10">
        <v>10</v>
      </c>
      <c r="C10">
        <v>10</v>
      </c>
    </row>
    <row r="11" spans="1:4" x14ac:dyDescent="0.3">
      <c r="A11" s="35">
        <v>45330</v>
      </c>
      <c r="B11">
        <v>17</v>
      </c>
      <c r="C11">
        <v>17</v>
      </c>
    </row>
    <row r="12" spans="1:4" x14ac:dyDescent="0.3">
      <c r="A12" s="35">
        <v>45331</v>
      </c>
      <c r="B12">
        <v>9</v>
      </c>
      <c r="C12">
        <v>9</v>
      </c>
    </row>
    <row r="13" spans="1:4" x14ac:dyDescent="0.3">
      <c r="A13" s="35">
        <v>45332</v>
      </c>
      <c r="B13">
        <v>14</v>
      </c>
      <c r="C13">
        <v>14</v>
      </c>
    </row>
    <row r="14" spans="1:4" x14ac:dyDescent="0.3">
      <c r="A14" s="35">
        <v>45333</v>
      </c>
      <c r="B14">
        <v>11</v>
      </c>
      <c r="C14">
        <v>11</v>
      </c>
    </row>
    <row r="15" spans="1:4" x14ac:dyDescent="0.3">
      <c r="A15" s="35">
        <v>45334</v>
      </c>
      <c r="B15">
        <v>12</v>
      </c>
      <c r="C15">
        <v>12</v>
      </c>
    </row>
    <row r="16" spans="1:4" x14ac:dyDescent="0.3">
      <c r="A16" s="35">
        <v>45335</v>
      </c>
      <c r="B16">
        <v>8</v>
      </c>
      <c r="C16">
        <v>8</v>
      </c>
    </row>
    <row r="17" spans="1:3" x14ac:dyDescent="0.3">
      <c r="A17" s="35">
        <v>45336</v>
      </c>
      <c r="B17">
        <v>11</v>
      </c>
      <c r="C17">
        <v>11</v>
      </c>
    </row>
    <row r="18" spans="1:3" x14ac:dyDescent="0.3">
      <c r="A18" s="35">
        <v>45337</v>
      </c>
      <c r="B18">
        <v>2</v>
      </c>
      <c r="C18">
        <v>2</v>
      </c>
    </row>
    <row r="19" spans="1:3" x14ac:dyDescent="0.3">
      <c r="A19" s="35">
        <v>45338</v>
      </c>
      <c r="B19">
        <v>6</v>
      </c>
      <c r="C19">
        <v>6</v>
      </c>
    </row>
    <row r="20" spans="1:3" x14ac:dyDescent="0.3">
      <c r="A20" s="35">
        <v>45339</v>
      </c>
      <c r="B20">
        <v>6</v>
      </c>
      <c r="C20">
        <v>6</v>
      </c>
    </row>
    <row r="21" spans="1:3" x14ac:dyDescent="0.3">
      <c r="A21" s="35">
        <v>45340</v>
      </c>
      <c r="B21">
        <v>7</v>
      </c>
      <c r="C21">
        <v>7</v>
      </c>
    </row>
    <row r="22" spans="1:3" x14ac:dyDescent="0.3">
      <c r="A22" s="35">
        <v>45341</v>
      </c>
      <c r="B22">
        <v>6</v>
      </c>
      <c r="C22">
        <v>6</v>
      </c>
    </row>
    <row r="23" spans="1:3" x14ac:dyDescent="0.3">
      <c r="A23" s="35">
        <v>45342</v>
      </c>
      <c r="B23">
        <v>7</v>
      </c>
      <c r="C23">
        <v>7</v>
      </c>
    </row>
    <row r="24" spans="1:3" x14ac:dyDescent="0.3">
      <c r="A24" s="35">
        <v>45343</v>
      </c>
      <c r="B24">
        <v>9</v>
      </c>
      <c r="C24">
        <v>9</v>
      </c>
    </row>
    <row r="25" spans="1:3" x14ac:dyDescent="0.3">
      <c r="A25" s="35">
        <v>45344</v>
      </c>
      <c r="B25">
        <v>11</v>
      </c>
      <c r="C25">
        <v>11</v>
      </c>
    </row>
    <row r="26" spans="1:3" x14ac:dyDescent="0.3">
      <c r="A26" s="35">
        <v>45345</v>
      </c>
      <c r="B26">
        <v>4</v>
      </c>
      <c r="C26">
        <v>4</v>
      </c>
    </row>
    <row r="27" spans="1:3" x14ac:dyDescent="0.3">
      <c r="A27" s="35">
        <v>45346</v>
      </c>
      <c r="B27">
        <v>5</v>
      </c>
      <c r="C27">
        <v>5</v>
      </c>
    </row>
    <row r="28" spans="1:3" x14ac:dyDescent="0.3">
      <c r="A28" s="35">
        <v>45347</v>
      </c>
      <c r="B28">
        <v>7</v>
      </c>
      <c r="C28">
        <v>7</v>
      </c>
    </row>
    <row r="29" spans="1:3" x14ac:dyDescent="0.3">
      <c r="A29" s="35">
        <v>45348</v>
      </c>
      <c r="B29">
        <v>7</v>
      </c>
      <c r="C29">
        <v>7</v>
      </c>
    </row>
    <row r="30" spans="1:3" x14ac:dyDescent="0.3">
      <c r="A30" s="35">
        <v>45349</v>
      </c>
      <c r="B30">
        <v>8</v>
      </c>
      <c r="C30">
        <v>8</v>
      </c>
    </row>
    <row r="31" spans="1:3" x14ac:dyDescent="0.3">
      <c r="A31" s="35">
        <v>45350</v>
      </c>
      <c r="B31">
        <v>13</v>
      </c>
      <c r="C31">
        <v>13</v>
      </c>
    </row>
    <row r="32" spans="1:3" x14ac:dyDescent="0.3">
      <c r="A32" s="35">
        <v>45351</v>
      </c>
      <c r="B32">
        <v>16</v>
      </c>
      <c r="C32">
        <v>16</v>
      </c>
    </row>
    <row r="33" spans="1:2" x14ac:dyDescent="0.3">
      <c r="A33" s="35" t="s">
        <v>25</v>
      </c>
      <c r="B33">
        <v>266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K281"/>
  <sheetViews>
    <sheetView zoomScale="85" zoomScaleNormal="85" workbookViewId="0"/>
  </sheetViews>
  <sheetFormatPr defaultColWidth="9.109375" defaultRowHeight="14.4" x14ac:dyDescent="0.3"/>
  <cols>
    <col min="1" max="1" width="10.33203125" style="46" bestFit="1" customWidth="1"/>
    <col min="2" max="2" width="8.109375" style="47" bestFit="1" customWidth="1"/>
    <col min="3" max="3" width="8" style="45" bestFit="1" customWidth="1"/>
    <col min="4" max="4" width="27.5546875" style="45" bestFit="1" customWidth="1"/>
    <col min="5" max="5" width="27.33203125" style="45" customWidth="1"/>
    <col min="6" max="6" width="12.5546875" style="45" bestFit="1" customWidth="1"/>
    <col min="7" max="7" width="13.6640625" style="45" bestFit="1" customWidth="1"/>
    <col min="8" max="8" width="15.109375" style="45" bestFit="1" customWidth="1"/>
    <col min="9" max="9" width="11" style="45" bestFit="1" customWidth="1"/>
    <col min="10" max="10" width="11" style="45" customWidth="1"/>
    <col min="11" max="11" width="11" style="45" bestFit="1" customWidth="1"/>
    <col min="12" max="16384" width="9.109375" style="45"/>
  </cols>
  <sheetData>
    <row r="1" spans="1:11" x14ac:dyDescent="0.3">
      <c r="A1" s="48" t="s">
        <v>1</v>
      </c>
      <c r="B1" s="48" t="s">
        <v>20</v>
      </c>
      <c r="C1" s="48" t="s">
        <v>27</v>
      </c>
      <c r="D1" s="48" t="s">
        <v>21</v>
      </c>
      <c r="E1" s="49" t="s">
        <v>48</v>
      </c>
      <c r="F1" s="48" t="s">
        <v>22</v>
      </c>
      <c r="G1" s="50" t="s">
        <v>49</v>
      </c>
      <c r="H1" s="50" t="s">
        <v>29</v>
      </c>
      <c r="I1" s="50" t="s">
        <v>30</v>
      </c>
      <c r="J1" s="54"/>
      <c r="K1" s="50" t="s">
        <v>28</v>
      </c>
    </row>
    <row r="2" spans="1:11" x14ac:dyDescent="0.3">
      <c r="A2" s="51"/>
      <c r="B2" s="52"/>
      <c r="C2" s="53"/>
      <c r="D2" s="53"/>
      <c r="E2" s="53"/>
      <c r="F2" s="53"/>
      <c r="G2" s="53"/>
      <c r="H2" s="53"/>
      <c r="I2" s="53"/>
      <c r="K2" s="53"/>
    </row>
    <row r="3" spans="1:11" x14ac:dyDescent="0.3">
      <c r="A3" s="51"/>
      <c r="B3" s="52"/>
      <c r="C3" s="53"/>
      <c r="D3" s="53"/>
      <c r="E3" s="53"/>
      <c r="F3" s="53"/>
      <c r="G3" s="53"/>
      <c r="H3" s="53"/>
      <c r="I3" s="53"/>
      <c r="K3" s="53"/>
    </row>
    <row r="4" spans="1:11" x14ac:dyDescent="0.3">
      <c r="A4" s="51"/>
      <c r="B4" s="52"/>
      <c r="C4" s="53"/>
      <c r="D4" s="53"/>
      <c r="E4" s="53"/>
      <c r="F4" s="53"/>
      <c r="G4" s="53"/>
      <c r="H4" s="53"/>
      <c r="I4" s="53"/>
      <c r="K4" s="53"/>
    </row>
    <row r="5" spans="1:11" x14ac:dyDescent="0.3">
      <c r="A5" s="51"/>
      <c r="B5" s="52"/>
      <c r="C5" s="53"/>
      <c r="D5" s="53"/>
      <c r="E5" s="53"/>
      <c r="F5" s="53"/>
      <c r="G5" s="53"/>
      <c r="H5" s="53"/>
      <c r="I5" s="53"/>
      <c r="K5" s="53"/>
    </row>
    <row r="6" spans="1:11" x14ac:dyDescent="0.3">
      <c r="A6" s="51"/>
      <c r="B6" s="52"/>
      <c r="C6" s="53"/>
      <c r="D6" s="53"/>
      <c r="E6" s="53"/>
      <c r="F6" s="53"/>
      <c r="G6" s="53"/>
      <c r="H6" s="53"/>
      <c r="I6" s="53"/>
      <c r="K6" s="53"/>
    </row>
    <row r="7" spans="1:11" x14ac:dyDescent="0.3">
      <c r="A7" s="51"/>
      <c r="B7" s="52"/>
      <c r="C7" s="53"/>
      <c r="D7" s="53"/>
      <c r="E7" s="53"/>
      <c r="F7" s="53"/>
      <c r="G7" s="53"/>
      <c r="H7" s="53"/>
      <c r="I7" s="53"/>
      <c r="K7" s="53"/>
    </row>
    <row r="8" spans="1:11" x14ac:dyDescent="0.3">
      <c r="A8" s="51"/>
      <c r="B8" s="52"/>
      <c r="C8" s="53"/>
      <c r="D8" s="53"/>
      <c r="E8" s="53"/>
      <c r="F8" s="53"/>
      <c r="G8" s="53"/>
      <c r="H8" s="53"/>
      <c r="I8" s="53"/>
      <c r="K8" s="53"/>
    </row>
    <row r="9" spans="1:11" x14ac:dyDescent="0.3">
      <c r="A9" s="51"/>
      <c r="B9" s="52"/>
      <c r="C9" s="53"/>
      <c r="D9" s="53"/>
      <c r="E9" s="53"/>
      <c r="F9" s="53"/>
      <c r="G9" s="53"/>
      <c r="H9" s="53"/>
      <c r="I9" s="53"/>
      <c r="K9" s="53"/>
    </row>
    <row r="10" spans="1:11" x14ac:dyDescent="0.3">
      <c r="A10" s="51"/>
      <c r="B10" s="52"/>
      <c r="C10" s="53"/>
      <c r="D10" s="53"/>
      <c r="E10" s="53"/>
      <c r="F10" s="53"/>
      <c r="G10" s="53"/>
      <c r="H10" s="53"/>
      <c r="I10" s="53"/>
      <c r="K10" s="53"/>
    </row>
    <row r="11" spans="1:11" x14ac:dyDescent="0.3">
      <c r="A11" s="51"/>
      <c r="B11" s="52"/>
      <c r="C11" s="53"/>
      <c r="D11" s="53"/>
      <c r="E11" s="53"/>
      <c r="F11" s="53"/>
      <c r="G11" s="53"/>
      <c r="H11" s="53"/>
      <c r="I11" s="53"/>
      <c r="K11" s="53"/>
    </row>
    <row r="12" spans="1:11" x14ac:dyDescent="0.3">
      <c r="A12" s="51"/>
      <c r="B12" s="52"/>
      <c r="C12" s="53"/>
      <c r="D12" s="53"/>
      <c r="E12" s="53"/>
      <c r="F12" s="53"/>
      <c r="G12" s="53"/>
      <c r="H12" s="53"/>
      <c r="I12" s="53"/>
      <c r="K12" s="53"/>
    </row>
    <row r="13" spans="1:11" x14ac:dyDescent="0.3">
      <c r="A13" s="51"/>
      <c r="B13" s="52"/>
      <c r="C13" s="53"/>
      <c r="D13" s="53"/>
      <c r="E13" s="53"/>
      <c r="F13" s="53"/>
      <c r="G13" s="53"/>
      <c r="H13" s="53"/>
      <c r="I13" s="53"/>
      <c r="K13" s="53"/>
    </row>
    <row r="14" spans="1:11" x14ac:dyDescent="0.3">
      <c r="A14" s="51"/>
      <c r="B14" s="52"/>
      <c r="C14" s="53"/>
      <c r="D14" s="53"/>
      <c r="E14" s="53"/>
      <c r="F14" s="53"/>
      <c r="G14" s="53"/>
      <c r="H14" s="53"/>
      <c r="I14" s="53"/>
      <c r="K14" s="53"/>
    </row>
    <row r="15" spans="1:11" x14ac:dyDescent="0.3">
      <c r="A15" s="51"/>
      <c r="B15" s="52"/>
      <c r="C15" s="53"/>
      <c r="D15" s="53"/>
      <c r="E15" s="53"/>
      <c r="F15" s="53"/>
      <c r="G15" s="53"/>
      <c r="H15" s="53"/>
      <c r="I15" s="53"/>
      <c r="K15" s="53"/>
    </row>
    <row r="16" spans="1:11" x14ac:dyDescent="0.3">
      <c r="A16" s="51"/>
      <c r="B16" s="52"/>
      <c r="C16" s="53"/>
      <c r="D16" s="53"/>
      <c r="E16" s="53"/>
      <c r="F16" s="53"/>
      <c r="G16" s="53"/>
      <c r="H16" s="53"/>
      <c r="I16" s="53"/>
      <c r="K16" s="53"/>
    </row>
    <row r="17" spans="1:11" x14ac:dyDescent="0.3">
      <c r="A17" s="51"/>
      <c r="B17" s="52"/>
      <c r="C17" s="53"/>
      <c r="D17" s="53"/>
      <c r="E17" s="53"/>
      <c r="F17" s="53"/>
      <c r="G17" s="53"/>
      <c r="H17" s="53"/>
      <c r="I17" s="53"/>
      <c r="K17" s="53"/>
    </row>
    <row r="18" spans="1:11" x14ac:dyDescent="0.3">
      <c r="A18" s="51"/>
      <c r="B18" s="52"/>
      <c r="C18" s="53"/>
      <c r="D18" s="53"/>
      <c r="E18" s="53"/>
      <c r="F18" s="53"/>
      <c r="G18" s="53"/>
      <c r="H18" s="53"/>
      <c r="I18" s="53"/>
      <c r="K18" s="53"/>
    </row>
    <row r="19" spans="1:11" x14ac:dyDescent="0.3">
      <c r="A19" s="51"/>
      <c r="B19" s="52"/>
      <c r="C19" s="53"/>
      <c r="D19" s="53"/>
      <c r="E19" s="53"/>
      <c r="F19" s="53"/>
      <c r="G19" s="53"/>
      <c r="H19" s="53"/>
      <c r="I19" s="53"/>
      <c r="K19" s="53"/>
    </row>
    <row r="20" spans="1:11" x14ac:dyDescent="0.3">
      <c r="A20" s="51"/>
      <c r="B20" s="52"/>
      <c r="C20" s="53"/>
      <c r="D20" s="53"/>
      <c r="E20" s="53"/>
      <c r="F20" s="53"/>
      <c r="G20" s="53"/>
      <c r="H20" s="53"/>
      <c r="I20" s="53"/>
      <c r="K20" s="53"/>
    </row>
    <row r="21" spans="1:11" x14ac:dyDescent="0.3">
      <c r="A21" s="51"/>
      <c r="B21" s="52"/>
      <c r="C21" s="53"/>
      <c r="D21" s="53"/>
      <c r="E21" s="53"/>
      <c r="F21" s="53"/>
      <c r="G21" s="53"/>
      <c r="H21" s="53"/>
      <c r="I21" s="53"/>
      <c r="K21" s="53"/>
    </row>
    <row r="22" spans="1:11" x14ac:dyDescent="0.3">
      <c r="A22" s="51"/>
      <c r="B22" s="52"/>
      <c r="C22" s="53"/>
      <c r="D22" s="53"/>
      <c r="E22" s="53"/>
      <c r="F22" s="53"/>
      <c r="G22" s="53"/>
      <c r="H22" s="53"/>
      <c r="I22" s="53"/>
      <c r="K22" s="53"/>
    </row>
    <row r="23" spans="1:11" x14ac:dyDescent="0.3">
      <c r="A23" s="51"/>
      <c r="B23" s="52"/>
      <c r="C23" s="53"/>
      <c r="D23" s="53"/>
      <c r="E23" s="53"/>
      <c r="F23" s="53"/>
      <c r="G23" s="53"/>
      <c r="H23" s="53"/>
      <c r="I23" s="53"/>
      <c r="K23" s="53"/>
    </row>
    <row r="24" spans="1:11" x14ac:dyDescent="0.3">
      <c r="A24" s="51"/>
      <c r="B24" s="52"/>
      <c r="C24" s="53"/>
      <c r="D24" s="53"/>
      <c r="E24" s="53"/>
      <c r="F24" s="53"/>
      <c r="G24" s="53"/>
      <c r="H24" s="53"/>
      <c r="I24" s="53"/>
      <c r="K24" s="53"/>
    </row>
    <row r="25" spans="1:11" x14ac:dyDescent="0.3">
      <c r="A25" s="51"/>
      <c r="B25" s="52"/>
      <c r="C25" s="53"/>
      <c r="D25" s="53"/>
      <c r="E25" s="53"/>
      <c r="F25" s="53"/>
      <c r="G25" s="53"/>
      <c r="H25" s="53"/>
      <c r="I25" s="53"/>
      <c r="K25" s="53"/>
    </row>
    <row r="26" spans="1:11" x14ac:dyDescent="0.3">
      <c r="A26" s="51"/>
      <c r="B26" s="52"/>
      <c r="C26" s="53"/>
      <c r="D26" s="53"/>
      <c r="E26" s="53"/>
      <c r="F26" s="53"/>
      <c r="G26" s="53"/>
      <c r="H26" s="53"/>
      <c r="I26" s="53"/>
      <c r="K26" s="53"/>
    </row>
    <row r="27" spans="1:11" x14ac:dyDescent="0.3">
      <c r="A27" s="51"/>
      <c r="B27" s="52"/>
      <c r="C27" s="53"/>
      <c r="D27" s="53"/>
      <c r="E27" s="53"/>
      <c r="F27" s="53"/>
      <c r="G27" s="53"/>
      <c r="H27" s="53"/>
      <c r="I27" s="53"/>
      <c r="K27" s="53"/>
    </row>
    <row r="28" spans="1:11" x14ac:dyDescent="0.3">
      <c r="A28" s="51"/>
      <c r="B28" s="52"/>
      <c r="C28" s="53"/>
      <c r="D28" s="53"/>
      <c r="E28" s="53"/>
      <c r="F28" s="53"/>
      <c r="G28" s="53"/>
      <c r="H28" s="53"/>
      <c r="I28" s="53"/>
      <c r="K28" s="53"/>
    </row>
    <row r="29" spans="1:11" x14ac:dyDescent="0.3">
      <c r="A29" s="51"/>
      <c r="B29" s="52"/>
      <c r="C29" s="53"/>
      <c r="D29" s="53"/>
      <c r="E29" s="53"/>
      <c r="F29" s="53"/>
      <c r="G29" s="53"/>
      <c r="H29" s="53"/>
      <c r="I29" s="53"/>
      <c r="K29" s="53"/>
    </row>
    <row r="30" spans="1:11" x14ac:dyDescent="0.3">
      <c r="A30" s="51"/>
      <c r="B30" s="52"/>
      <c r="C30" s="53"/>
      <c r="D30" s="53"/>
      <c r="E30" s="53"/>
      <c r="F30" s="53"/>
      <c r="G30" s="53"/>
      <c r="H30" s="53"/>
      <c r="I30" s="53"/>
      <c r="K30" s="53"/>
    </row>
    <row r="31" spans="1:11" x14ac:dyDescent="0.3">
      <c r="A31" s="51"/>
      <c r="B31" s="52"/>
      <c r="C31" s="53"/>
      <c r="D31" s="53"/>
      <c r="E31" s="53"/>
      <c r="F31" s="53"/>
      <c r="G31" s="53"/>
      <c r="H31" s="53"/>
      <c r="I31" s="53"/>
      <c r="K31" s="53"/>
    </row>
    <row r="32" spans="1:11" x14ac:dyDescent="0.3">
      <c r="A32" s="51"/>
      <c r="B32" s="52"/>
      <c r="C32" s="53"/>
      <c r="D32" s="53"/>
      <c r="E32" s="53"/>
      <c r="F32" s="53"/>
      <c r="G32" s="53"/>
      <c r="H32" s="53"/>
      <c r="I32" s="53"/>
      <c r="K32" s="53"/>
    </row>
    <row r="33" spans="1:11" x14ac:dyDescent="0.3">
      <c r="A33" s="51"/>
      <c r="B33" s="52"/>
      <c r="C33" s="53"/>
      <c r="D33" s="53"/>
      <c r="E33" s="53"/>
      <c r="F33" s="53"/>
      <c r="G33" s="53"/>
      <c r="H33" s="53"/>
      <c r="I33" s="53"/>
      <c r="K33" s="53"/>
    </row>
    <row r="34" spans="1:11" x14ac:dyDescent="0.3">
      <c r="A34" s="51"/>
      <c r="B34" s="52"/>
      <c r="C34" s="53"/>
      <c r="D34" s="53"/>
      <c r="E34" s="53"/>
      <c r="F34" s="53"/>
      <c r="G34" s="53"/>
      <c r="H34" s="53"/>
      <c r="I34" s="53"/>
      <c r="K34" s="53"/>
    </row>
    <row r="35" spans="1:11" x14ac:dyDescent="0.3">
      <c r="A35" s="51"/>
      <c r="B35" s="52"/>
      <c r="C35" s="53"/>
      <c r="D35" s="53"/>
      <c r="E35" s="53"/>
      <c r="F35" s="53"/>
      <c r="G35" s="53"/>
      <c r="H35" s="53"/>
      <c r="I35" s="53"/>
      <c r="K35" s="53"/>
    </row>
    <row r="36" spans="1:11" x14ac:dyDescent="0.3">
      <c r="A36" s="51"/>
      <c r="B36" s="52"/>
      <c r="C36" s="53"/>
      <c r="D36" s="53"/>
      <c r="E36" s="53"/>
      <c r="F36" s="53"/>
      <c r="G36" s="53"/>
      <c r="H36" s="53"/>
      <c r="I36" s="53"/>
      <c r="K36" s="53"/>
    </row>
    <row r="37" spans="1:11" x14ac:dyDescent="0.3">
      <c r="A37" s="51"/>
      <c r="B37" s="52"/>
      <c r="C37" s="53"/>
      <c r="D37" s="53"/>
      <c r="E37" s="53"/>
      <c r="F37" s="53"/>
      <c r="G37" s="53"/>
      <c r="H37" s="53"/>
      <c r="I37" s="53"/>
      <c r="K37" s="53"/>
    </row>
    <row r="38" spans="1:11" x14ac:dyDescent="0.3">
      <c r="A38" s="51"/>
      <c r="B38" s="52"/>
      <c r="C38" s="53"/>
      <c r="D38" s="53"/>
      <c r="E38" s="53"/>
      <c r="F38" s="53"/>
      <c r="G38" s="53"/>
      <c r="H38" s="53"/>
      <c r="I38" s="53"/>
      <c r="K38" s="53"/>
    </row>
    <row r="39" spans="1:11" x14ac:dyDescent="0.3">
      <c r="A39" s="51"/>
      <c r="B39" s="52"/>
      <c r="C39" s="53"/>
      <c r="D39" s="53"/>
      <c r="E39" s="53"/>
      <c r="F39" s="53"/>
      <c r="G39" s="53"/>
      <c r="H39" s="53"/>
      <c r="I39" s="53"/>
      <c r="K39" s="53"/>
    </row>
    <row r="40" spans="1:11" x14ac:dyDescent="0.3">
      <c r="A40" s="51"/>
      <c r="B40" s="52"/>
      <c r="C40" s="53"/>
      <c r="D40" s="53"/>
      <c r="E40" s="53"/>
      <c r="F40" s="53"/>
      <c r="G40" s="53"/>
      <c r="H40" s="53"/>
      <c r="I40" s="53"/>
      <c r="K40" s="53"/>
    </row>
    <row r="41" spans="1:11" x14ac:dyDescent="0.3">
      <c r="A41" s="51"/>
      <c r="B41" s="52"/>
      <c r="C41" s="53"/>
      <c r="D41" s="53"/>
      <c r="E41" s="53"/>
      <c r="F41" s="53"/>
      <c r="G41" s="53"/>
      <c r="H41" s="53"/>
      <c r="I41" s="53"/>
      <c r="K41" s="53"/>
    </row>
    <row r="42" spans="1:11" x14ac:dyDescent="0.3">
      <c r="A42" s="51"/>
      <c r="B42" s="52"/>
      <c r="C42" s="53"/>
      <c r="D42" s="53"/>
      <c r="E42" s="53"/>
      <c r="F42" s="53"/>
      <c r="G42" s="53"/>
      <c r="H42" s="53"/>
      <c r="I42" s="53"/>
      <c r="K42" s="53"/>
    </row>
    <row r="43" spans="1:11" x14ac:dyDescent="0.3">
      <c r="A43" s="51"/>
      <c r="B43" s="52"/>
      <c r="C43" s="53"/>
      <c r="D43" s="53"/>
      <c r="E43" s="53"/>
      <c r="F43" s="53"/>
      <c r="G43" s="53"/>
      <c r="H43" s="53"/>
      <c r="I43" s="53"/>
      <c r="K43" s="53"/>
    </row>
    <row r="44" spans="1:11" x14ac:dyDescent="0.3">
      <c r="A44" s="51"/>
      <c r="B44" s="52"/>
      <c r="C44" s="53"/>
      <c r="D44" s="53"/>
      <c r="E44" s="53"/>
      <c r="F44" s="53"/>
      <c r="G44" s="53"/>
      <c r="H44" s="53"/>
      <c r="I44" s="53"/>
      <c r="K44" s="53"/>
    </row>
    <row r="45" spans="1:11" x14ac:dyDescent="0.3">
      <c r="A45" s="51"/>
      <c r="B45" s="52"/>
      <c r="C45" s="53"/>
      <c r="D45" s="53"/>
      <c r="E45" s="53"/>
      <c r="F45" s="53"/>
      <c r="G45" s="53"/>
      <c r="H45" s="53"/>
      <c r="I45" s="53"/>
      <c r="K45" s="53"/>
    </row>
    <row r="46" spans="1:11" x14ac:dyDescent="0.3">
      <c r="A46" s="51"/>
      <c r="B46" s="52"/>
      <c r="C46" s="53"/>
      <c r="D46" s="53"/>
      <c r="E46" s="53"/>
      <c r="F46" s="53"/>
      <c r="G46" s="53"/>
      <c r="H46" s="53"/>
      <c r="I46" s="53"/>
      <c r="K46" s="53"/>
    </row>
    <row r="47" spans="1:11" x14ac:dyDescent="0.3">
      <c r="A47" s="51"/>
      <c r="B47" s="52"/>
      <c r="C47" s="53"/>
      <c r="D47" s="53"/>
      <c r="E47" s="53"/>
      <c r="F47" s="53"/>
      <c r="G47" s="53"/>
      <c r="H47" s="53"/>
      <c r="I47" s="53"/>
      <c r="K47" s="53"/>
    </row>
    <row r="48" spans="1:11" x14ac:dyDescent="0.3">
      <c r="A48" s="51"/>
      <c r="B48" s="52"/>
      <c r="C48" s="53"/>
      <c r="D48" s="53"/>
      <c r="E48" s="53"/>
      <c r="F48" s="53"/>
      <c r="G48" s="53"/>
      <c r="H48" s="53"/>
      <c r="I48" s="53"/>
      <c r="K48" s="53"/>
    </row>
    <row r="49" spans="1:11" x14ac:dyDescent="0.3">
      <c r="A49" s="51"/>
      <c r="B49" s="52"/>
      <c r="C49" s="53"/>
      <c r="D49" s="53"/>
      <c r="E49" s="53"/>
      <c r="F49" s="53"/>
      <c r="G49" s="53"/>
      <c r="H49" s="53"/>
      <c r="I49" s="53"/>
      <c r="K49" s="53"/>
    </row>
    <row r="50" spans="1:11" x14ac:dyDescent="0.3">
      <c r="A50" s="51"/>
      <c r="B50" s="52"/>
      <c r="C50" s="53"/>
      <c r="D50" s="53"/>
      <c r="E50" s="53"/>
      <c r="F50" s="53"/>
      <c r="G50" s="53"/>
      <c r="H50" s="53"/>
      <c r="I50" s="53"/>
      <c r="K50" s="53"/>
    </row>
    <row r="51" spans="1:11" x14ac:dyDescent="0.3">
      <c r="A51" s="51"/>
      <c r="B51" s="52"/>
      <c r="C51" s="53"/>
      <c r="D51" s="53"/>
      <c r="E51" s="53"/>
      <c r="F51" s="53"/>
      <c r="G51" s="53"/>
      <c r="H51" s="53"/>
      <c r="I51" s="53"/>
      <c r="K51" s="53"/>
    </row>
    <row r="52" spans="1:11" x14ac:dyDescent="0.3">
      <c r="A52" s="51"/>
      <c r="B52" s="52"/>
      <c r="C52" s="53"/>
      <c r="D52" s="53"/>
      <c r="E52" s="53"/>
      <c r="F52" s="53"/>
      <c r="G52" s="53"/>
      <c r="H52" s="53"/>
      <c r="I52" s="53"/>
      <c r="K52" s="53"/>
    </row>
    <row r="53" spans="1:11" x14ac:dyDescent="0.3">
      <c r="A53" s="51"/>
      <c r="B53" s="52"/>
      <c r="C53" s="53"/>
      <c r="D53" s="53"/>
      <c r="E53" s="53"/>
      <c r="F53" s="53"/>
      <c r="G53" s="53"/>
      <c r="H53" s="53"/>
      <c r="I53" s="53"/>
      <c r="K53" s="53"/>
    </row>
    <row r="54" spans="1:11" x14ac:dyDescent="0.3">
      <c r="A54" s="51"/>
      <c r="B54" s="52"/>
      <c r="C54" s="53"/>
      <c r="D54" s="53"/>
      <c r="E54" s="53"/>
      <c r="F54" s="53"/>
      <c r="G54" s="53"/>
      <c r="H54" s="53"/>
      <c r="I54" s="53"/>
      <c r="K54" s="53"/>
    </row>
    <row r="55" spans="1:11" x14ac:dyDescent="0.3">
      <c r="A55" s="51"/>
      <c r="B55" s="52"/>
      <c r="C55" s="53"/>
      <c r="D55" s="53"/>
      <c r="E55" s="53"/>
      <c r="F55" s="53"/>
      <c r="G55" s="53"/>
      <c r="H55" s="53"/>
      <c r="I55" s="53"/>
      <c r="K55" s="53"/>
    </row>
    <row r="56" spans="1:11" x14ac:dyDescent="0.3">
      <c r="A56" s="51"/>
      <c r="B56" s="52"/>
      <c r="C56" s="53"/>
      <c r="D56" s="53"/>
      <c r="E56" s="53"/>
      <c r="F56" s="53"/>
      <c r="G56" s="53"/>
      <c r="H56" s="53"/>
      <c r="I56" s="53"/>
      <c r="K56" s="53"/>
    </row>
    <row r="57" spans="1:11" x14ac:dyDescent="0.3">
      <c r="A57" s="51"/>
      <c r="B57" s="52"/>
      <c r="C57" s="53"/>
      <c r="D57" s="53"/>
      <c r="E57" s="53"/>
      <c r="F57" s="53"/>
      <c r="G57" s="53"/>
      <c r="H57" s="53"/>
      <c r="I57" s="53"/>
      <c r="K57" s="53"/>
    </row>
    <row r="58" spans="1:11" x14ac:dyDescent="0.3">
      <c r="A58" s="51"/>
      <c r="B58" s="52"/>
      <c r="C58" s="53"/>
      <c r="D58" s="53"/>
      <c r="E58" s="53"/>
      <c r="F58" s="53"/>
      <c r="G58" s="53"/>
      <c r="H58" s="53"/>
      <c r="I58" s="53"/>
      <c r="K58" s="53"/>
    </row>
    <row r="59" spans="1:11" x14ac:dyDescent="0.3">
      <c r="A59" s="51"/>
      <c r="B59" s="52"/>
      <c r="C59" s="53"/>
      <c r="D59" s="53"/>
      <c r="E59" s="53"/>
      <c r="F59" s="53"/>
      <c r="G59" s="53"/>
      <c r="H59" s="53"/>
      <c r="I59" s="53"/>
      <c r="K59" s="53"/>
    </row>
    <row r="60" spans="1:11" x14ac:dyDescent="0.3">
      <c r="A60" s="51"/>
      <c r="B60" s="52"/>
      <c r="C60" s="53"/>
      <c r="D60" s="53"/>
      <c r="E60" s="53"/>
      <c r="F60" s="53"/>
      <c r="G60" s="53"/>
      <c r="H60" s="53"/>
      <c r="I60" s="53"/>
      <c r="K60" s="53"/>
    </row>
    <row r="61" spans="1:11" x14ac:dyDescent="0.3">
      <c r="A61" s="51"/>
      <c r="B61" s="52"/>
      <c r="C61" s="53"/>
      <c r="D61" s="53"/>
      <c r="E61" s="53"/>
      <c r="F61" s="53"/>
      <c r="G61" s="53"/>
      <c r="H61" s="53"/>
      <c r="I61" s="53"/>
      <c r="K61" s="53"/>
    </row>
    <row r="62" spans="1:11" x14ac:dyDescent="0.3">
      <c r="A62" s="51"/>
      <c r="B62" s="52"/>
      <c r="C62" s="53"/>
      <c r="D62" s="53"/>
      <c r="E62" s="53"/>
      <c r="F62" s="53"/>
      <c r="G62" s="53"/>
      <c r="H62" s="53"/>
      <c r="I62" s="53"/>
      <c r="K62" s="53"/>
    </row>
    <row r="63" spans="1:11" x14ac:dyDescent="0.3">
      <c r="A63" s="51"/>
      <c r="B63" s="52"/>
      <c r="C63" s="53"/>
      <c r="D63" s="53"/>
      <c r="E63" s="53"/>
      <c r="F63" s="53"/>
      <c r="G63" s="53"/>
      <c r="H63" s="53"/>
      <c r="I63" s="53"/>
      <c r="K63" s="53"/>
    </row>
    <row r="64" spans="1:11" x14ac:dyDescent="0.3">
      <c r="A64" s="51"/>
      <c r="B64" s="52"/>
      <c r="C64" s="53"/>
      <c r="D64" s="53"/>
      <c r="E64" s="53"/>
      <c r="F64" s="53"/>
      <c r="G64" s="53"/>
      <c r="H64" s="53"/>
      <c r="I64" s="53"/>
      <c r="K64" s="53"/>
    </row>
    <row r="65" spans="1:11" x14ac:dyDescent="0.3">
      <c r="A65" s="51"/>
      <c r="B65" s="52"/>
      <c r="C65" s="53"/>
      <c r="D65" s="53"/>
      <c r="E65" s="53"/>
      <c r="F65" s="53"/>
      <c r="G65" s="53"/>
      <c r="H65" s="53"/>
      <c r="I65" s="53"/>
      <c r="K65" s="53"/>
    </row>
    <row r="66" spans="1:11" x14ac:dyDescent="0.3">
      <c r="A66" s="51"/>
      <c r="B66" s="52"/>
      <c r="C66" s="53"/>
      <c r="D66" s="53"/>
      <c r="E66" s="53"/>
      <c r="F66" s="53"/>
      <c r="G66" s="53"/>
      <c r="H66" s="53"/>
      <c r="I66" s="53"/>
      <c r="K66" s="53"/>
    </row>
    <row r="67" spans="1:11" x14ac:dyDescent="0.3">
      <c r="A67" s="51"/>
      <c r="B67" s="52"/>
      <c r="C67" s="53"/>
      <c r="D67" s="53"/>
      <c r="E67" s="53"/>
      <c r="F67" s="53"/>
      <c r="G67" s="53"/>
      <c r="H67" s="53"/>
      <c r="I67" s="53"/>
      <c r="K67" s="53"/>
    </row>
    <row r="68" spans="1:11" x14ac:dyDescent="0.3">
      <c r="A68" s="51"/>
      <c r="B68" s="52"/>
      <c r="C68" s="53"/>
      <c r="D68" s="53"/>
      <c r="E68" s="53"/>
      <c r="F68" s="53"/>
      <c r="G68" s="53"/>
      <c r="H68" s="53"/>
      <c r="I68" s="53"/>
      <c r="K68" s="53"/>
    </row>
    <row r="69" spans="1:11" x14ac:dyDescent="0.3">
      <c r="A69" s="51"/>
      <c r="B69" s="52"/>
      <c r="C69" s="53"/>
      <c r="D69" s="53"/>
      <c r="E69" s="53"/>
      <c r="F69" s="53"/>
      <c r="G69" s="53"/>
      <c r="H69" s="53"/>
      <c r="I69" s="53"/>
      <c r="K69" s="53"/>
    </row>
    <row r="70" spans="1:11" x14ac:dyDescent="0.3">
      <c r="A70" s="51"/>
      <c r="B70" s="52"/>
      <c r="C70" s="53"/>
      <c r="D70" s="53"/>
      <c r="E70" s="53"/>
      <c r="F70" s="53"/>
      <c r="G70" s="53"/>
      <c r="H70" s="53"/>
      <c r="I70" s="53"/>
      <c r="K70" s="53"/>
    </row>
    <row r="71" spans="1:11" x14ac:dyDescent="0.3">
      <c r="A71" s="51"/>
      <c r="B71" s="52"/>
      <c r="C71" s="53"/>
      <c r="D71" s="53"/>
      <c r="E71" s="53"/>
      <c r="F71" s="53"/>
      <c r="G71" s="53"/>
      <c r="H71" s="53"/>
      <c r="I71" s="53"/>
      <c r="K71" s="53"/>
    </row>
    <row r="72" spans="1:11" x14ac:dyDescent="0.3">
      <c r="A72" s="51"/>
      <c r="B72" s="52"/>
      <c r="C72" s="53"/>
      <c r="D72" s="53"/>
      <c r="E72" s="53"/>
      <c r="F72" s="53"/>
      <c r="G72" s="53"/>
      <c r="H72" s="53"/>
      <c r="I72" s="53"/>
      <c r="K72" s="53"/>
    </row>
    <row r="73" spans="1:11" x14ac:dyDescent="0.3">
      <c r="A73" s="51"/>
      <c r="B73" s="52"/>
      <c r="C73" s="53"/>
      <c r="D73" s="53"/>
      <c r="E73" s="53"/>
      <c r="F73" s="53"/>
      <c r="G73" s="53"/>
      <c r="H73" s="53"/>
      <c r="I73" s="53"/>
      <c r="K73" s="53"/>
    </row>
    <row r="74" spans="1:11" x14ac:dyDescent="0.3">
      <c r="A74" s="51"/>
      <c r="B74" s="52"/>
      <c r="C74" s="53"/>
      <c r="D74" s="53"/>
      <c r="E74" s="53"/>
      <c r="F74" s="53"/>
      <c r="G74" s="53"/>
      <c r="H74" s="53"/>
      <c r="I74" s="53"/>
      <c r="K74" s="53"/>
    </row>
    <row r="75" spans="1:11" x14ac:dyDescent="0.3">
      <c r="A75" s="51"/>
      <c r="B75" s="52"/>
      <c r="C75" s="53"/>
      <c r="D75" s="53"/>
      <c r="E75" s="53"/>
      <c r="F75" s="53"/>
      <c r="G75" s="53"/>
      <c r="H75" s="53"/>
      <c r="I75" s="53"/>
      <c r="K75" s="53"/>
    </row>
    <row r="76" spans="1:11" x14ac:dyDescent="0.3">
      <c r="A76" s="51"/>
      <c r="B76" s="52"/>
      <c r="C76" s="53"/>
      <c r="D76" s="53"/>
      <c r="E76" s="53"/>
      <c r="F76" s="53"/>
      <c r="G76" s="53"/>
      <c r="H76" s="53"/>
      <c r="I76" s="53"/>
      <c r="K76" s="53"/>
    </row>
    <row r="77" spans="1:11" x14ac:dyDescent="0.3">
      <c r="A77" s="51"/>
      <c r="B77" s="52"/>
      <c r="C77" s="53"/>
      <c r="D77" s="53"/>
      <c r="E77" s="53"/>
      <c r="F77" s="53"/>
      <c r="G77" s="53"/>
      <c r="H77" s="53"/>
      <c r="I77" s="53"/>
      <c r="K77" s="53"/>
    </row>
    <row r="78" spans="1:11" x14ac:dyDescent="0.3">
      <c r="A78" s="51"/>
      <c r="B78" s="52"/>
      <c r="C78" s="53"/>
      <c r="D78" s="53"/>
      <c r="E78" s="53"/>
      <c r="F78" s="53"/>
      <c r="G78" s="53"/>
      <c r="H78" s="53"/>
      <c r="I78" s="53"/>
      <c r="K78" s="53"/>
    </row>
    <row r="79" spans="1:11" x14ac:dyDescent="0.3">
      <c r="A79" s="51"/>
      <c r="B79" s="52"/>
      <c r="C79" s="53"/>
      <c r="D79" s="53"/>
      <c r="E79" s="53"/>
      <c r="F79" s="53"/>
      <c r="G79" s="53"/>
      <c r="H79" s="53"/>
      <c r="I79" s="53"/>
      <c r="K79" s="53"/>
    </row>
    <row r="80" spans="1:11" x14ac:dyDescent="0.3">
      <c r="A80" s="51"/>
      <c r="B80" s="52"/>
      <c r="C80" s="53"/>
      <c r="D80" s="53"/>
      <c r="E80" s="53"/>
      <c r="F80" s="53"/>
      <c r="G80" s="53"/>
      <c r="H80" s="53"/>
      <c r="I80" s="53"/>
      <c r="K80" s="53"/>
    </row>
    <row r="81" spans="1:11" x14ac:dyDescent="0.3">
      <c r="A81" s="51"/>
      <c r="B81" s="52"/>
      <c r="C81" s="53"/>
      <c r="D81" s="53"/>
      <c r="E81" s="53"/>
      <c r="F81" s="53"/>
      <c r="G81" s="53"/>
      <c r="H81" s="53"/>
      <c r="I81" s="53"/>
      <c r="K81" s="53"/>
    </row>
    <row r="82" spans="1:11" x14ac:dyDescent="0.3">
      <c r="A82" s="51"/>
      <c r="B82" s="52"/>
      <c r="C82" s="53"/>
      <c r="D82" s="53"/>
      <c r="E82" s="53"/>
      <c r="F82" s="53"/>
      <c r="G82" s="53"/>
      <c r="H82" s="53"/>
      <c r="I82" s="53"/>
      <c r="K82" s="53"/>
    </row>
    <row r="83" spans="1:11" x14ac:dyDescent="0.3">
      <c r="A83" s="51"/>
      <c r="B83" s="52"/>
      <c r="C83" s="53"/>
      <c r="D83" s="53"/>
      <c r="E83" s="53"/>
      <c r="F83" s="53"/>
      <c r="G83" s="53"/>
      <c r="H83" s="53"/>
      <c r="I83" s="53"/>
      <c r="K83" s="53"/>
    </row>
    <row r="84" spans="1:11" x14ac:dyDescent="0.3">
      <c r="A84" s="51"/>
      <c r="B84" s="52"/>
      <c r="C84" s="53"/>
      <c r="D84" s="53"/>
      <c r="E84" s="53"/>
      <c r="F84" s="53"/>
      <c r="G84" s="53"/>
      <c r="H84" s="53"/>
      <c r="I84" s="53"/>
      <c r="K84" s="53"/>
    </row>
    <row r="85" spans="1:11" x14ac:dyDescent="0.3">
      <c r="A85" s="51"/>
      <c r="B85" s="52"/>
      <c r="C85" s="53"/>
      <c r="D85" s="53"/>
      <c r="E85" s="53"/>
      <c r="F85" s="53"/>
      <c r="G85" s="53"/>
      <c r="H85" s="53"/>
      <c r="I85" s="53"/>
      <c r="K85" s="53"/>
    </row>
    <row r="86" spans="1:11" x14ac:dyDescent="0.3">
      <c r="A86" s="51"/>
      <c r="B86" s="52"/>
      <c r="C86" s="53"/>
      <c r="D86" s="53"/>
      <c r="E86" s="53"/>
      <c r="F86" s="53"/>
      <c r="G86" s="53"/>
      <c r="H86" s="53"/>
      <c r="I86" s="53"/>
      <c r="K86" s="53"/>
    </row>
    <row r="87" spans="1:11" x14ac:dyDescent="0.3">
      <c r="A87" s="51"/>
      <c r="B87" s="52"/>
      <c r="C87" s="53"/>
      <c r="D87" s="53"/>
      <c r="E87" s="53"/>
      <c r="F87" s="53"/>
      <c r="G87" s="53"/>
      <c r="H87" s="53"/>
      <c r="I87" s="53"/>
      <c r="K87" s="53"/>
    </row>
    <row r="88" spans="1:11" x14ac:dyDescent="0.3">
      <c r="A88" s="51"/>
      <c r="B88" s="52"/>
      <c r="C88" s="53"/>
      <c r="D88" s="53"/>
      <c r="E88" s="53"/>
      <c r="F88" s="53"/>
      <c r="G88" s="53"/>
      <c r="H88" s="53"/>
      <c r="I88" s="53"/>
      <c r="K88" s="53"/>
    </row>
    <row r="89" spans="1:11" x14ac:dyDescent="0.3">
      <c r="A89" s="51"/>
      <c r="B89" s="52"/>
      <c r="C89" s="53"/>
      <c r="D89" s="53"/>
      <c r="E89" s="53"/>
      <c r="F89" s="53"/>
      <c r="G89" s="53"/>
      <c r="H89" s="53"/>
      <c r="I89" s="53"/>
      <c r="K89" s="53"/>
    </row>
    <row r="90" spans="1:11" x14ac:dyDescent="0.3">
      <c r="A90" s="51"/>
      <c r="B90" s="52"/>
      <c r="C90" s="53"/>
      <c r="D90" s="53"/>
      <c r="E90" s="53"/>
      <c r="F90" s="53"/>
      <c r="G90" s="53"/>
      <c r="H90" s="53"/>
      <c r="I90" s="53"/>
      <c r="K90" s="53"/>
    </row>
    <row r="91" spans="1:11" x14ac:dyDescent="0.3">
      <c r="A91" s="51"/>
      <c r="B91" s="52"/>
      <c r="C91" s="53"/>
      <c r="D91" s="53"/>
      <c r="E91" s="53"/>
      <c r="F91" s="53"/>
      <c r="G91" s="53"/>
      <c r="H91" s="53"/>
      <c r="I91" s="53"/>
      <c r="K91" s="53"/>
    </row>
    <row r="92" spans="1:11" x14ac:dyDescent="0.3">
      <c r="A92" s="51"/>
      <c r="B92" s="52"/>
      <c r="C92" s="53"/>
      <c r="D92" s="53"/>
      <c r="E92" s="53"/>
      <c r="F92" s="53"/>
      <c r="G92" s="53"/>
      <c r="H92" s="53"/>
      <c r="I92" s="53"/>
      <c r="K92" s="53"/>
    </row>
    <row r="93" spans="1:11" x14ac:dyDescent="0.3">
      <c r="A93" s="51"/>
      <c r="B93" s="52"/>
      <c r="C93" s="53"/>
      <c r="D93" s="53"/>
      <c r="E93" s="53"/>
      <c r="F93" s="53"/>
      <c r="G93" s="53"/>
      <c r="H93" s="53"/>
      <c r="I93" s="53"/>
      <c r="K93" s="53"/>
    </row>
    <row r="94" spans="1:11" x14ac:dyDescent="0.3">
      <c r="A94" s="51"/>
      <c r="B94" s="52"/>
      <c r="C94" s="53"/>
      <c r="D94" s="53"/>
      <c r="E94" s="53"/>
      <c r="F94" s="53"/>
      <c r="G94" s="53"/>
      <c r="H94" s="53"/>
      <c r="I94" s="53"/>
      <c r="K94" s="53"/>
    </row>
    <row r="95" spans="1:11" x14ac:dyDescent="0.3">
      <c r="A95" s="51"/>
      <c r="B95" s="52"/>
      <c r="C95" s="53"/>
      <c r="D95" s="53"/>
      <c r="E95" s="53"/>
      <c r="F95" s="53"/>
      <c r="G95" s="53"/>
      <c r="H95" s="53"/>
      <c r="I95" s="53"/>
      <c r="K95" s="53"/>
    </row>
    <row r="96" spans="1:11" x14ac:dyDescent="0.3">
      <c r="A96" s="51"/>
      <c r="B96" s="52"/>
      <c r="C96" s="53"/>
      <c r="D96" s="53"/>
      <c r="E96" s="53"/>
      <c r="F96" s="53"/>
      <c r="G96" s="53"/>
      <c r="H96" s="53"/>
      <c r="I96" s="53"/>
      <c r="K96" s="53"/>
    </row>
    <row r="97" spans="1:11" x14ac:dyDescent="0.3">
      <c r="A97" s="51"/>
      <c r="B97" s="52"/>
      <c r="C97" s="53"/>
      <c r="D97" s="53"/>
      <c r="E97" s="53"/>
      <c r="F97" s="53"/>
      <c r="G97" s="53"/>
      <c r="H97" s="53"/>
      <c r="I97" s="53"/>
      <c r="K97" s="53"/>
    </row>
    <row r="98" spans="1:11" x14ac:dyDescent="0.3">
      <c r="A98" s="51"/>
      <c r="B98" s="52"/>
      <c r="C98" s="53"/>
      <c r="D98" s="53"/>
      <c r="E98" s="53"/>
      <c r="F98" s="53"/>
      <c r="G98" s="53"/>
      <c r="H98" s="53"/>
      <c r="I98" s="53"/>
      <c r="K98" s="53"/>
    </row>
    <row r="99" spans="1:11" x14ac:dyDescent="0.3">
      <c r="A99" s="51"/>
      <c r="B99" s="52"/>
      <c r="C99" s="53"/>
      <c r="D99" s="53"/>
      <c r="E99" s="53"/>
      <c r="F99" s="53"/>
      <c r="G99" s="53"/>
      <c r="H99" s="53"/>
      <c r="I99" s="53"/>
      <c r="K99" s="53"/>
    </row>
    <row r="100" spans="1:11" x14ac:dyDescent="0.3">
      <c r="A100" s="51"/>
      <c r="B100" s="52"/>
      <c r="C100" s="53"/>
      <c r="D100" s="53"/>
      <c r="E100" s="53"/>
      <c r="F100" s="53"/>
      <c r="G100" s="53"/>
      <c r="H100" s="53"/>
      <c r="I100" s="53"/>
      <c r="K100" s="53"/>
    </row>
    <row r="101" spans="1:11" x14ac:dyDescent="0.3">
      <c r="A101" s="51"/>
      <c r="B101" s="52"/>
      <c r="C101" s="53"/>
      <c r="D101" s="53"/>
      <c r="E101" s="53"/>
      <c r="F101" s="53"/>
      <c r="G101" s="53"/>
      <c r="H101" s="53"/>
      <c r="I101" s="53"/>
      <c r="K101" s="53"/>
    </row>
    <row r="102" spans="1:11" x14ac:dyDescent="0.3">
      <c r="A102" s="51"/>
      <c r="B102" s="52"/>
      <c r="C102" s="53"/>
      <c r="D102" s="53"/>
      <c r="E102" s="53"/>
      <c r="F102" s="53"/>
      <c r="G102" s="53"/>
      <c r="H102" s="53"/>
      <c r="I102" s="53"/>
      <c r="K102" s="53"/>
    </row>
    <row r="103" spans="1:11" x14ac:dyDescent="0.3">
      <c r="A103" s="51"/>
      <c r="B103" s="52"/>
      <c r="C103" s="53"/>
      <c r="D103" s="53"/>
      <c r="E103" s="53"/>
      <c r="F103" s="53"/>
      <c r="G103" s="53"/>
      <c r="H103" s="53"/>
      <c r="I103" s="53"/>
      <c r="K103" s="53"/>
    </row>
    <row r="104" spans="1:11" x14ac:dyDescent="0.3">
      <c r="A104" s="51"/>
      <c r="B104" s="52"/>
      <c r="C104" s="53"/>
      <c r="D104" s="53"/>
      <c r="E104" s="53"/>
      <c r="F104" s="53"/>
      <c r="G104" s="53"/>
      <c r="H104" s="53"/>
      <c r="I104" s="53"/>
      <c r="K104" s="53"/>
    </row>
    <row r="105" spans="1:11" x14ac:dyDescent="0.3">
      <c r="A105" s="51"/>
      <c r="B105" s="52"/>
      <c r="C105" s="53"/>
      <c r="D105" s="53"/>
      <c r="E105" s="53"/>
      <c r="F105" s="53"/>
      <c r="G105" s="53"/>
      <c r="H105" s="53"/>
      <c r="I105" s="53"/>
      <c r="K105" s="53"/>
    </row>
    <row r="106" spans="1:11" x14ac:dyDescent="0.3">
      <c r="A106" s="51"/>
      <c r="B106" s="52"/>
      <c r="C106" s="53"/>
      <c r="D106" s="53"/>
      <c r="E106" s="53"/>
      <c r="F106" s="53"/>
      <c r="G106" s="53"/>
      <c r="H106" s="53"/>
      <c r="I106" s="53"/>
      <c r="K106" s="53"/>
    </row>
    <row r="107" spans="1:11" x14ac:dyDescent="0.3">
      <c r="A107" s="51"/>
      <c r="B107" s="52"/>
      <c r="C107" s="53"/>
      <c r="D107" s="53"/>
      <c r="E107" s="53"/>
      <c r="F107" s="53"/>
      <c r="G107" s="53"/>
      <c r="H107" s="53"/>
      <c r="I107" s="53"/>
      <c r="K107" s="53"/>
    </row>
    <row r="108" spans="1:11" x14ac:dyDescent="0.3">
      <c r="A108" s="51"/>
      <c r="B108" s="52"/>
      <c r="C108" s="53"/>
      <c r="D108" s="53"/>
      <c r="E108" s="53"/>
      <c r="F108" s="53"/>
      <c r="G108" s="53"/>
      <c r="H108" s="53"/>
      <c r="I108" s="53"/>
      <c r="K108" s="53"/>
    </row>
    <row r="109" spans="1:11" x14ac:dyDescent="0.3">
      <c r="A109" s="51"/>
      <c r="B109" s="52"/>
      <c r="C109" s="53"/>
      <c r="D109" s="53"/>
      <c r="E109" s="53"/>
      <c r="F109" s="53"/>
      <c r="G109" s="53"/>
      <c r="H109" s="53"/>
      <c r="I109" s="53"/>
      <c r="K109" s="53"/>
    </row>
    <row r="110" spans="1:11" x14ac:dyDescent="0.3">
      <c r="A110" s="51"/>
      <c r="B110" s="52"/>
      <c r="C110" s="53"/>
      <c r="D110" s="53"/>
      <c r="E110" s="53"/>
      <c r="F110" s="53"/>
      <c r="G110" s="53"/>
      <c r="H110" s="53"/>
      <c r="I110" s="53"/>
      <c r="K110" s="53"/>
    </row>
    <row r="111" spans="1:11" x14ac:dyDescent="0.3">
      <c r="A111" s="51"/>
      <c r="B111" s="52"/>
      <c r="C111" s="53"/>
      <c r="D111" s="53"/>
      <c r="E111" s="53"/>
      <c r="F111" s="53"/>
      <c r="G111" s="53"/>
      <c r="H111" s="53"/>
      <c r="I111" s="53"/>
      <c r="K111" s="53"/>
    </row>
    <row r="112" spans="1:11" x14ac:dyDescent="0.3">
      <c r="A112" s="51"/>
      <c r="B112" s="52"/>
      <c r="C112" s="53"/>
      <c r="D112" s="53"/>
      <c r="E112" s="53"/>
      <c r="F112" s="53"/>
      <c r="G112" s="53"/>
      <c r="H112" s="53"/>
      <c r="I112" s="53"/>
      <c r="K112" s="53"/>
    </row>
    <row r="113" spans="1:11" x14ac:dyDescent="0.3">
      <c r="A113" s="51"/>
      <c r="B113" s="52"/>
      <c r="C113" s="53"/>
      <c r="D113" s="53"/>
      <c r="E113" s="53"/>
      <c r="F113" s="53"/>
      <c r="G113" s="53"/>
      <c r="H113" s="53"/>
      <c r="I113" s="53"/>
      <c r="K113" s="53"/>
    </row>
    <row r="114" spans="1:11" x14ac:dyDescent="0.3">
      <c r="A114" s="51"/>
      <c r="B114" s="52"/>
      <c r="C114" s="53"/>
      <c r="D114" s="53"/>
      <c r="E114" s="53"/>
      <c r="F114" s="53"/>
      <c r="G114" s="53"/>
      <c r="H114" s="53"/>
      <c r="I114" s="53"/>
      <c r="K114" s="53"/>
    </row>
    <row r="115" spans="1:11" x14ac:dyDescent="0.3">
      <c r="A115" s="51"/>
      <c r="B115" s="52"/>
      <c r="C115" s="53"/>
      <c r="D115" s="53"/>
      <c r="E115" s="53"/>
      <c r="F115" s="53"/>
      <c r="G115" s="53"/>
      <c r="H115" s="53"/>
      <c r="I115" s="53"/>
      <c r="K115" s="53"/>
    </row>
    <row r="116" spans="1:11" x14ac:dyDescent="0.3">
      <c r="A116" s="51"/>
      <c r="B116" s="52"/>
      <c r="C116" s="53"/>
      <c r="D116" s="53"/>
      <c r="E116" s="53"/>
      <c r="F116" s="53"/>
      <c r="G116" s="53"/>
      <c r="H116" s="53"/>
      <c r="I116" s="53"/>
      <c r="K116" s="53"/>
    </row>
    <row r="117" spans="1:11" x14ac:dyDescent="0.3">
      <c r="A117" s="51"/>
      <c r="B117" s="52"/>
      <c r="C117" s="53"/>
      <c r="D117" s="53"/>
      <c r="E117" s="53"/>
      <c r="F117" s="53"/>
      <c r="G117" s="53"/>
      <c r="H117" s="53"/>
      <c r="I117" s="53"/>
      <c r="K117" s="53"/>
    </row>
    <row r="118" spans="1:11" x14ac:dyDescent="0.3">
      <c r="A118" s="51"/>
      <c r="B118" s="52"/>
      <c r="C118" s="53"/>
      <c r="D118" s="53"/>
      <c r="E118" s="53"/>
      <c r="F118" s="53"/>
      <c r="G118" s="53"/>
      <c r="H118" s="53"/>
      <c r="I118" s="53"/>
      <c r="K118" s="53"/>
    </row>
    <row r="119" spans="1:11" x14ac:dyDescent="0.3">
      <c r="A119" s="51"/>
      <c r="B119" s="52"/>
      <c r="C119" s="53"/>
      <c r="D119" s="53"/>
      <c r="E119" s="53"/>
      <c r="F119" s="53"/>
      <c r="G119" s="53"/>
      <c r="H119" s="53"/>
      <c r="I119" s="53"/>
      <c r="K119" s="53"/>
    </row>
    <row r="120" spans="1:11" x14ac:dyDescent="0.3">
      <c r="A120" s="51"/>
      <c r="B120" s="52"/>
      <c r="C120" s="53"/>
      <c r="D120" s="53"/>
      <c r="E120" s="53"/>
      <c r="F120" s="53"/>
      <c r="G120" s="53"/>
      <c r="H120" s="53"/>
      <c r="I120" s="53"/>
      <c r="K120" s="53"/>
    </row>
    <row r="121" spans="1:11" x14ac:dyDescent="0.3">
      <c r="A121" s="51"/>
      <c r="B121" s="52"/>
      <c r="C121" s="53"/>
      <c r="D121" s="53"/>
      <c r="E121" s="53"/>
      <c r="F121" s="53"/>
      <c r="G121" s="53"/>
      <c r="H121" s="53"/>
      <c r="I121" s="53"/>
      <c r="K121" s="53"/>
    </row>
    <row r="122" spans="1:11" x14ac:dyDescent="0.3">
      <c r="A122" s="51"/>
      <c r="B122" s="52"/>
      <c r="C122" s="53"/>
      <c r="D122" s="53"/>
      <c r="E122" s="53"/>
      <c r="F122" s="53"/>
      <c r="G122" s="53"/>
      <c r="H122" s="53"/>
      <c r="I122" s="53"/>
      <c r="K122" s="53"/>
    </row>
    <row r="123" spans="1:11" x14ac:dyDescent="0.3">
      <c r="A123" s="51"/>
      <c r="B123" s="52"/>
      <c r="C123" s="53"/>
      <c r="D123" s="53"/>
      <c r="E123" s="53"/>
      <c r="F123" s="53"/>
      <c r="G123" s="53"/>
      <c r="H123" s="53"/>
      <c r="I123" s="53"/>
      <c r="K123" s="53"/>
    </row>
    <row r="124" spans="1:11" x14ac:dyDescent="0.3">
      <c r="A124" s="51"/>
      <c r="B124" s="52"/>
      <c r="C124" s="53"/>
      <c r="D124" s="53"/>
      <c r="E124" s="53"/>
      <c r="F124" s="53"/>
      <c r="G124" s="53"/>
      <c r="H124" s="53"/>
      <c r="I124" s="53"/>
      <c r="K124" s="53"/>
    </row>
    <row r="125" spans="1:11" x14ac:dyDescent="0.3">
      <c r="A125" s="51"/>
      <c r="B125" s="52"/>
      <c r="C125" s="53"/>
      <c r="D125" s="53"/>
      <c r="E125" s="53"/>
      <c r="F125" s="53"/>
      <c r="G125" s="53"/>
      <c r="H125" s="53"/>
      <c r="I125" s="53"/>
      <c r="K125" s="53"/>
    </row>
    <row r="126" spans="1:11" x14ac:dyDescent="0.3">
      <c r="A126" s="51"/>
      <c r="B126" s="52"/>
      <c r="C126" s="53"/>
      <c r="D126" s="53"/>
      <c r="E126" s="53"/>
      <c r="F126" s="53"/>
      <c r="G126" s="53"/>
      <c r="H126" s="53"/>
      <c r="I126" s="53"/>
      <c r="K126" s="53"/>
    </row>
    <row r="127" spans="1:11" x14ac:dyDescent="0.3">
      <c r="A127" s="51"/>
      <c r="B127" s="52"/>
      <c r="C127" s="53"/>
      <c r="D127" s="53"/>
      <c r="E127" s="53"/>
      <c r="F127" s="53"/>
      <c r="G127" s="53"/>
      <c r="H127" s="53"/>
      <c r="I127" s="53"/>
      <c r="K127" s="53"/>
    </row>
    <row r="128" spans="1:11" x14ac:dyDescent="0.3">
      <c r="A128" s="51"/>
      <c r="B128" s="52"/>
      <c r="C128" s="53"/>
      <c r="D128" s="53"/>
      <c r="E128" s="53"/>
      <c r="F128" s="53"/>
      <c r="G128" s="53"/>
      <c r="H128" s="53"/>
      <c r="I128" s="53"/>
      <c r="K128" s="53"/>
    </row>
    <row r="129" spans="1:11" x14ac:dyDescent="0.3">
      <c r="A129" s="51"/>
      <c r="B129" s="52"/>
      <c r="C129" s="53"/>
      <c r="D129" s="53"/>
      <c r="E129" s="53"/>
      <c r="F129" s="53"/>
      <c r="G129" s="53"/>
      <c r="H129" s="53"/>
      <c r="I129" s="53"/>
      <c r="K129" s="53"/>
    </row>
    <row r="130" spans="1:11" x14ac:dyDescent="0.3">
      <c r="A130" s="51"/>
      <c r="B130" s="52"/>
      <c r="C130" s="53"/>
      <c r="D130" s="53"/>
      <c r="E130" s="53"/>
      <c r="F130" s="53"/>
      <c r="G130" s="53"/>
      <c r="H130" s="53"/>
      <c r="I130" s="53"/>
      <c r="K130" s="53"/>
    </row>
    <row r="131" spans="1:11" x14ac:dyDescent="0.3">
      <c r="A131" s="51"/>
      <c r="B131" s="52"/>
      <c r="C131" s="53"/>
      <c r="D131" s="53"/>
      <c r="E131" s="53"/>
      <c r="F131" s="53"/>
      <c r="G131" s="53"/>
      <c r="H131" s="53"/>
      <c r="I131" s="53"/>
      <c r="K131" s="53"/>
    </row>
    <row r="132" spans="1:11" x14ac:dyDescent="0.3">
      <c r="A132" s="51"/>
      <c r="B132" s="52"/>
      <c r="C132" s="53"/>
      <c r="D132" s="53"/>
      <c r="E132" s="53"/>
      <c r="F132" s="53"/>
      <c r="G132" s="53"/>
      <c r="H132" s="53"/>
      <c r="I132" s="53"/>
      <c r="K132" s="53"/>
    </row>
    <row r="133" spans="1:11" x14ac:dyDescent="0.3">
      <c r="A133" s="51"/>
      <c r="B133" s="52"/>
      <c r="C133" s="53"/>
      <c r="D133" s="53"/>
      <c r="E133" s="53"/>
      <c r="F133" s="53"/>
      <c r="G133" s="53"/>
      <c r="H133" s="53"/>
      <c r="I133" s="53"/>
      <c r="K133" s="53"/>
    </row>
    <row r="134" spans="1:11" x14ac:dyDescent="0.3">
      <c r="A134" s="51"/>
      <c r="B134" s="52"/>
      <c r="C134" s="53"/>
      <c r="D134" s="53"/>
      <c r="E134" s="53"/>
      <c r="F134" s="53"/>
      <c r="G134" s="53"/>
      <c r="H134" s="53"/>
      <c r="I134" s="53"/>
      <c r="K134" s="53"/>
    </row>
    <row r="135" spans="1:11" x14ac:dyDescent="0.3">
      <c r="A135" s="51"/>
      <c r="B135" s="52"/>
      <c r="C135" s="53"/>
      <c r="D135" s="53"/>
      <c r="E135" s="53"/>
      <c r="F135" s="53"/>
      <c r="G135" s="53"/>
      <c r="H135" s="53"/>
      <c r="I135" s="53"/>
      <c r="K135" s="53"/>
    </row>
    <row r="136" spans="1:11" x14ac:dyDescent="0.3">
      <c r="A136" s="51"/>
      <c r="B136" s="52"/>
      <c r="C136" s="53"/>
      <c r="D136" s="53"/>
      <c r="E136" s="53"/>
      <c r="F136" s="53"/>
      <c r="G136" s="53"/>
      <c r="H136" s="53"/>
      <c r="I136" s="53"/>
      <c r="K136" s="53"/>
    </row>
    <row r="137" spans="1:11" x14ac:dyDescent="0.3">
      <c r="A137" s="51"/>
      <c r="B137" s="52"/>
      <c r="C137" s="53"/>
      <c r="D137" s="53"/>
      <c r="E137" s="53"/>
      <c r="F137" s="53"/>
      <c r="G137" s="53"/>
      <c r="H137" s="53"/>
      <c r="I137" s="53"/>
      <c r="K137" s="53"/>
    </row>
    <row r="138" spans="1:11" x14ac:dyDescent="0.3">
      <c r="A138" s="51"/>
      <c r="B138" s="52"/>
      <c r="C138" s="53"/>
      <c r="D138" s="53"/>
      <c r="E138" s="53"/>
      <c r="F138" s="53"/>
      <c r="G138" s="53"/>
      <c r="H138" s="53"/>
      <c r="I138" s="53"/>
      <c r="K138" s="53"/>
    </row>
    <row r="139" spans="1:11" x14ac:dyDescent="0.3">
      <c r="A139" s="51"/>
      <c r="B139" s="52"/>
      <c r="C139" s="53"/>
      <c r="D139" s="53"/>
      <c r="E139" s="53"/>
      <c r="F139" s="53"/>
      <c r="G139" s="53"/>
      <c r="H139" s="53"/>
      <c r="I139" s="53"/>
      <c r="K139" s="53"/>
    </row>
    <row r="140" spans="1:11" x14ac:dyDescent="0.3">
      <c r="A140" s="51"/>
      <c r="B140" s="52"/>
      <c r="C140" s="53"/>
      <c r="D140" s="53"/>
      <c r="E140" s="53"/>
      <c r="F140" s="53"/>
      <c r="G140" s="53"/>
      <c r="H140" s="53"/>
      <c r="I140" s="53"/>
      <c r="K140" s="53"/>
    </row>
    <row r="141" spans="1:11" x14ac:dyDescent="0.3">
      <c r="A141" s="51"/>
      <c r="B141" s="52"/>
      <c r="C141" s="53"/>
      <c r="D141" s="53"/>
      <c r="E141" s="53"/>
      <c r="F141" s="53"/>
      <c r="G141" s="53"/>
      <c r="H141" s="53"/>
      <c r="I141" s="53"/>
      <c r="K141" s="53"/>
    </row>
    <row r="142" spans="1:11" x14ac:dyDescent="0.3">
      <c r="A142" s="51"/>
      <c r="B142" s="52"/>
      <c r="C142" s="53"/>
      <c r="D142" s="53"/>
      <c r="E142" s="53"/>
      <c r="F142" s="53"/>
      <c r="G142" s="53"/>
      <c r="H142" s="53"/>
      <c r="I142" s="53"/>
      <c r="K142" s="53"/>
    </row>
    <row r="143" spans="1:11" x14ac:dyDescent="0.3">
      <c r="A143" s="51"/>
      <c r="B143" s="52"/>
      <c r="C143" s="53"/>
      <c r="D143" s="53"/>
      <c r="E143" s="53"/>
      <c r="F143" s="53"/>
      <c r="G143" s="53"/>
      <c r="H143" s="53"/>
      <c r="I143" s="53"/>
      <c r="K143" s="53"/>
    </row>
    <row r="144" spans="1:11" x14ac:dyDescent="0.3">
      <c r="A144" s="51"/>
      <c r="B144" s="52"/>
      <c r="C144" s="53"/>
      <c r="D144" s="53"/>
      <c r="E144" s="53"/>
      <c r="F144" s="53"/>
      <c r="G144" s="53"/>
      <c r="H144" s="53"/>
      <c r="I144" s="53"/>
      <c r="K144" s="53"/>
    </row>
    <row r="145" spans="1:11" x14ac:dyDescent="0.3">
      <c r="A145" s="51"/>
      <c r="B145" s="52"/>
      <c r="C145" s="53"/>
      <c r="D145" s="53"/>
      <c r="E145" s="53"/>
      <c r="F145" s="53"/>
      <c r="G145" s="53"/>
      <c r="H145" s="53"/>
      <c r="I145" s="53"/>
      <c r="K145" s="53"/>
    </row>
    <row r="146" spans="1:11" x14ac:dyDescent="0.3">
      <c r="A146" s="51"/>
      <c r="B146" s="52"/>
      <c r="C146" s="53"/>
      <c r="D146" s="53"/>
      <c r="E146" s="53"/>
      <c r="F146" s="53"/>
      <c r="G146" s="53"/>
      <c r="H146" s="53"/>
      <c r="I146" s="53"/>
      <c r="K146" s="53"/>
    </row>
    <row r="147" spans="1:11" x14ac:dyDescent="0.3">
      <c r="A147" s="51"/>
      <c r="B147" s="52"/>
      <c r="C147" s="53"/>
      <c r="D147" s="53"/>
      <c r="E147" s="53"/>
      <c r="F147" s="53"/>
      <c r="G147" s="53"/>
      <c r="H147" s="53"/>
      <c r="I147" s="53"/>
      <c r="K147" s="53"/>
    </row>
    <row r="148" spans="1:11" x14ac:dyDescent="0.3">
      <c r="A148" s="51"/>
      <c r="B148" s="52"/>
      <c r="C148" s="53"/>
      <c r="D148" s="53"/>
      <c r="E148" s="53"/>
      <c r="F148" s="53"/>
      <c r="G148" s="53"/>
      <c r="H148" s="53"/>
      <c r="I148" s="53"/>
      <c r="K148" s="53"/>
    </row>
    <row r="149" spans="1:11" x14ac:dyDescent="0.3">
      <c r="A149" s="51"/>
      <c r="B149" s="52"/>
      <c r="C149" s="53"/>
      <c r="D149" s="53"/>
      <c r="E149" s="53"/>
      <c r="F149" s="53"/>
      <c r="G149" s="53"/>
      <c r="H149" s="53"/>
      <c r="I149" s="53"/>
      <c r="K149" s="53"/>
    </row>
    <row r="150" spans="1:11" x14ac:dyDescent="0.3">
      <c r="A150" s="51"/>
      <c r="B150" s="52"/>
      <c r="C150" s="53"/>
      <c r="D150" s="53"/>
      <c r="E150" s="53"/>
      <c r="F150" s="53"/>
      <c r="G150" s="53"/>
      <c r="H150" s="53"/>
      <c r="I150" s="53"/>
      <c r="K150" s="53"/>
    </row>
    <row r="151" spans="1:11" x14ac:dyDescent="0.3">
      <c r="A151" s="51"/>
      <c r="B151" s="52"/>
      <c r="C151" s="53"/>
      <c r="D151" s="53"/>
      <c r="E151" s="53"/>
      <c r="F151" s="53"/>
      <c r="G151" s="53"/>
      <c r="H151" s="53"/>
      <c r="I151" s="53"/>
      <c r="K151" s="53"/>
    </row>
    <row r="152" spans="1:11" x14ac:dyDescent="0.3">
      <c r="A152" s="51"/>
      <c r="B152" s="52"/>
      <c r="C152" s="53"/>
      <c r="D152" s="53"/>
      <c r="E152" s="53"/>
      <c r="F152" s="53"/>
      <c r="G152" s="53"/>
      <c r="H152" s="53"/>
      <c r="I152" s="53"/>
      <c r="K152" s="53"/>
    </row>
    <row r="153" spans="1:11" x14ac:dyDescent="0.3">
      <c r="A153" s="51"/>
      <c r="B153" s="52"/>
      <c r="C153" s="53"/>
      <c r="D153" s="53"/>
      <c r="E153" s="53"/>
      <c r="F153" s="53"/>
      <c r="G153" s="53"/>
      <c r="H153" s="53"/>
      <c r="I153" s="53"/>
      <c r="K153" s="53"/>
    </row>
    <row r="154" spans="1:11" x14ac:dyDescent="0.3">
      <c r="A154" s="51"/>
      <c r="B154" s="52"/>
      <c r="C154" s="53"/>
      <c r="D154" s="53"/>
      <c r="E154" s="53"/>
      <c r="F154" s="53"/>
      <c r="G154" s="53"/>
      <c r="H154" s="53"/>
      <c r="I154" s="53"/>
      <c r="K154" s="53"/>
    </row>
    <row r="155" spans="1:11" x14ac:dyDescent="0.3">
      <c r="A155" s="51"/>
      <c r="B155" s="52"/>
      <c r="C155" s="53"/>
      <c r="D155" s="53"/>
      <c r="E155" s="53"/>
      <c r="F155" s="53"/>
      <c r="G155" s="53"/>
      <c r="H155" s="53"/>
      <c r="I155" s="53"/>
      <c r="K155" s="53"/>
    </row>
    <row r="156" spans="1:11" x14ac:dyDescent="0.3">
      <c r="A156" s="51"/>
      <c r="B156" s="52"/>
      <c r="C156" s="53"/>
      <c r="D156" s="53"/>
      <c r="E156" s="53"/>
      <c r="F156" s="53"/>
      <c r="G156" s="53"/>
      <c r="H156" s="53"/>
      <c r="I156" s="53"/>
      <c r="K156" s="53"/>
    </row>
    <row r="157" spans="1:11" x14ac:dyDescent="0.3">
      <c r="A157" s="51"/>
      <c r="B157" s="52"/>
      <c r="C157" s="53"/>
      <c r="D157" s="53"/>
      <c r="E157" s="53"/>
      <c r="F157" s="53"/>
      <c r="G157" s="53"/>
      <c r="H157" s="53"/>
      <c r="I157" s="53"/>
      <c r="K157" s="53"/>
    </row>
    <row r="158" spans="1:11" x14ac:dyDescent="0.3">
      <c r="A158" s="51"/>
      <c r="B158" s="52"/>
      <c r="C158" s="53"/>
      <c r="D158" s="53"/>
      <c r="E158" s="53"/>
      <c r="F158" s="53"/>
      <c r="G158" s="53"/>
      <c r="H158" s="53"/>
      <c r="I158" s="53"/>
      <c r="K158" s="53"/>
    </row>
    <row r="159" spans="1:11" x14ac:dyDescent="0.3">
      <c r="A159" s="51"/>
      <c r="B159" s="52"/>
      <c r="C159" s="53"/>
      <c r="D159" s="53"/>
      <c r="E159" s="53"/>
      <c r="F159" s="53"/>
      <c r="G159" s="53"/>
      <c r="H159" s="53"/>
      <c r="I159" s="53"/>
      <c r="K159" s="53"/>
    </row>
    <row r="160" spans="1:11" x14ac:dyDescent="0.3">
      <c r="A160" s="51"/>
      <c r="B160" s="52"/>
      <c r="C160" s="53"/>
      <c r="D160" s="53"/>
      <c r="E160" s="53"/>
      <c r="F160" s="53"/>
      <c r="G160" s="53"/>
      <c r="H160" s="53"/>
      <c r="I160" s="53"/>
      <c r="K160" s="53"/>
    </row>
    <row r="161" spans="1:11" x14ac:dyDescent="0.3">
      <c r="A161" s="51"/>
      <c r="B161" s="52"/>
      <c r="C161" s="53"/>
      <c r="D161" s="53"/>
      <c r="E161" s="53"/>
      <c r="F161" s="53"/>
      <c r="G161" s="53"/>
      <c r="H161" s="53"/>
      <c r="I161" s="53"/>
      <c r="K161" s="53"/>
    </row>
    <row r="162" spans="1:11" x14ac:dyDescent="0.3">
      <c r="A162" s="51"/>
      <c r="B162" s="52"/>
      <c r="C162" s="53"/>
      <c r="D162" s="53"/>
      <c r="E162" s="53"/>
      <c r="F162" s="53"/>
      <c r="G162" s="53"/>
      <c r="H162" s="53"/>
      <c r="I162" s="53"/>
      <c r="K162" s="53"/>
    </row>
    <row r="163" spans="1:11" x14ac:dyDescent="0.3">
      <c r="A163" s="51"/>
      <c r="B163" s="52"/>
      <c r="C163" s="53"/>
      <c r="D163" s="53"/>
      <c r="E163" s="53"/>
      <c r="F163" s="53"/>
      <c r="G163" s="53"/>
      <c r="H163" s="53"/>
      <c r="I163" s="53"/>
      <c r="K163" s="53"/>
    </row>
    <row r="164" spans="1:11" x14ac:dyDescent="0.3">
      <c r="A164" s="51"/>
      <c r="B164" s="52"/>
      <c r="C164" s="53"/>
      <c r="D164" s="53"/>
      <c r="E164" s="53"/>
      <c r="F164" s="53"/>
      <c r="G164" s="53"/>
      <c r="H164" s="53"/>
      <c r="I164" s="53"/>
      <c r="K164" s="53"/>
    </row>
    <row r="165" spans="1:11" x14ac:dyDescent="0.3">
      <c r="A165" s="51"/>
      <c r="B165" s="52"/>
      <c r="C165" s="53"/>
      <c r="D165" s="53"/>
      <c r="E165" s="53"/>
      <c r="F165" s="53"/>
      <c r="G165" s="53"/>
      <c r="H165" s="53"/>
      <c r="I165" s="53"/>
      <c r="K165" s="53"/>
    </row>
    <row r="166" spans="1:11" x14ac:dyDescent="0.3">
      <c r="A166" s="51"/>
      <c r="B166" s="52"/>
      <c r="C166" s="53"/>
      <c r="D166" s="53"/>
      <c r="E166" s="53"/>
      <c r="F166" s="53"/>
      <c r="G166" s="53"/>
      <c r="H166" s="53"/>
      <c r="I166" s="53"/>
      <c r="K166" s="53"/>
    </row>
    <row r="167" spans="1:11" x14ac:dyDescent="0.3">
      <c r="A167" s="51"/>
      <c r="B167" s="52"/>
      <c r="C167" s="53"/>
      <c r="D167" s="53"/>
      <c r="E167" s="53"/>
      <c r="F167" s="53"/>
      <c r="G167" s="53"/>
      <c r="H167" s="53"/>
      <c r="I167" s="53"/>
      <c r="K167" s="53"/>
    </row>
    <row r="168" spans="1:11" x14ac:dyDescent="0.3">
      <c r="A168" s="51"/>
      <c r="B168" s="52"/>
      <c r="C168" s="53"/>
      <c r="D168" s="53"/>
      <c r="E168" s="53"/>
      <c r="F168" s="53"/>
      <c r="G168" s="53"/>
      <c r="H168" s="53"/>
      <c r="I168" s="53"/>
      <c r="K168" s="53"/>
    </row>
    <row r="169" spans="1:11" x14ac:dyDescent="0.3">
      <c r="A169" s="51"/>
      <c r="B169" s="52"/>
      <c r="C169" s="53"/>
      <c r="D169" s="53"/>
      <c r="E169" s="53"/>
      <c r="F169" s="53"/>
      <c r="G169" s="53"/>
      <c r="H169" s="53"/>
      <c r="I169" s="53"/>
      <c r="K169" s="53"/>
    </row>
    <row r="170" spans="1:11" x14ac:dyDescent="0.3">
      <c r="A170" s="51"/>
      <c r="B170" s="52"/>
      <c r="C170" s="53"/>
      <c r="D170" s="53"/>
      <c r="E170" s="53"/>
      <c r="F170" s="53"/>
      <c r="G170" s="53"/>
      <c r="H170" s="53"/>
      <c r="I170" s="53"/>
      <c r="K170" s="53"/>
    </row>
    <row r="171" spans="1:11" x14ac:dyDescent="0.3">
      <c r="A171" s="51"/>
      <c r="B171" s="52"/>
      <c r="C171" s="53"/>
      <c r="D171" s="53"/>
      <c r="E171" s="53"/>
      <c r="F171" s="53"/>
      <c r="G171" s="53"/>
      <c r="H171" s="53"/>
      <c r="I171" s="53"/>
      <c r="K171" s="53"/>
    </row>
    <row r="172" spans="1:11" x14ac:dyDescent="0.3">
      <c r="A172" s="51"/>
      <c r="B172" s="52"/>
      <c r="C172" s="53"/>
      <c r="D172" s="53"/>
      <c r="E172" s="53"/>
      <c r="F172" s="53"/>
      <c r="G172" s="53"/>
      <c r="H172" s="53"/>
      <c r="I172" s="53"/>
      <c r="K172" s="53"/>
    </row>
    <row r="173" spans="1:11" x14ac:dyDescent="0.3">
      <c r="A173" s="51"/>
      <c r="B173" s="52"/>
      <c r="C173" s="53"/>
      <c r="D173" s="53"/>
      <c r="E173" s="53"/>
      <c r="F173" s="53"/>
      <c r="G173" s="53"/>
      <c r="H173" s="53"/>
      <c r="I173" s="53"/>
      <c r="K173" s="53"/>
    </row>
    <row r="174" spans="1:11" x14ac:dyDescent="0.3">
      <c r="A174" s="51"/>
      <c r="B174" s="52"/>
      <c r="C174" s="53"/>
      <c r="D174" s="53"/>
      <c r="E174" s="53"/>
      <c r="F174" s="53"/>
      <c r="G174" s="53"/>
      <c r="H174" s="53"/>
      <c r="I174" s="53"/>
      <c r="K174" s="53"/>
    </row>
    <row r="175" spans="1:11" x14ac:dyDescent="0.3">
      <c r="A175" s="51"/>
      <c r="B175" s="52"/>
      <c r="C175" s="53"/>
      <c r="D175" s="53"/>
      <c r="E175" s="53"/>
      <c r="F175" s="53"/>
      <c r="G175" s="53"/>
      <c r="H175" s="53"/>
      <c r="I175" s="53"/>
      <c r="K175" s="53"/>
    </row>
    <row r="176" spans="1:11" x14ac:dyDescent="0.3">
      <c r="A176" s="51"/>
      <c r="B176" s="52"/>
      <c r="C176" s="53"/>
      <c r="D176" s="53"/>
      <c r="E176" s="53"/>
      <c r="F176" s="53"/>
      <c r="G176" s="53"/>
      <c r="H176" s="53"/>
      <c r="I176" s="53"/>
      <c r="K176" s="53"/>
    </row>
    <row r="177" spans="1:11" x14ac:dyDescent="0.3">
      <c r="A177" s="51"/>
      <c r="B177" s="52"/>
      <c r="C177" s="53"/>
      <c r="D177" s="53"/>
      <c r="E177" s="53"/>
      <c r="F177" s="53"/>
      <c r="G177" s="53"/>
      <c r="H177" s="53"/>
      <c r="I177" s="53"/>
      <c r="K177" s="53"/>
    </row>
    <row r="178" spans="1:11" x14ac:dyDescent="0.3">
      <c r="A178" s="51"/>
      <c r="B178" s="52"/>
      <c r="C178" s="53"/>
      <c r="D178" s="53"/>
      <c r="E178" s="53"/>
      <c r="F178" s="53"/>
      <c r="G178" s="53"/>
      <c r="H178" s="53"/>
      <c r="I178" s="53"/>
      <c r="K178" s="53"/>
    </row>
    <row r="179" spans="1:11" x14ac:dyDescent="0.3">
      <c r="A179" s="51"/>
      <c r="B179" s="52"/>
      <c r="C179" s="53"/>
      <c r="D179" s="53"/>
      <c r="E179" s="53"/>
      <c r="F179" s="53"/>
      <c r="G179" s="53"/>
      <c r="H179" s="53"/>
      <c r="I179" s="53"/>
      <c r="K179" s="53"/>
    </row>
    <row r="180" spans="1:11" x14ac:dyDescent="0.3">
      <c r="A180" s="51"/>
      <c r="B180" s="52"/>
      <c r="C180" s="53"/>
      <c r="D180" s="53"/>
      <c r="E180" s="53"/>
      <c r="F180" s="53"/>
      <c r="G180" s="53"/>
      <c r="H180" s="53"/>
      <c r="I180" s="53"/>
      <c r="K180" s="53"/>
    </row>
    <row r="181" spans="1:11" x14ac:dyDescent="0.3">
      <c r="A181" s="51"/>
      <c r="B181" s="52"/>
      <c r="C181" s="53"/>
      <c r="D181" s="53"/>
      <c r="E181" s="53"/>
      <c r="F181" s="53"/>
      <c r="G181" s="53"/>
      <c r="H181" s="53"/>
      <c r="I181" s="53"/>
      <c r="K181" s="53"/>
    </row>
    <row r="182" spans="1:11" x14ac:dyDescent="0.3">
      <c r="A182" s="51"/>
      <c r="B182" s="52"/>
      <c r="C182" s="53"/>
      <c r="D182" s="53"/>
      <c r="E182" s="53"/>
      <c r="F182" s="53"/>
      <c r="G182" s="53"/>
      <c r="H182" s="53"/>
      <c r="I182" s="53"/>
      <c r="K182" s="53"/>
    </row>
    <row r="183" spans="1:11" x14ac:dyDescent="0.3">
      <c r="A183" s="51"/>
      <c r="B183" s="52"/>
      <c r="C183" s="53"/>
      <c r="D183" s="53"/>
      <c r="E183" s="53"/>
      <c r="F183" s="53"/>
      <c r="G183" s="53"/>
      <c r="H183" s="53"/>
      <c r="I183" s="53"/>
      <c r="K183" s="53"/>
    </row>
    <row r="184" spans="1:11" x14ac:dyDescent="0.3">
      <c r="A184" s="51"/>
      <c r="B184" s="52"/>
      <c r="C184" s="53"/>
      <c r="D184" s="53"/>
      <c r="E184" s="53"/>
      <c r="F184" s="53"/>
      <c r="G184" s="53"/>
      <c r="H184" s="53"/>
      <c r="I184" s="53"/>
      <c r="K184" s="53"/>
    </row>
    <row r="185" spans="1:11" x14ac:dyDescent="0.3">
      <c r="A185" s="51"/>
      <c r="B185" s="52"/>
      <c r="C185" s="53"/>
      <c r="D185" s="53"/>
      <c r="E185" s="53"/>
      <c r="F185" s="53"/>
      <c r="G185" s="53"/>
      <c r="H185" s="53"/>
      <c r="I185" s="53"/>
      <c r="K185" s="53"/>
    </row>
    <row r="186" spans="1:11" x14ac:dyDescent="0.3">
      <c r="A186" s="51"/>
      <c r="B186" s="52"/>
      <c r="C186" s="53"/>
      <c r="D186" s="53"/>
      <c r="E186" s="53"/>
      <c r="F186" s="53"/>
      <c r="G186" s="53"/>
      <c r="H186" s="53"/>
      <c r="I186" s="53"/>
      <c r="K186" s="53"/>
    </row>
    <row r="187" spans="1:11" x14ac:dyDescent="0.3">
      <c r="A187" s="51"/>
      <c r="B187" s="52"/>
      <c r="C187" s="53"/>
      <c r="D187" s="53"/>
      <c r="E187" s="53"/>
      <c r="F187" s="53"/>
      <c r="G187" s="53"/>
      <c r="H187" s="53"/>
      <c r="I187" s="53"/>
      <c r="K187" s="53"/>
    </row>
    <row r="188" spans="1:11" x14ac:dyDescent="0.3">
      <c r="A188" s="51"/>
      <c r="B188" s="52"/>
      <c r="C188" s="53"/>
      <c r="D188" s="53"/>
      <c r="E188" s="53"/>
      <c r="F188" s="53"/>
      <c r="G188" s="53"/>
      <c r="H188" s="53"/>
      <c r="I188" s="53"/>
      <c r="K188" s="53"/>
    </row>
    <row r="189" spans="1:11" x14ac:dyDescent="0.3">
      <c r="A189" s="51"/>
      <c r="B189" s="52"/>
      <c r="C189" s="53"/>
      <c r="D189" s="53"/>
      <c r="E189" s="53"/>
      <c r="F189" s="53"/>
      <c r="G189" s="53"/>
      <c r="H189" s="53"/>
      <c r="I189" s="53"/>
      <c r="K189" s="53"/>
    </row>
    <row r="190" spans="1:11" x14ac:dyDescent="0.3">
      <c r="A190" s="51"/>
      <c r="B190" s="52"/>
      <c r="C190" s="53"/>
      <c r="D190" s="53"/>
      <c r="E190" s="53"/>
      <c r="F190" s="53"/>
      <c r="G190" s="53"/>
      <c r="H190" s="53"/>
      <c r="I190" s="53"/>
      <c r="K190" s="53"/>
    </row>
    <row r="191" spans="1:11" x14ac:dyDescent="0.3">
      <c r="A191" s="51"/>
      <c r="B191" s="52"/>
      <c r="C191" s="53"/>
      <c r="D191" s="53"/>
      <c r="E191" s="53"/>
      <c r="F191" s="53"/>
      <c r="G191" s="53"/>
      <c r="H191" s="53"/>
      <c r="I191" s="53"/>
      <c r="K191" s="53"/>
    </row>
    <row r="192" spans="1:11" x14ac:dyDescent="0.3">
      <c r="A192" s="51"/>
      <c r="B192" s="52"/>
      <c r="C192" s="53"/>
      <c r="D192" s="53"/>
      <c r="E192" s="53"/>
      <c r="F192" s="53"/>
      <c r="G192" s="53"/>
      <c r="H192" s="53"/>
      <c r="I192" s="53"/>
      <c r="K192" s="53"/>
    </row>
    <row r="193" spans="1:11" x14ac:dyDescent="0.3">
      <c r="A193" s="51"/>
      <c r="B193" s="52"/>
      <c r="C193" s="53"/>
      <c r="D193" s="53"/>
      <c r="E193" s="53"/>
      <c r="F193" s="53"/>
      <c r="G193" s="53"/>
      <c r="H193" s="53"/>
      <c r="I193" s="53"/>
      <c r="K193" s="53"/>
    </row>
    <row r="194" spans="1:11" x14ac:dyDescent="0.3">
      <c r="A194" s="51"/>
      <c r="B194" s="52"/>
      <c r="C194" s="53"/>
      <c r="D194" s="53"/>
      <c r="E194" s="53"/>
      <c r="F194" s="53"/>
      <c r="G194" s="53"/>
      <c r="H194" s="53"/>
      <c r="I194" s="53"/>
      <c r="K194" s="53"/>
    </row>
    <row r="195" spans="1:11" x14ac:dyDescent="0.3">
      <c r="A195" s="51"/>
      <c r="B195" s="52"/>
      <c r="C195" s="53"/>
      <c r="D195" s="53"/>
      <c r="E195" s="53"/>
      <c r="F195" s="53"/>
      <c r="G195" s="53"/>
      <c r="H195" s="53"/>
      <c r="I195" s="53"/>
      <c r="K195" s="53"/>
    </row>
    <row r="196" spans="1:11" x14ac:dyDescent="0.3">
      <c r="A196" s="51"/>
      <c r="B196" s="52"/>
      <c r="C196" s="53"/>
      <c r="D196" s="53"/>
      <c r="E196" s="53"/>
      <c r="F196" s="53"/>
      <c r="G196" s="53"/>
      <c r="H196" s="53"/>
      <c r="I196" s="53"/>
      <c r="K196" s="53"/>
    </row>
    <row r="197" spans="1:11" x14ac:dyDescent="0.3">
      <c r="A197" s="51"/>
      <c r="B197" s="52"/>
      <c r="C197" s="53"/>
      <c r="D197" s="53"/>
      <c r="E197" s="53"/>
      <c r="F197" s="53"/>
      <c r="G197" s="53"/>
      <c r="H197" s="53"/>
      <c r="I197" s="53"/>
      <c r="K197" s="53"/>
    </row>
    <row r="198" spans="1:11" x14ac:dyDescent="0.3">
      <c r="A198" s="51"/>
      <c r="B198" s="52"/>
      <c r="C198" s="53"/>
      <c r="D198" s="53"/>
      <c r="E198" s="53"/>
      <c r="F198" s="53"/>
      <c r="G198" s="53"/>
      <c r="H198" s="53"/>
      <c r="I198" s="53"/>
      <c r="K198" s="53"/>
    </row>
    <row r="199" spans="1:11" x14ac:dyDescent="0.3">
      <c r="A199" s="51"/>
      <c r="B199" s="52"/>
      <c r="C199" s="53"/>
      <c r="D199" s="53"/>
      <c r="E199" s="53"/>
      <c r="F199" s="53"/>
      <c r="G199" s="53"/>
      <c r="H199" s="53"/>
      <c r="I199" s="53"/>
      <c r="K199" s="53"/>
    </row>
    <row r="200" spans="1:11" x14ac:dyDescent="0.3">
      <c r="A200" s="51"/>
      <c r="B200" s="52"/>
      <c r="C200" s="53"/>
      <c r="D200" s="53"/>
      <c r="E200" s="53"/>
      <c r="F200" s="53"/>
      <c r="G200" s="53"/>
      <c r="H200" s="53"/>
      <c r="I200" s="53"/>
      <c r="K200" s="53"/>
    </row>
    <row r="201" spans="1:11" x14ac:dyDescent="0.3">
      <c r="A201" s="51"/>
      <c r="B201" s="52"/>
      <c r="C201" s="53"/>
      <c r="D201" s="53"/>
      <c r="E201" s="53"/>
      <c r="F201" s="53"/>
      <c r="G201" s="53"/>
      <c r="H201" s="53"/>
      <c r="I201" s="53"/>
      <c r="K201" s="53"/>
    </row>
    <row r="202" spans="1:11" x14ac:dyDescent="0.3">
      <c r="A202" s="51"/>
      <c r="B202" s="52"/>
      <c r="C202" s="53"/>
      <c r="D202" s="53"/>
      <c r="E202" s="53"/>
      <c r="F202" s="53"/>
      <c r="G202" s="53"/>
      <c r="H202" s="53"/>
      <c r="I202" s="53"/>
      <c r="K202" s="53"/>
    </row>
    <row r="203" spans="1:11" x14ac:dyDescent="0.3">
      <c r="A203" s="51"/>
      <c r="B203" s="52"/>
      <c r="C203" s="53"/>
      <c r="D203" s="53"/>
      <c r="E203" s="53"/>
      <c r="F203" s="53"/>
      <c r="G203" s="53"/>
      <c r="H203" s="53"/>
      <c r="I203" s="53"/>
      <c r="K203" s="53"/>
    </row>
    <row r="204" spans="1:11" x14ac:dyDescent="0.3">
      <c r="A204" s="51"/>
      <c r="B204" s="52"/>
      <c r="C204" s="53"/>
      <c r="D204" s="53"/>
      <c r="E204" s="53"/>
      <c r="F204" s="53"/>
      <c r="G204" s="53"/>
      <c r="H204" s="53"/>
      <c r="I204" s="53"/>
      <c r="K204" s="53"/>
    </row>
    <row r="205" spans="1:11" x14ac:dyDescent="0.3">
      <c r="A205" s="51"/>
      <c r="B205" s="52"/>
      <c r="C205" s="53"/>
      <c r="D205" s="53"/>
      <c r="E205" s="53"/>
      <c r="F205" s="53"/>
      <c r="G205" s="53"/>
      <c r="H205" s="53"/>
      <c r="I205" s="53"/>
      <c r="K205" s="53"/>
    </row>
    <row r="206" spans="1:11" x14ac:dyDescent="0.3">
      <c r="A206" s="51"/>
      <c r="B206" s="52"/>
      <c r="C206" s="53"/>
      <c r="D206" s="53"/>
      <c r="E206" s="53"/>
      <c r="F206" s="53"/>
      <c r="G206" s="53"/>
      <c r="H206" s="53"/>
      <c r="I206" s="53"/>
      <c r="K206" s="53"/>
    </row>
    <row r="207" spans="1:11" x14ac:dyDescent="0.3">
      <c r="A207" s="51"/>
      <c r="B207" s="52"/>
      <c r="C207" s="53"/>
      <c r="D207" s="53"/>
      <c r="E207" s="53"/>
      <c r="F207" s="53"/>
      <c r="G207" s="53"/>
      <c r="H207" s="53"/>
      <c r="I207" s="53"/>
      <c r="K207" s="53"/>
    </row>
    <row r="208" spans="1:11" x14ac:dyDescent="0.3">
      <c r="A208" s="51"/>
      <c r="B208" s="52"/>
      <c r="C208" s="53"/>
      <c r="D208" s="53"/>
      <c r="E208" s="53"/>
      <c r="F208" s="53"/>
      <c r="G208" s="53"/>
      <c r="H208" s="53"/>
      <c r="I208" s="53"/>
      <c r="K208" s="53"/>
    </row>
    <row r="209" spans="1:11" x14ac:dyDescent="0.3">
      <c r="A209" s="51"/>
      <c r="B209" s="52"/>
      <c r="C209" s="53"/>
      <c r="D209" s="53"/>
      <c r="E209" s="53"/>
      <c r="F209" s="53"/>
      <c r="G209" s="53"/>
      <c r="H209" s="53"/>
      <c r="I209" s="53"/>
      <c r="K209" s="53"/>
    </row>
    <row r="210" spans="1:11" x14ac:dyDescent="0.3">
      <c r="A210" s="51"/>
      <c r="B210" s="52"/>
      <c r="C210" s="53"/>
      <c r="D210" s="53"/>
      <c r="E210" s="53"/>
      <c r="F210" s="53"/>
      <c r="G210" s="53"/>
      <c r="H210" s="53"/>
      <c r="I210" s="53"/>
      <c r="K210" s="53"/>
    </row>
    <row r="211" spans="1:11" x14ac:dyDescent="0.3">
      <c r="A211" s="51"/>
      <c r="B211" s="52"/>
      <c r="C211" s="53"/>
      <c r="D211" s="53"/>
      <c r="E211" s="53"/>
      <c r="F211" s="53"/>
      <c r="G211" s="53"/>
      <c r="H211" s="53"/>
      <c r="I211" s="53"/>
      <c r="K211" s="53"/>
    </row>
    <row r="212" spans="1:11" x14ac:dyDescent="0.3">
      <c r="A212" s="51"/>
      <c r="B212" s="52"/>
      <c r="C212" s="53"/>
      <c r="D212" s="53"/>
      <c r="E212" s="53"/>
      <c r="F212" s="53"/>
      <c r="G212" s="53"/>
      <c r="H212" s="53"/>
      <c r="I212" s="53"/>
      <c r="K212" s="53"/>
    </row>
    <row r="213" spans="1:11" x14ac:dyDescent="0.3">
      <c r="A213" s="51"/>
      <c r="B213" s="52"/>
      <c r="C213" s="53"/>
      <c r="D213" s="53"/>
      <c r="E213" s="53"/>
      <c r="F213" s="53"/>
      <c r="G213" s="53"/>
      <c r="H213" s="53"/>
      <c r="I213" s="53"/>
      <c r="K213" s="53"/>
    </row>
    <row r="214" spans="1:11" x14ac:dyDescent="0.3">
      <c r="A214" s="51"/>
      <c r="B214" s="52"/>
      <c r="C214" s="53"/>
      <c r="D214" s="53"/>
      <c r="E214" s="53"/>
      <c r="F214" s="53"/>
      <c r="G214" s="53"/>
      <c r="H214" s="53"/>
      <c r="I214" s="53"/>
      <c r="K214" s="53"/>
    </row>
    <row r="215" spans="1:11" x14ac:dyDescent="0.3">
      <c r="A215" s="51"/>
      <c r="B215" s="52"/>
      <c r="C215" s="53"/>
      <c r="D215" s="53"/>
      <c r="E215" s="53"/>
      <c r="F215" s="53"/>
      <c r="G215" s="53"/>
      <c r="H215" s="53"/>
      <c r="I215" s="53"/>
      <c r="K215" s="53"/>
    </row>
    <row r="216" spans="1:11" x14ac:dyDescent="0.3">
      <c r="A216" s="51"/>
      <c r="B216" s="52"/>
      <c r="C216" s="53"/>
      <c r="D216" s="53"/>
      <c r="E216" s="53"/>
      <c r="F216" s="53"/>
      <c r="G216" s="53"/>
      <c r="H216" s="53"/>
      <c r="I216" s="53"/>
      <c r="K216" s="53"/>
    </row>
    <row r="217" spans="1:11" x14ac:dyDescent="0.3">
      <c r="A217" s="51"/>
      <c r="B217" s="52"/>
      <c r="C217" s="53"/>
      <c r="D217" s="53"/>
      <c r="E217" s="53"/>
      <c r="F217" s="53"/>
      <c r="G217" s="53"/>
      <c r="H217" s="53"/>
      <c r="I217" s="53"/>
      <c r="K217" s="53"/>
    </row>
    <row r="218" spans="1:11" x14ac:dyDescent="0.3">
      <c r="A218" s="51"/>
      <c r="B218" s="52"/>
      <c r="C218" s="53"/>
      <c r="D218" s="53"/>
      <c r="E218" s="53"/>
      <c r="F218" s="53"/>
      <c r="G218" s="53"/>
      <c r="H218" s="53"/>
      <c r="I218" s="53"/>
      <c r="K218" s="53"/>
    </row>
    <row r="219" spans="1:11" x14ac:dyDescent="0.3">
      <c r="A219" s="51"/>
      <c r="B219" s="52"/>
      <c r="C219" s="53"/>
      <c r="D219" s="53"/>
      <c r="E219" s="53"/>
      <c r="F219" s="53"/>
      <c r="G219" s="53"/>
      <c r="H219" s="53"/>
      <c r="I219" s="53"/>
      <c r="K219" s="53"/>
    </row>
    <row r="220" spans="1:11" x14ac:dyDescent="0.3">
      <c r="A220" s="51"/>
      <c r="B220" s="52"/>
      <c r="C220" s="53"/>
      <c r="D220" s="53"/>
      <c r="E220" s="53"/>
      <c r="F220" s="53"/>
      <c r="G220" s="53"/>
      <c r="H220" s="53"/>
      <c r="I220" s="53"/>
      <c r="K220" s="53"/>
    </row>
    <row r="221" spans="1:11" x14ac:dyDescent="0.3">
      <c r="A221" s="51"/>
      <c r="B221" s="52"/>
      <c r="C221" s="53"/>
      <c r="D221" s="53"/>
      <c r="E221" s="53"/>
      <c r="F221" s="53"/>
      <c r="G221" s="53"/>
      <c r="H221" s="53"/>
      <c r="I221" s="53"/>
      <c r="K221" s="53"/>
    </row>
    <row r="222" spans="1:11" x14ac:dyDescent="0.3">
      <c r="A222" s="51"/>
      <c r="B222" s="52"/>
      <c r="C222" s="53"/>
      <c r="D222" s="53"/>
      <c r="E222" s="53"/>
      <c r="F222" s="53"/>
      <c r="G222" s="53"/>
      <c r="H222" s="53"/>
      <c r="I222" s="53"/>
      <c r="K222" s="53"/>
    </row>
    <row r="223" spans="1:11" x14ac:dyDescent="0.3">
      <c r="A223" s="51"/>
      <c r="B223" s="52"/>
      <c r="C223" s="53"/>
      <c r="D223" s="53"/>
      <c r="E223" s="53"/>
      <c r="F223" s="53"/>
      <c r="G223" s="53"/>
      <c r="H223" s="53"/>
      <c r="I223" s="53"/>
      <c r="K223" s="53"/>
    </row>
    <row r="224" spans="1:11" x14ac:dyDescent="0.3">
      <c r="A224" s="51"/>
      <c r="B224" s="52"/>
      <c r="C224" s="53"/>
      <c r="D224" s="53"/>
      <c r="E224" s="53"/>
      <c r="F224" s="53"/>
      <c r="G224" s="53"/>
      <c r="H224" s="53"/>
      <c r="I224" s="53"/>
      <c r="K224" s="53"/>
    </row>
    <row r="225" spans="1:11" x14ac:dyDescent="0.3">
      <c r="A225" s="51"/>
      <c r="B225" s="52"/>
      <c r="C225" s="53"/>
      <c r="D225" s="53"/>
      <c r="E225" s="53"/>
      <c r="F225" s="53"/>
      <c r="G225" s="53"/>
      <c r="H225" s="53"/>
      <c r="I225" s="53"/>
      <c r="K225" s="53"/>
    </row>
    <row r="226" spans="1:11" x14ac:dyDescent="0.3">
      <c r="A226" s="51"/>
      <c r="B226" s="52"/>
      <c r="C226" s="53"/>
      <c r="D226" s="53"/>
      <c r="E226" s="53"/>
      <c r="F226" s="53"/>
      <c r="G226" s="53"/>
      <c r="H226" s="53"/>
      <c r="I226" s="53"/>
      <c r="K226" s="53"/>
    </row>
    <row r="227" spans="1:11" x14ac:dyDescent="0.3">
      <c r="A227" s="51"/>
      <c r="B227" s="52"/>
      <c r="C227" s="53"/>
      <c r="D227" s="53"/>
      <c r="E227" s="53"/>
      <c r="F227" s="53"/>
      <c r="G227" s="53"/>
      <c r="H227" s="53"/>
      <c r="I227" s="53"/>
      <c r="K227" s="53"/>
    </row>
    <row r="228" spans="1:11" x14ac:dyDescent="0.3">
      <c r="A228" s="51"/>
      <c r="B228" s="52"/>
      <c r="C228" s="53"/>
      <c r="D228" s="53"/>
      <c r="E228" s="53"/>
      <c r="F228" s="53"/>
      <c r="G228" s="53"/>
      <c r="H228" s="53"/>
      <c r="I228" s="53"/>
      <c r="K228" s="53"/>
    </row>
    <row r="229" spans="1:11" x14ac:dyDescent="0.3">
      <c r="A229" s="51"/>
      <c r="B229" s="52"/>
      <c r="C229" s="53"/>
      <c r="D229" s="53"/>
      <c r="E229" s="53"/>
      <c r="F229" s="53"/>
      <c r="G229" s="53"/>
      <c r="H229" s="53"/>
      <c r="I229" s="53"/>
      <c r="K229" s="53"/>
    </row>
    <row r="230" spans="1:11" x14ac:dyDescent="0.3">
      <c r="A230" s="51"/>
      <c r="B230" s="52"/>
      <c r="C230" s="53"/>
      <c r="D230" s="53"/>
      <c r="E230" s="53"/>
      <c r="F230" s="53"/>
      <c r="G230" s="53"/>
      <c r="H230" s="53"/>
      <c r="I230" s="53"/>
      <c r="K230" s="53"/>
    </row>
    <row r="231" spans="1:11" x14ac:dyDescent="0.3">
      <c r="A231" s="51"/>
      <c r="B231" s="52"/>
      <c r="C231" s="53"/>
      <c r="D231" s="53"/>
      <c r="E231" s="53"/>
      <c r="F231" s="53"/>
      <c r="G231" s="53"/>
      <c r="H231" s="53"/>
      <c r="I231" s="53"/>
      <c r="K231" s="53"/>
    </row>
    <row r="232" spans="1:11" x14ac:dyDescent="0.3">
      <c r="A232" s="51"/>
      <c r="B232" s="52"/>
      <c r="C232" s="53"/>
      <c r="D232" s="53"/>
      <c r="E232" s="53"/>
      <c r="F232" s="53"/>
      <c r="G232" s="53"/>
      <c r="H232" s="53"/>
      <c r="I232" s="53"/>
      <c r="K232" s="53"/>
    </row>
    <row r="233" spans="1:11" x14ac:dyDescent="0.3">
      <c r="A233" s="51"/>
      <c r="B233" s="52"/>
      <c r="C233" s="53"/>
      <c r="D233" s="53"/>
      <c r="E233" s="53"/>
      <c r="F233" s="53"/>
      <c r="G233" s="53"/>
      <c r="H233" s="53"/>
      <c r="I233" s="53"/>
      <c r="K233" s="53"/>
    </row>
    <row r="234" spans="1:11" x14ac:dyDescent="0.3">
      <c r="A234" s="51"/>
      <c r="B234" s="52"/>
      <c r="C234" s="53"/>
      <c r="D234" s="53"/>
      <c r="E234" s="53"/>
      <c r="F234" s="53"/>
      <c r="G234" s="53"/>
      <c r="H234" s="53"/>
      <c r="I234" s="53"/>
      <c r="K234" s="53"/>
    </row>
    <row r="235" spans="1:11" x14ac:dyDescent="0.3">
      <c r="A235" s="51"/>
      <c r="B235" s="52"/>
      <c r="C235" s="53"/>
      <c r="D235" s="53"/>
      <c r="E235" s="53"/>
      <c r="F235" s="53"/>
      <c r="G235" s="53"/>
      <c r="H235" s="53"/>
      <c r="I235" s="53"/>
      <c r="K235" s="53"/>
    </row>
    <row r="236" spans="1:11" x14ac:dyDescent="0.3">
      <c r="A236" s="51"/>
      <c r="B236" s="52"/>
      <c r="C236" s="53"/>
      <c r="D236" s="53"/>
      <c r="E236" s="53"/>
      <c r="F236" s="53"/>
      <c r="G236" s="53"/>
      <c r="H236" s="53"/>
      <c r="I236" s="53"/>
      <c r="K236" s="53"/>
    </row>
    <row r="237" spans="1:11" x14ac:dyDescent="0.3">
      <c r="A237" s="51"/>
      <c r="B237" s="52"/>
      <c r="C237" s="53"/>
      <c r="D237" s="53"/>
      <c r="E237" s="53"/>
      <c r="F237" s="53"/>
      <c r="G237" s="53"/>
      <c r="H237" s="53"/>
      <c r="I237" s="53"/>
      <c r="K237" s="53"/>
    </row>
    <row r="238" spans="1:11" x14ac:dyDescent="0.3">
      <c r="A238" s="51"/>
      <c r="B238" s="52"/>
      <c r="C238" s="53"/>
      <c r="D238" s="53"/>
      <c r="E238" s="53"/>
      <c r="F238" s="53"/>
      <c r="G238" s="53"/>
      <c r="H238" s="53"/>
      <c r="I238" s="53"/>
      <c r="K238" s="53"/>
    </row>
    <row r="239" spans="1:11" x14ac:dyDescent="0.3">
      <c r="A239" s="51"/>
      <c r="B239" s="52"/>
      <c r="C239" s="53"/>
      <c r="D239" s="53"/>
      <c r="E239" s="53"/>
      <c r="F239" s="53"/>
      <c r="G239" s="53"/>
      <c r="H239" s="53"/>
      <c r="I239" s="53"/>
      <c r="K239" s="53"/>
    </row>
    <row r="240" spans="1:11" x14ac:dyDescent="0.3">
      <c r="A240" s="51"/>
      <c r="B240" s="52"/>
      <c r="C240" s="53"/>
      <c r="D240" s="53"/>
      <c r="E240" s="53"/>
      <c r="F240" s="53"/>
      <c r="G240" s="53"/>
      <c r="H240" s="53"/>
      <c r="I240" s="53"/>
      <c r="K240" s="53"/>
    </row>
    <row r="241" spans="1:11" x14ac:dyDescent="0.3">
      <c r="A241" s="51"/>
      <c r="B241" s="52"/>
      <c r="C241" s="53"/>
      <c r="D241" s="53"/>
      <c r="E241" s="53"/>
      <c r="F241" s="53"/>
      <c r="G241" s="53"/>
      <c r="H241" s="53"/>
      <c r="I241" s="53"/>
      <c r="K241" s="53"/>
    </row>
    <row r="242" spans="1:11" x14ac:dyDescent="0.3">
      <c r="A242" s="51"/>
      <c r="B242" s="52"/>
      <c r="C242" s="53"/>
      <c r="D242" s="53"/>
      <c r="E242" s="53"/>
      <c r="F242" s="53"/>
      <c r="G242" s="53"/>
      <c r="H242" s="53"/>
      <c r="I242" s="53"/>
      <c r="K242" s="53"/>
    </row>
    <row r="243" spans="1:11" x14ac:dyDescent="0.3">
      <c r="A243" s="51"/>
      <c r="B243" s="52"/>
      <c r="C243" s="53"/>
      <c r="D243" s="53"/>
      <c r="E243" s="53"/>
      <c r="F243" s="53"/>
      <c r="G243" s="53"/>
      <c r="H243" s="53"/>
      <c r="I243" s="53"/>
      <c r="K243" s="53"/>
    </row>
    <row r="244" spans="1:11" x14ac:dyDescent="0.3">
      <c r="A244" s="51"/>
      <c r="B244" s="52"/>
      <c r="C244" s="53"/>
      <c r="D244" s="53"/>
      <c r="E244" s="53"/>
      <c r="F244" s="53"/>
      <c r="G244" s="53"/>
      <c r="H244" s="53"/>
      <c r="I244" s="53"/>
      <c r="K244" s="53"/>
    </row>
    <row r="245" spans="1:11" x14ac:dyDescent="0.3">
      <c r="A245" s="51"/>
      <c r="B245" s="52"/>
      <c r="C245" s="53"/>
      <c r="D245" s="53"/>
      <c r="E245" s="53"/>
      <c r="F245" s="53"/>
      <c r="G245" s="53"/>
      <c r="H245" s="53"/>
      <c r="I245" s="53"/>
      <c r="K245" s="53"/>
    </row>
    <row r="246" spans="1:11" x14ac:dyDescent="0.3">
      <c r="A246" s="51"/>
      <c r="B246" s="52"/>
      <c r="C246" s="53"/>
      <c r="D246" s="53"/>
      <c r="E246" s="53"/>
      <c r="F246" s="53"/>
      <c r="G246" s="53"/>
      <c r="H246" s="53"/>
      <c r="I246" s="53"/>
      <c r="K246" s="53"/>
    </row>
    <row r="247" spans="1:11" x14ac:dyDescent="0.3">
      <c r="A247" s="51"/>
      <c r="B247" s="52"/>
      <c r="C247" s="53"/>
      <c r="D247" s="53"/>
      <c r="E247" s="53"/>
      <c r="F247" s="53"/>
      <c r="G247" s="53"/>
      <c r="H247" s="53"/>
      <c r="I247" s="53"/>
      <c r="K247" s="53"/>
    </row>
    <row r="248" spans="1:11" x14ac:dyDescent="0.3">
      <c r="A248" s="51"/>
      <c r="B248" s="52"/>
      <c r="C248" s="53"/>
      <c r="D248" s="53"/>
      <c r="E248" s="53"/>
      <c r="F248" s="53"/>
      <c r="G248" s="53"/>
      <c r="H248" s="53"/>
      <c r="I248" s="53"/>
      <c r="K248" s="53"/>
    </row>
    <row r="249" spans="1:11" x14ac:dyDescent="0.3">
      <c r="A249" s="51"/>
      <c r="B249" s="52"/>
      <c r="C249" s="53"/>
      <c r="D249" s="53"/>
      <c r="E249" s="53"/>
      <c r="F249" s="53"/>
      <c r="G249" s="53"/>
      <c r="H249" s="53"/>
      <c r="I249" s="53"/>
      <c r="K249" s="53"/>
    </row>
    <row r="250" spans="1:11" x14ac:dyDescent="0.3">
      <c r="A250" s="51"/>
      <c r="B250" s="52"/>
      <c r="C250" s="53"/>
      <c r="D250" s="53"/>
      <c r="E250" s="53"/>
      <c r="F250" s="53"/>
      <c r="G250" s="53"/>
      <c r="H250" s="53"/>
      <c r="I250" s="53"/>
      <c r="K250" s="53"/>
    </row>
    <row r="251" spans="1:11" x14ac:dyDescent="0.3">
      <c r="A251" s="51"/>
      <c r="B251" s="52"/>
      <c r="C251" s="53"/>
      <c r="D251" s="53"/>
      <c r="E251" s="53"/>
      <c r="F251" s="53"/>
      <c r="G251" s="53"/>
      <c r="H251" s="53"/>
      <c r="I251" s="53"/>
      <c r="K251" s="53"/>
    </row>
    <row r="252" spans="1:11" x14ac:dyDescent="0.3">
      <c r="A252" s="51"/>
      <c r="B252" s="52"/>
      <c r="C252" s="53"/>
      <c r="D252" s="53"/>
      <c r="E252" s="53"/>
      <c r="F252" s="53"/>
      <c r="G252" s="53"/>
      <c r="H252" s="53"/>
      <c r="I252" s="53"/>
      <c r="K252" s="53"/>
    </row>
    <row r="253" spans="1:11" x14ac:dyDescent="0.3">
      <c r="A253" s="51"/>
      <c r="B253" s="52"/>
      <c r="C253" s="53"/>
      <c r="D253" s="53"/>
      <c r="E253" s="53"/>
      <c r="F253" s="53"/>
      <c r="G253" s="53"/>
      <c r="H253" s="53"/>
      <c r="I253" s="53"/>
      <c r="K253" s="53"/>
    </row>
    <row r="254" spans="1:11" x14ac:dyDescent="0.3">
      <c r="A254" s="51"/>
      <c r="B254" s="52"/>
      <c r="C254" s="53"/>
      <c r="D254" s="53"/>
      <c r="E254" s="53"/>
      <c r="F254" s="53"/>
      <c r="G254" s="53"/>
      <c r="H254" s="53"/>
      <c r="I254" s="53"/>
      <c r="K254" s="53"/>
    </row>
    <row r="255" spans="1:11" x14ac:dyDescent="0.3">
      <c r="A255" s="51"/>
      <c r="B255" s="52"/>
      <c r="C255" s="53"/>
      <c r="D255" s="53"/>
      <c r="E255" s="53"/>
      <c r="F255" s="53"/>
      <c r="G255" s="53"/>
      <c r="H255" s="53"/>
      <c r="I255" s="53"/>
      <c r="K255" s="53"/>
    </row>
    <row r="256" spans="1:11" x14ac:dyDescent="0.3">
      <c r="A256" s="51"/>
      <c r="B256" s="52"/>
      <c r="C256" s="53"/>
      <c r="D256" s="53"/>
      <c r="E256" s="53"/>
      <c r="F256" s="53"/>
      <c r="G256" s="53"/>
      <c r="H256" s="53"/>
      <c r="I256" s="53"/>
      <c r="K256" s="53"/>
    </row>
    <row r="257" spans="1:11" x14ac:dyDescent="0.3">
      <c r="A257" s="51"/>
      <c r="B257" s="52"/>
      <c r="C257" s="53"/>
      <c r="D257" s="53"/>
      <c r="E257" s="53"/>
      <c r="F257" s="53"/>
      <c r="G257" s="53"/>
      <c r="H257" s="53"/>
      <c r="I257" s="53"/>
      <c r="K257" s="53"/>
    </row>
    <row r="258" spans="1:11" x14ac:dyDescent="0.3">
      <c r="A258" s="51"/>
      <c r="B258" s="52"/>
      <c r="C258" s="53"/>
      <c r="D258" s="53"/>
      <c r="E258" s="53"/>
      <c r="F258" s="53"/>
      <c r="G258" s="53"/>
      <c r="H258" s="53"/>
      <c r="I258" s="53"/>
      <c r="K258" s="53"/>
    </row>
    <row r="259" spans="1:11" x14ac:dyDescent="0.3">
      <c r="A259" s="51"/>
      <c r="B259" s="52"/>
      <c r="C259" s="53"/>
      <c r="D259" s="53"/>
      <c r="E259" s="53"/>
      <c r="F259" s="53"/>
      <c r="G259" s="53"/>
      <c r="H259" s="53"/>
      <c r="I259" s="53"/>
      <c r="K259" s="53"/>
    </row>
    <row r="260" spans="1:11" x14ac:dyDescent="0.3">
      <c r="A260" s="51"/>
      <c r="B260" s="52"/>
      <c r="C260" s="53"/>
      <c r="D260" s="53"/>
      <c r="E260" s="53"/>
      <c r="F260" s="53"/>
      <c r="G260" s="53"/>
      <c r="H260" s="53"/>
      <c r="I260" s="53"/>
      <c r="K260" s="53"/>
    </row>
    <row r="261" spans="1:11" x14ac:dyDescent="0.3">
      <c r="A261" s="51"/>
      <c r="B261" s="52"/>
      <c r="C261" s="53"/>
      <c r="D261" s="53"/>
      <c r="E261" s="53"/>
      <c r="F261" s="53"/>
      <c r="G261" s="53"/>
      <c r="H261" s="53"/>
      <c r="I261" s="53"/>
      <c r="K261" s="53"/>
    </row>
    <row r="262" spans="1:11" x14ac:dyDescent="0.3">
      <c r="A262" s="51"/>
      <c r="B262" s="52"/>
      <c r="C262" s="53"/>
      <c r="D262" s="53"/>
      <c r="E262" s="53"/>
      <c r="F262" s="53"/>
      <c r="G262" s="53"/>
      <c r="H262" s="53"/>
      <c r="I262" s="53"/>
      <c r="K262" s="53"/>
    </row>
    <row r="263" spans="1:11" x14ac:dyDescent="0.3">
      <c r="A263" s="51"/>
      <c r="B263" s="52"/>
      <c r="C263" s="53"/>
      <c r="D263" s="53"/>
      <c r="E263" s="53"/>
      <c r="F263" s="53"/>
      <c r="G263" s="53"/>
      <c r="H263" s="53"/>
      <c r="I263" s="53"/>
      <c r="K263" s="53"/>
    </row>
    <row r="264" spans="1:11" x14ac:dyDescent="0.3">
      <c r="A264" s="51"/>
      <c r="B264" s="52"/>
      <c r="C264" s="53"/>
      <c r="D264" s="53"/>
      <c r="E264" s="53"/>
      <c r="F264" s="53"/>
      <c r="G264" s="53"/>
      <c r="H264" s="53"/>
      <c r="I264" s="53"/>
      <c r="K264" s="53"/>
    </row>
    <row r="265" spans="1:11" x14ac:dyDescent="0.3">
      <c r="A265" s="51"/>
      <c r="B265" s="52"/>
      <c r="C265" s="53"/>
      <c r="D265" s="53"/>
      <c r="E265" s="53"/>
      <c r="F265" s="53"/>
      <c r="G265" s="53"/>
      <c r="H265" s="53"/>
      <c r="I265" s="53"/>
      <c r="K265" s="53"/>
    </row>
    <row r="266" spans="1:11" x14ac:dyDescent="0.3">
      <c r="A266" s="51"/>
      <c r="B266" s="52"/>
      <c r="C266" s="53"/>
      <c r="D266" s="53"/>
      <c r="E266" s="53"/>
      <c r="F266" s="53"/>
      <c r="G266" s="53"/>
      <c r="H266" s="53"/>
      <c r="I266" s="53"/>
      <c r="K266" s="53"/>
    </row>
    <row r="267" spans="1:11" x14ac:dyDescent="0.3">
      <c r="A267" s="51"/>
      <c r="B267" s="52"/>
      <c r="C267" s="53"/>
      <c r="D267" s="53"/>
      <c r="E267" s="53"/>
      <c r="F267" s="53"/>
      <c r="G267" s="53"/>
      <c r="H267" s="53"/>
      <c r="I267" s="53"/>
      <c r="K267" s="53"/>
    </row>
    <row r="268" spans="1:11" x14ac:dyDescent="0.3">
      <c r="A268" s="51"/>
      <c r="B268" s="52"/>
      <c r="C268" s="53"/>
      <c r="D268" s="53"/>
      <c r="E268" s="53"/>
      <c r="F268" s="53"/>
      <c r="G268" s="53"/>
      <c r="H268" s="53"/>
      <c r="I268" s="53"/>
      <c r="K268" s="53"/>
    </row>
    <row r="269" spans="1:11" x14ac:dyDescent="0.3">
      <c r="A269" s="51"/>
      <c r="B269" s="52"/>
      <c r="C269" s="53"/>
      <c r="D269" s="53"/>
      <c r="E269" s="53"/>
      <c r="F269" s="53"/>
      <c r="G269" s="53"/>
      <c r="H269" s="53"/>
      <c r="I269" s="53"/>
      <c r="K269" s="53"/>
    </row>
    <row r="270" spans="1:11" x14ac:dyDescent="0.3">
      <c r="A270" s="51"/>
      <c r="B270" s="52"/>
      <c r="C270" s="53"/>
      <c r="D270" s="53"/>
      <c r="E270" s="53"/>
      <c r="F270" s="53"/>
      <c r="G270" s="53"/>
      <c r="H270" s="53"/>
      <c r="I270" s="53"/>
      <c r="K270" s="53"/>
    </row>
    <row r="273" spans="11:11" x14ac:dyDescent="0.3">
      <c r="K273" s="76"/>
    </row>
    <row r="274" spans="11:11" x14ac:dyDescent="0.3">
      <c r="K274" s="76"/>
    </row>
    <row r="275" spans="11:11" x14ac:dyDescent="0.3">
      <c r="K275" s="76"/>
    </row>
    <row r="276" spans="11:11" x14ac:dyDescent="0.3">
      <c r="K276" s="76"/>
    </row>
    <row r="278" spans="11:11" x14ac:dyDescent="0.3">
      <c r="K278" s="76"/>
    </row>
    <row r="280" spans="11:11" x14ac:dyDescent="0.3">
      <c r="K280" s="76"/>
    </row>
    <row r="281" spans="11:11" x14ac:dyDescent="0.3">
      <c r="K281" s="7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P84"/>
  <sheetViews>
    <sheetView tabSelected="1" topLeftCell="A16" workbookViewId="0">
      <selection activeCell="H29" sqref="H29"/>
    </sheetView>
  </sheetViews>
  <sheetFormatPr defaultColWidth="9.109375" defaultRowHeight="14.4" x14ac:dyDescent="0.3"/>
  <cols>
    <col min="1" max="1" width="10.33203125" style="67" bestFit="1" customWidth="1"/>
    <col min="2" max="2" width="11.5546875" style="68" bestFit="1" customWidth="1"/>
    <col min="3" max="3" width="12.5546875" style="59" bestFit="1" customWidth="1"/>
    <col min="4" max="4" width="15.6640625" style="59" customWidth="1"/>
    <col min="5" max="5" width="18.44140625" style="59" bestFit="1" customWidth="1"/>
    <col min="6" max="6" width="15.109375" style="59" bestFit="1" customWidth="1"/>
    <col min="7" max="7" width="17.109375" style="69" bestFit="1" customWidth="1"/>
    <col min="8" max="8" width="18.88671875" style="59" bestFit="1" customWidth="1"/>
    <col min="9" max="9" width="20" style="70" bestFit="1" customWidth="1"/>
    <col min="10" max="10" width="20.6640625" style="70" bestFit="1" customWidth="1"/>
    <col min="11" max="11" width="17.33203125" style="59" bestFit="1" customWidth="1"/>
    <col min="12" max="12" width="10.88671875" style="59" bestFit="1" customWidth="1"/>
    <col min="13" max="13" width="9.109375" style="59"/>
    <col min="14" max="14" width="18.6640625" style="59" bestFit="1" customWidth="1"/>
    <col min="15" max="15" width="14.44140625" style="59" bestFit="1" customWidth="1"/>
    <col min="16" max="16384" width="9.109375" style="59"/>
  </cols>
  <sheetData>
    <row r="1" spans="1:15" ht="28.8" x14ac:dyDescent="0.3">
      <c r="A1" s="83" t="s">
        <v>15</v>
      </c>
      <c r="B1" s="56" t="s">
        <v>20</v>
      </c>
      <c r="C1" s="56" t="s">
        <v>27</v>
      </c>
      <c r="D1" s="57" t="s">
        <v>48</v>
      </c>
      <c r="E1" s="57" t="s">
        <v>21</v>
      </c>
      <c r="F1" s="55" t="s">
        <v>31</v>
      </c>
      <c r="G1" s="55" t="s">
        <v>22</v>
      </c>
      <c r="H1" s="55" t="s">
        <v>16</v>
      </c>
      <c r="I1" s="58" t="s">
        <v>17</v>
      </c>
      <c r="J1" s="58" t="s">
        <v>18</v>
      </c>
      <c r="K1" s="55" t="s">
        <v>19</v>
      </c>
      <c r="L1" s="55" t="s">
        <v>28</v>
      </c>
      <c r="N1" s="59" t="s">
        <v>32</v>
      </c>
      <c r="O1" s="59" t="s">
        <v>33</v>
      </c>
    </row>
    <row r="2" spans="1:15" x14ac:dyDescent="0.3">
      <c r="A2" s="60">
        <v>45413</v>
      </c>
      <c r="B2" s="61"/>
      <c r="C2" s="62"/>
      <c r="D2" s="62"/>
      <c r="E2" s="62"/>
      <c r="F2" s="62"/>
      <c r="G2" s="63"/>
      <c r="H2" s="62" t="s">
        <v>80</v>
      </c>
      <c r="I2" s="64">
        <v>635780</v>
      </c>
      <c r="J2" s="64">
        <v>635780</v>
      </c>
      <c r="K2" s="62"/>
      <c r="L2" s="62"/>
    </row>
    <row r="3" spans="1:15" x14ac:dyDescent="0.3">
      <c r="A3" s="60">
        <v>45413</v>
      </c>
      <c r="B3" s="61"/>
      <c r="C3" s="62"/>
      <c r="D3" s="62"/>
      <c r="E3" s="62"/>
      <c r="F3" s="62"/>
      <c r="G3" s="63"/>
      <c r="H3" s="62" t="s">
        <v>81</v>
      </c>
      <c r="I3" s="64">
        <v>183950</v>
      </c>
      <c r="J3" s="64">
        <v>183950</v>
      </c>
      <c r="K3" s="62"/>
      <c r="L3" s="62"/>
    </row>
    <row r="4" spans="1:15" x14ac:dyDescent="0.3">
      <c r="A4" s="60">
        <v>45414</v>
      </c>
      <c r="B4" s="61"/>
      <c r="C4" s="62"/>
      <c r="D4" s="62"/>
      <c r="E4" s="62"/>
      <c r="F4" s="62"/>
      <c r="G4" s="63"/>
      <c r="H4" s="62" t="s">
        <v>80</v>
      </c>
      <c r="I4" s="64">
        <v>728600</v>
      </c>
      <c r="J4" s="64">
        <v>728600</v>
      </c>
      <c r="K4" s="62"/>
      <c r="L4" s="62"/>
    </row>
    <row r="5" spans="1:15" x14ac:dyDescent="0.3">
      <c r="A5" s="60">
        <v>45414</v>
      </c>
      <c r="B5" s="61"/>
      <c r="C5" s="62"/>
      <c r="D5" s="62"/>
      <c r="E5" s="62"/>
      <c r="F5" s="62"/>
      <c r="G5" s="63"/>
      <c r="H5" s="62" t="s">
        <v>81</v>
      </c>
      <c r="I5" s="64">
        <v>55450</v>
      </c>
      <c r="J5" s="64">
        <v>55450</v>
      </c>
      <c r="K5" s="62"/>
      <c r="L5" s="62"/>
    </row>
    <row r="6" spans="1:15" x14ac:dyDescent="0.3">
      <c r="A6" s="60">
        <v>45415</v>
      </c>
      <c r="B6" s="61"/>
      <c r="C6" s="62"/>
      <c r="D6" s="62"/>
      <c r="E6" s="62"/>
      <c r="F6" s="62"/>
      <c r="G6" s="63"/>
      <c r="H6" s="62" t="s">
        <v>80</v>
      </c>
      <c r="I6" s="64">
        <v>732910</v>
      </c>
      <c r="J6" s="64">
        <v>732910</v>
      </c>
      <c r="K6" s="62"/>
      <c r="L6" s="62"/>
    </row>
    <row r="7" spans="1:15" x14ac:dyDescent="0.3">
      <c r="A7" s="60">
        <v>45415</v>
      </c>
      <c r="B7" s="61"/>
      <c r="C7" s="62"/>
      <c r="D7" s="62"/>
      <c r="E7" s="62"/>
      <c r="F7" s="62"/>
      <c r="G7" s="63"/>
      <c r="H7" s="62" t="s">
        <v>81</v>
      </c>
      <c r="I7" s="64">
        <v>117950</v>
      </c>
      <c r="J7" s="64">
        <v>117950</v>
      </c>
      <c r="K7" s="62"/>
      <c r="L7" s="62"/>
    </row>
    <row r="8" spans="1:15" x14ac:dyDescent="0.3">
      <c r="A8" s="60">
        <v>45416</v>
      </c>
      <c r="B8" s="61"/>
      <c r="C8" s="62"/>
      <c r="D8" s="62"/>
      <c r="E8" s="62"/>
      <c r="F8" s="62"/>
      <c r="G8" s="63"/>
      <c r="H8" s="62" t="s">
        <v>80</v>
      </c>
      <c r="I8" s="64">
        <v>734930</v>
      </c>
      <c r="J8" s="64">
        <v>734930</v>
      </c>
      <c r="K8" s="62"/>
      <c r="L8" s="62"/>
    </row>
    <row r="9" spans="1:15" x14ac:dyDescent="0.3">
      <c r="A9" s="60">
        <v>45416</v>
      </c>
      <c r="B9" s="61"/>
      <c r="C9" s="62"/>
      <c r="D9" s="62"/>
      <c r="E9" s="62"/>
      <c r="F9" s="62"/>
      <c r="G9" s="63"/>
      <c r="H9" s="62" t="s">
        <v>81</v>
      </c>
      <c r="I9" s="64">
        <v>254600</v>
      </c>
      <c r="J9" s="64">
        <v>254600</v>
      </c>
      <c r="K9" s="62"/>
      <c r="L9" s="62"/>
    </row>
    <row r="10" spans="1:15" x14ac:dyDescent="0.3">
      <c r="A10" s="60">
        <v>45417</v>
      </c>
      <c r="B10" s="61"/>
      <c r="C10" s="62"/>
      <c r="D10" s="62"/>
      <c r="E10" s="62"/>
      <c r="F10" s="62"/>
      <c r="G10" s="63"/>
      <c r="H10" s="62" t="s">
        <v>80</v>
      </c>
      <c r="I10" s="64">
        <v>402080</v>
      </c>
      <c r="J10" s="64">
        <v>402080</v>
      </c>
      <c r="K10" s="62"/>
      <c r="L10" s="62"/>
    </row>
    <row r="11" spans="1:15" x14ac:dyDescent="0.3">
      <c r="A11" s="60">
        <v>45417</v>
      </c>
      <c r="B11" s="61"/>
      <c r="C11" s="62"/>
      <c r="D11" s="62"/>
      <c r="E11" s="62"/>
      <c r="F11" s="62"/>
      <c r="G11" s="63"/>
      <c r="H11" s="62" t="s">
        <v>81</v>
      </c>
      <c r="I11" s="64">
        <v>212000</v>
      </c>
      <c r="J11" s="64">
        <v>212000</v>
      </c>
      <c r="K11" s="62"/>
      <c r="L11" s="62"/>
    </row>
    <row r="12" spans="1:15" x14ac:dyDescent="0.3">
      <c r="A12" s="60">
        <v>45418</v>
      </c>
      <c r="B12" s="61"/>
      <c r="C12" s="62"/>
      <c r="D12" s="62"/>
      <c r="E12" s="62"/>
      <c r="F12" s="62"/>
      <c r="G12" s="63"/>
      <c r="H12" s="62" t="s">
        <v>80</v>
      </c>
      <c r="I12" s="64">
        <v>430240</v>
      </c>
      <c r="J12" s="64">
        <v>430240</v>
      </c>
      <c r="K12" s="62"/>
      <c r="L12" s="62"/>
    </row>
    <row r="13" spans="1:15" x14ac:dyDescent="0.3">
      <c r="A13" s="60">
        <v>45418</v>
      </c>
      <c r="B13" s="61"/>
      <c r="C13" s="62"/>
      <c r="D13" s="62"/>
      <c r="E13" s="62"/>
      <c r="F13" s="62"/>
      <c r="G13" s="63"/>
      <c r="H13" s="62" t="s">
        <v>81</v>
      </c>
      <c r="I13" s="64">
        <v>233170</v>
      </c>
      <c r="J13" s="64">
        <v>233170</v>
      </c>
      <c r="K13" s="62"/>
      <c r="L13" s="62"/>
    </row>
    <row r="14" spans="1:15" x14ac:dyDescent="0.3">
      <c r="A14" s="60">
        <v>45419</v>
      </c>
      <c r="B14" s="61"/>
      <c r="C14" s="62"/>
      <c r="D14" s="62"/>
      <c r="E14" s="62"/>
      <c r="F14" s="62"/>
      <c r="G14" s="63"/>
      <c r="H14" s="62" t="s">
        <v>80</v>
      </c>
      <c r="I14" s="64">
        <v>443180</v>
      </c>
      <c r="J14" s="64">
        <v>443180</v>
      </c>
      <c r="K14" s="62"/>
      <c r="L14" s="62"/>
    </row>
    <row r="15" spans="1:15" x14ac:dyDescent="0.3">
      <c r="A15" s="60">
        <v>45419</v>
      </c>
      <c r="B15" s="61"/>
      <c r="C15" s="62"/>
      <c r="D15" s="62"/>
      <c r="E15" s="62"/>
      <c r="F15" s="62"/>
      <c r="G15" s="63"/>
      <c r="H15" s="62" t="s">
        <v>81</v>
      </c>
      <c r="I15" s="64">
        <v>235960</v>
      </c>
      <c r="J15" s="64">
        <v>235960</v>
      </c>
      <c r="K15" s="62"/>
      <c r="L15" s="62"/>
    </row>
    <row r="16" spans="1:15" x14ac:dyDescent="0.3">
      <c r="A16" s="60">
        <v>45420</v>
      </c>
      <c r="B16" s="61"/>
      <c r="C16" s="62"/>
      <c r="D16" s="62"/>
      <c r="E16" s="62"/>
      <c r="F16" s="62"/>
      <c r="G16" s="63"/>
      <c r="H16" s="62" t="s">
        <v>80</v>
      </c>
      <c r="I16" s="64">
        <v>490460</v>
      </c>
      <c r="J16" s="64">
        <v>490460</v>
      </c>
      <c r="K16" s="62"/>
      <c r="L16" s="64"/>
    </row>
    <row r="17" spans="1:16" x14ac:dyDescent="0.3">
      <c r="A17" s="60">
        <v>45420</v>
      </c>
      <c r="B17" s="61"/>
      <c r="C17" s="62"/>
      <c r="D17" s="62"/>
      <c r="E17" s="62"/>
      <c r="F17" s="62"/>
      <c r="G17" s="63"/>
      <c r="H17" s="62" t="s">
        <v>81</v>
      </c>
      <c r="I17" s="64">
        <v>193170</v>
      </c>
      <c r="J17" s="64">
        <v>193170</v>
      </c>
      <c r="K17" s="62"/>
      <c r="L17" s="84"/>
    </row>
    <row r="18" spans="1:16" x14ac:dyDescent="0.3">
      <c r="A18" s="60">
        <v>45421</v>
      </c>
      <c r="B18" s="61"/>
      <c r="C18" s="62"/>
      <c r="D18" s="62"/>
      <c r="E18" s="62"/>
      <c r="F18" s="62"/>
      <c r="G18" s="63"/>
      <c r="H18" s="62" t="s">
        <v>80</v>
      </c>
      <c r="I18" s="64">
        <v>620880</v>
      </c>
      <c r="J18" s="64">
        <v>620880</v>
      </c>
      <c r="K18" s="62"/>
      <c r="L18" s="64"/>
    </row>
    <row r="19" spans="1:16" x14ac:dyDescent="0.3">
      <c r="A19" s="60">
        <v>45421</v>
      </c>
      <c r="B19" s="61"/>
      <c r="C19" s="62"/>
      <c r="D19" s="62"/>
      <c r="E19" s="62"/>
      <c r="F19" s="62"/>
      <c r="G19" s="63"/>
      <c r="H19" s="62" t="s">
        <v>81</v>
      </c>
      <c r="I19" s="64">
        <v>141330</v>
      </c>
      <c r="J19" s="64">
        <v>141330</v>
      </c>
      <c r="K19" s="62"/>
      <c r="L19" s="84"/>
    </row>
    <row r="20" spans="1:16" x14ac:dyDescent="0.3">
      <c r="A20" s="60">
        <v>45422</v>
      </c>
      <c r="B20" s="61"/>
      <c r="C20" s="62"/>
      <c r="D20" s="62"/>
      <c r="E20" s="62"/>
      <c r="F20" s="62"/>
      <c r="G20" s="63"/>
      <c r="H20" s="62" t="s">
        <v>80</v>
      </c>
      <c r="I20" s="64">
        <v>614160</v>
      </c>
      <c r="J20" s="64">
        <v>614160</v>
      </c>
      <c r="K20" s="62"/>
      <c r="L20" s="64"/>
    </row>
    <row r="21" spans="1:16" x14ac:dyDescent="0.3">
      <c r="A21" s="60">
        <v>45422</v>
      </c>
      <c r="B21" s="61"/>
      <c r="C21" s="62"/>
      <c r="D21" s="62"/>
      <c r="E21" s="62"/>
      <c r="F21" s="62"/>
      <c r="G21" s="63"/>
      <c r="H21" s="62" t="s">
        <v>81</v>
      </c>
      <c r="I21" s="64">
        <v>235560</v>
      </c>
      <c r="J21" s="64">
        <v>235560</v>
      </c>
      <c r="K21" s="62"/>
      <c r="L21" s="84"/>
    </row>
    <row r="22" spans="1:16" x14ac:dyDescent="0.3">
      <c r="A22" s="60">
        <v>45423</v>
      </c>
      <c r="B22" s="61"/>
      <c r="C22" s="62"/>
      <c r="D22" s="62"/>
      <c r="E22" s="62"/>
      <c r="F22" s="62"/>
      <c r="G22" s="63"/>
      <c r="H22" s="62" t="s">
        <v>80</v>
      </c>
      <c r="I22" s="64">
        <v>477720</v>
      </c>
      <c r="J22" s="64">
        <v>477720</v>
      </c>
      <c r="K22" s="62"/>
      <c r="L22" s="64"/>
      <c r="P22"/>
    </row>
    <row r="23" spans="1:16" x14ac:dyDescent="0.3">
      <c r="A23" s="60">
        <v>45423</v>
      </c>
      <c r="B23" s="61"/>
      <c r="C23" s="62"/>
      <c r="D23" s="62"/>
      <c r="E23" s="62"/>
      <c r="F23" s="62"/>
      <c r="G23" s="63"/>
      <c r="H23" s="62" t="s">
        <v>81</v>
      </c>
      <c r="I23" s="64">
        <v>208190</v>
      </c>
      <c r="J23" s="64">
        <v>208190</v>
      </c>
      <c r="K23" s="62"/>
      <c r="L23" s="84"/>
      <c r="P23"/>
    </row>
    <row r="24" spans="1:16" x14ac:dyDescent="0.3">
      <c r="A24" s="60">
        <v>45424</v>
      </c>
      <c r="B24" s="61"/>
      <c r="C24" s="62"/>
      <c r="D24" s="62"/>
      <c r="E24" s="62"/>
      <c r="F24" s="62"/>
      <c r="G24" s="63"/>
      <c r="H24" s="62" t="s">
        <v>80</v>
      </c>
      <c r="I24" s="64">
        <v>321840</v>
      </c>
      <c r="J24" s="64">
        <v>321840</v>
      </c>
      <c r="K24" s="62"/>
      <c r="L24" s="64"/>
      <c r="P24"/>
    </row>
    <row r="25" spans="1:16" x14ac:dyDescent="0.3">
      <c r="A25" s="60">
        <v>45424</v>
      </c>
      <c r="B25" s="61"/>
      <c r="C25" s="62"/>
      <c r="D25" s="62"/>
      <c r="E25" s="62"/>
      <c r="F25" s="62"/>
      <c r="G25" s="63"/>
      <c r="H25" s="62" t="s">
        <v>81</v>
      </c>
      <c r="I25" s="64">
        <v>118650</v>
      </c>
      <c r="J25" s="64">
        <v>118650</v>
      </c>
      <c r="K25" s="62"/>
      <c r="L25" s="64"/>
      <c r="P25"/>
    </row>
    <row r="26" spans="1:16" x14ac:dyDescent="0.3">
      <c r="A26" s="60">
        <v>45425</v>
      </c>
      <c r="B26" s="61"/>
      <c r="C26" s="62"/>
      <c r="D26" s="62"/>
      <c r="E26" s="62"/>
      <c r="F26" s="62"/>
      <c r="G26" s="63"/>
      <c r="H26" s="62" t="s">
        <v>80</v>
      </c>
      <c r="I26" s="64">
        <v>356640</v>
      </c>
      <c r="J26" s="64">
        <v>356640</v>
      </c>
      <c r="K26" s="62"/>
      <c r="L26" s="62"/>
      <c r="P26"/>
    </row>
    <row r="27" spans="1:16" x14ac:dyDescent="0.3">
      <c r="A27" s="60">
        <v>45425</v>
      </c>
      <c r="B27" s="61"/>
      <c r="C27" s="62"/>
      <c r="D27" s="62"/>
      <c r="E27" s="62"/>
      <c r="F27" s="62"/>
      <c r="G27" s="63"/>
      <c r="H27" s="62" t="s">
        <v>81</v>
      </c>
      <c r="I27" s="64">
        <v>165850</v>
      </c>
      <c r="J27" s="64">
        <v>165850</v>
      </c>
      <c r="K27" s="62"/>
      <c r="L27" s="62"/>
      <c r="P27"/>
    </row>
    <row r="28" spans="1:16" x14ac:dyDescent="0.3">
      <c r="A28" s="60"/>
      <c r="B28" s="61"/>
      <c r="C28" s="62"/>
      <c r="D28" s="62"/>
      <c r="E28" s="62"/>
      <c r="F28" s="62"/>
      <c r="G28" s="63"/>
      <c r="H28" s="62"/>
      <c r="I28" s="64"/>
      <c r="J28" s="64"/>
      <c r="K28" s="62"/>
      <c r="L28" s="62"/>
      <c r="P28"/>
    </row>
    <row r="29" spans="1:16" x14ac:dyDescent="0.3">
      <c r="A29" s="60"/>
      <c r="B29" s="61"/>
      <c r="C29" s="62"/>
      <c r="D29" s="62"/>
      <c r="E29" s="62"/>
      <c r="F29" s="62"/>
      <c r="G29" s="63"/>
      <c r="H29" s="62"/>
      <c r="I29" s="64"/>
      <c r="J29" s="64"/>
      <c r="K29" s="62"/>
      <c r="L29" s="62"/>
      <c r="P29"/>
    </row>
    <row r="30" spans="1:16" x14ac:dyDescent="0.3">
      <c r="A30" s="60"/>
      <c r="B30" s="61"/>
      <c r="C30" s="62"/>
      <c r="D30" s="62"/>
      <c r="E30" s="62"/>
      <c r="F30" s="62"/>
      <c r="G30" s="63"/>
      <c r="H30" s="62"/>
      <c r="I30" s="64"/>
      <c r="J30" s="64"/>
      <c r="K30" s="62"/>
      <c r="L30" s="62"/>
      <c r="P30"/>
    </row>
    <row r="31" spans="1:16" x14ac:dyDescent="0.3">
      <c r="A31" s="60"/>
      <c r="B31" s="61"/>
      <c r="C31" s="62"/>
      <c r="D31" s="62"/>
      <c r="E31" s="62"/>
      <c r="F31" s="62"/>
      <c r="G31" s="63"/>
      <c r="H31" s="62"/>
      <c r="I31" s="64"/>
      <c r="J31" s="64"/>
      <c r="K31" s="62"/>
      <c r="L31" s="62"/>
      <c r="P31"/>
    </row>
    <row r="32" spans="1:16" x14ac:dyDescent="0.3">
      <c r="A32" s="60"/>
      <c r="B32" s="61"/>
      <c r="C32" s="62"/>
      <c r="D32" s="62"/>
      <c r="E32" s="62"/>
      <c r="F32" s="62"/>
      <c r="G32" s="63"/>
      <c r="H32" s="62"/>
      <c r="I32" s="64"/>
      <c r="J32" s="64"/>
      <c r="K32" s="62"/>
      <c r="L32" s="62"/>
      <c r="P32"/>
    </row>
    <row r="33" spans="1:16" x14ac:dyDescent="0.3">
      <c r="A33" s="60"/>
      <c r="B33" s="61"/>
      <c r="C33" s="62"/>
      <c r="D33" s="62"/>
      <c r="E33" s="62"/>
      <c r="F33" s="62"/>
      <c r="G33" s="63"/>
      <c r="H33" s="62"/>
      <c r="I33" s="64"/>
      <c r="J33" s="64"/>
      <c r="K33" s="62"/>
      <c r="L33" s="62"/>
      <c r="P33"/>
    </row>
    <row r="34" spans="1:16" x14ac:dyDescent="0.3">
      <c r="A34" s="60"/>
      <c r="B34" s="61"/>
      <c r="C34" s="62"/>
      <c r="D34" s="62"/>
      <c r="E34" s="62"/>
      <c r="F34" s="62"/>
      <c r="G34" s="63"/>
      <c r="H34" s="62"/>
      <c r="I34" s="64"/>
      <c r="J34" s="64"/>
      <c r="K34" s="62"/>
      <c r="L34" s="62"/>
      <c r="P34"/>
    </row>
    <row r="35" spans="1:16" x14ac:dyDescent="0.3">
      <c r="A35" s="60"/>
      <c r="B35" s="61"/>
      <c r="C35" s="62"/>
      <c r="D35" s="62"/>
      <c r="E35" s="62"/>
      <c r="F35" s="62"/>
      <c r="G35" s="63"/>
      <c r="H35" s="62"/>
      <c r="I35" s="64"/>
      <c r="J35" s="64"/>
      <c r="K35" s="62"/>
      <c r="L35" s="62"/>
      <c r="P35"/>
    </row>
    <row r="36" spans="1:16" x14ac:dyDescent="0.3">
      <c r="A36" s="60"/>
      <c r="B36" s="61"/>
      <c r="C36" s="62"/>
      <c r="D36" s="62"/>
      <c r="E36" s="62"/>
      <c r="F36" s="62"/>
      <c r="G36" s="63"/>
      <c r="H36" s="62"/>
      <c r="I36" s="64"/>
      <c r="J36" s="64"/>
      <c r="K36" s="62"/>
      <c r="L36" s="62"/>
      <c r="P36"/>
    </row>
    <row r="37" spans="1:16" x14ac:dyDescent="0.3">
      <c r="A37" s="60"/>
      <c r="B37" s="61"/>
      <c r="C37" s="62"/>
      <c r="D37" s="62"/>
      <c r="E37" s="62"/>
      <c r="F37" s="62"/>
      <c r="G37" s="63"/>
      <c r="H37" s="62"/>
      <c r="I37" s="64"/>
      <c r="J37" s="64"/>
      <c r="K37" s="62"/>
      <c r="L37" s="62"/>
      <c r="P37"/>
    </row>
    <row r="38" spans="1:16" x14ac:dyDescent="0.3">
      <c r="A38" s="60"/>
      <c r="B38" s="61"/>
      <c r="C38" s="62"/>
      <c r="D38" s="62"/>
      <c r="E38" s="62"/>
      <c r="F38" s="62"/>
      <c r="G38" s="63"/>
      <c r="H38" s="62"/>
      <c r="I38" s="64"/>
      <c r="J38" s="64"/>
      <c r="K38" s="62"/>
      <c r="L38" s="62"/>
      <c r="P38"/>
    </row>
    <row r="39" spans="1:16" ht="12" customHeight="1" x14ac:dyDescent="0.3">
      <c r="A39" s="60"/>
      <c r="B39" s="61"/>
      <c r="C39" s="62"/>
      <c r="D39" s="62"/>
      <c r="E39" s="62"/>
      <c r="F39" s="62"/>
      <c r="G39" s="63"/>
      <c r="H39" s="62"/>
      <c r="I39" s="64"/>
      <c r="J39" s="64"/>
      <c r="K39" s="62"/>
      <c r="L39" s="62"/>
      <c r="P39"/>
    </row>
    <row r="40" spans="1:16" x14ac:dyDescent="0.3">
      <c r="A40" s="60"/>
      <c r="B40" s="61"/>
      <c r="C40" s="62"/>
      <c r="D40" s="62"/>
      <c r="E40" s="62"/>
      <c r="F40" s="62"/>
      <c r="G40" s="63"/>
      <c r="H40" s="62"/>
      <c r="I40" s="64"/>
      <c r="J40" s="64"/>
      <c r="K40" s="62"/>
      <c r="L40" s="62"/>
    </row>
    <row r="41" spans="1:16" x14ac:dyDescent="0.3">
      <c r="A41" s="60"/>
      <c r="B41" s="61"/>
      <c r="C41" s="62"/>
      <c r="D41" s="62"/>
      <c r="E41" s="62"/>
      <c r="F41" s="62"/>
      <c r="G41" s="63"/>
      <c r="H41" s="62"/>
      <c r="I41" s="64"/>
      <c r="J41" s="64"/>
      <c r="K41" s="62"/>
      <c r="L41" s="62"/>
    </row>
    <row r="42" spans="1:16" x14ac:dyDescent="0.3">
      <c r="A42" s="60"/>
      <c r="B42" s="61"/>
      <c r="C42" s="62"/>
      <c r="D42" s="62"/>
      <c r="E42" s="62"/>
      <c r="F42" s="62"/>
      <c r="G42" s="63"/>
      <c r="H42" s="62"/>
      <c r="I42" s="64"/>
      <c r="J42" s="64"/>
      <c r="K42" s="62"/>
      <c r="L42" s="62"/>
    </row>
    <row r="43" spans="1:16" x14ac:dyDescent="0.3">
      <c r="A43" s="60"/>
      <c r="B43" s="61"/>
      <c r="C43" s="62"/>
      <c r="D43" s="62"/>
      <c r="E43" s="62"/>
      <c r="F43" s="62"/>
      <c r="G43" s="63"/>
      <c r="H43" s="62"/>
      <c r="I43" s="64"/>
      <c r="J43" s="64"/>
      <c r="K43" s="62"/>
      <c r="L43" s="62"/>
    </row>
    <row r="44" spans="1:16" x14ac:dyDescent="0.3">
      <c r="A44" s="60"/>
      <c r="B44" s="61"/>
      <c r="C44" s="62"/>
      <c r="D44" s="62"/>
      <c r="E44" s="62"/>
      <c r="F44" s="62"/>
      <c r="G44" s="63"/>
      <c r="H44" s="62"/>
      <c r="I44" s="64"/>
      <c r="J44" s="64"/>
      <c r="K44" s="62"/>
      <c r="L44" s="62"/>
    </row>
    <row r="45" spans="1:16" x14ac:dyDescent="0.3">
      <c r="A45" s="60"/>
      <c r="B45" s="65"/>
      <c r="C45" s="62"/>
      <c r="D45" s="62"/>
      <c r="E45" s="62"/>
      <c r="F45" s="62"/>
      <c r="G45" s="63"/>
      <c r="H45" s="62"/>
      <c r="I45" s="64"/>
      <c r="J45" s="64"/>
      <c r="K45" s="62"/>
      <c r="L45" s="62"/>
    </row>
    <row r="46" spans="1:16" x14ac:dyDescent="0.3">
      <c r="A46" s="60"/>
      <c r="B46" s="65"/>
      <c r="C46" s="62"/>
      <c r="D46" s="62"/>
      <c r="E46" s="62"/>
      <c r="F46" s="62"/>
      <c r="G46" s="63"/>
      <c r="H46" s="62"/>
      <c r="I46" s="64"/>
      <c r="J46" s="64"/>
      <c r="K46" s="62"/>
      <c r="L46" s="62"/>
    </row>
    <row r="47" spans="1:16" x14ac:dyDescent="0.3">
      <c r="A47" s="60"/>
      <c r="B47" s="65"/>
      <c r="C47" s="62"/>
      <c r="D47" s="62"/>
      <c r="E47" s="62"/>
      <c r="F47" s="62"/>
      <c r="G47" s="63"/>
      <c r="H47" s="62"/>
      <c r="I47" s="64"/>
      <c r="J47" s="64"/>
      <c r="K47" s="62"/>
      <c r="L47" s="62"/>
    </row>
    <row r="48" spans="1:16" x14ac:dyDescent="0.3">
      <c r="A48" s="60"/>
      <c r="B48" s="65"/>
      <c r="C48" s="62"/>
      <c r="D48" s="62"/>
      <c r="E48" s="62"/>
      <c r="F48" s="62"/>
      <c r="G48" s="63"/>
      <c r="H48" s="62"/>
      <c r="I48" s="64"/>
      <c r="J48" s="64"/>
      <c r="K48" s="62"/>
      <c r="L48" s="62"/>
    </row>
    <row r="49" spans="1:12" x14ac:dyDescent="0.3">
      <c r="A49" s="60"/>
      <c r="B49" s="65"/>
      <c r="C49" s="62"/>
      <c r="D49" s="62"/>
      <c r="E49" s="62"/>
      <c r="F49" s="62"/>
      <c r="G49" s="63"/>
      <c r="H49" s="62"/>
      <c r="I49" s="64"/>
      <c r="J49" s="64"/>
      <c r="K49" s="62"/>
      <c r="L49" s="62"/>
    </row>
    <row r="50" spans="1:12" x14ac:dyDescent="0.3">
      <c r="A50" s="60"/>
      <c r="B50" s="65"/>
      <c r="C50" s="62"/>
      <c r="D50" s="62"/>
      <c r="E50" s="62"/>
      <c r="F50" s="62"/>
      <c r="G50" s="63"/>
      <c r="H50" s="62"/>
      <c r="I50" s="64"/>
      <c r="J50" s="64"/>
      <c r="K50" s="62"/>
      <c r="L50" s="62"/>
    </row>
    <row r="51" spans="1:12" x14ac:dyDescent="0.3">
      <c r="A51" s="60"/>
      <c r="B51" s="65"/>
      <c r="C51" s="62"/>
      <c r="D51" s="62"/>
      <c r="E51" s="62"/>
      <c r="F51" s="62"/>
      <c r="G51" s="63"/>
      <c r="H51" s="62"/>
      <c r="I51" s="64"/>
      <c r="J51" s="64"/>
      <c r="K51" s="66"/>
      <c r="L51" s="62"/>
    </row>
    <row r="52" spans="1:12" x14ac:dyDescent="0.3">
      <c r="A52" s="60"/>
      <c r="B52" s="65"/>
      <c r="C52" s="62"/>
      <c r="D52" s="62"/>
      <c r="E52" s="62"/>
      <c r="F52" s="62"/>
      <c r="G52" s="63"/>
      <c r="H52" s="62"/>
      <c r="I52" s="64"/>
      <c r="J52" s="64"/>
      <c r="K52" s="66"/>
      <c r="L52" s="62"/>
    </row>
    <row r="53" spans="1:12" x14ac:dyDescent="0.3">
      <c r="A53" s="60"/>
      <c r="B53" s="65"/>
      <c r="C53" s="62"/>
      <c r="D53" s="62"/>
      <c r="E53" s="62"/>
      <c r="F53" s="62"/>
      <c r="G53" s="63"/>
      <c r="H53" s="62"/>
      <c r="I53" s="64"/>
      <c r="J53" s="64"/>
      <c r="K53" s="66"/>
      <c r="L53" s="62"/>
    </row>
    <row r="54" spans="1:12" x14ac:dyDescent="0.3">
      <c r="A54" s="60"/>
      <c r="B54" s="65"/>
      <c r="C54" s="62"/>
      <c r="D54" s="62"/>
      <c r="E54" s="62"/>
      <c r="F54" s="62"/>
      <c r="G54" s="63"/>
      <c r="H54" s="62"/>
      <c r="I54" s="64"/>
      <c r="J54" s="64"/>
      <c r="K54" s="66"/>
      <c r="L54" s="62"/>
    </row>
    <row r="55" spans="1:12" x14ac:dyDescent="0.3">
      <c r="A55" s="60"/>
      <c r="B55" s="65"/>
      <c r="C55" s="62"/>
      <c r="D55" s="62"/>
      <c r="E55" s="62"/>
      <c r="F55" s="62"/>
      <c r="G55" s="63"/>
      <c r="H55" s="62"/>
      <c r="I55" s="64"/>
      <c r="J55" s="64"/>
      <c r="K55" s="66"/>
      <c r="L55" s="62"/>
    </row>
    <row r="56" spans="1:12" x14ac:dyDescent="0.3">
      <c r="A56" s="60"/>
      <c r="B56" s="65"/>
      <c r="C56" s="62"/>
      <c r="D56" s="62"/>
      <c r="E56" s="62"/>
      <c r="F56" s="62"/>
      <c r="G56" s="63"/>
      <c r="H56" s="62"/>
      <c r="I56" s="64"/>
      <c r="J56" s="64"/>
      <c r="K56" s="66"/>
      <c r="L56" s="62"/>
    </row>
    <row r="57" spans="1:12" x14ac:dyDescent="0.3">
      <c r="A57" s="60"/>
      <c r="B57" s="65"/>
      <c r="C57" s="62"/>
      <c r="D57" s="62"/>
      <c r="E57" s="62"/>
      <c r="F57" s="62"/>
      <c r="G57" s="63"/>
      <c r="H57" s="62"/>
      <c r="I57" s="64"/>
      <c r="J57" s="64"/>
      <c r="K57" s="66"/>
      <c r="L57" s="62"/>
    </row>
    <row r="58" spans="1:12" x14ac:dyDescent="0.3">
      <c r="A58" s="60"/>
      <c r="B58" s="65"/>
      <c r="C58" s="62"/>
      <c r="D58" s="62"/>
      <c r="E58" s="62"/>
      <c r="F58" s="62"/>
      <c r="G58" s="63"/>
      <c r="H58" s="62"/>
      <c r="I58" s="64"/>
      <c r="J58" s="64"/>
      <c r="K58" s="66"/>
      <c r="L58" s="62"/>
    </row>
    <row r="59" spans="1:12" x14ac:dyDescent="0.3">
      <c r="A59" s="60"/>
      <c r="B59" s="65"/>
      <c r="C59" s="62"/>
      <c r="D59" s="62"/>
      <c r="E59" s="62"/>
      <c r="F59" s="62"/>
      <c r="G59" s="63"/>
      <c r="H59" s="62"/>
      <c r="I59" s="64"/>
      <c r="J59" s="64"/>
      <c r="K59" s="66"/>
      <c r="L59" s="62"/>
    </row>
    <row r="60" spans="1:12" x14ac:dyDescent="0.3">
      <c r="A60" s="60"/>
      <c r="B60" s="65"/>
      <c r="C60" s="62"/>
      <c r="D60" s="62"/>
      <c r="E60" s="62"/>
      <c r="F60" s="62"/>
      <c r="G60" s="63"/>
      <c r="H60" s="62"/>
      <c r="I60" s="64"/>
      <c r="J60" s="64"/>
      <c r="K60" s="62"/>
      <c r="L60" s="62"/>
    </row>
    <row r="61" spans="1:12" x14ac:dyDescent="0.3">
      <c r="A61" s="60"/>
      <c r="B61" s="65"/>
      <c r="C61" s="62"/>
      <c r="D61" s="62"/>
      <c r="E61" s="62"/>
      <c r="F61" s="62"/>
      <c r="G61" s="63"/>
      <c r="H61" s="62"/>
      <c r="I61" s="64"/>
      <c r="J61" s="64"/>
      <c r="K61" s="66"/>
      <c r="L61" s="62"/>
    </row>
    <row r="62" spans="1:12" x14ac:dyDescent="0.3">
      <c r="A62" s="60"/>
      <c r="B62" s="65"/>
      <c r="C62" s="62"/>
      <c r="D62" s="62"/>
      <c r="E62" s="62"/>
      <c r="F62" s="62"/>
      <c r="G62" s="63"/>
      <c r="H62" s="62"/>
      <c r="I62" s="64"/>
      <c r="J62" s="64"/>
      <c r="K62" s="66"/>
      <c r="L62" s="62"/>
    </row>
    <row r="63" spans="1:12" x14ac:dyDescent="0.3">
      <c r="A63" s="60"/>
      <c r="B63" s="65"/>
      <c r="C63" s="62"/>
      <c r="D63" s="62"/>
      <c r="E63" s="62"/>
      <c r="F63" s="62"/>
      <c r="G63" s="63"/>
      <c r="H63" s="62"/>
      <c r="I63" s="64"/>
      <c r="J63" s="64"/>
      <c r="K63" s="66"/>
      <c r="L63" s="62"/>
    </row>
    <row r="64" spans="1:12" x14ac:dyDescent="0.3">
      <c r="A64" s="60"/>
      <c r="B64" s="65"/>
      <c r="C64" s="62"/>
      <c r="D64" s="62"/>
      <c r="E64" s="62"/>
      <c r="F64" s="62"/>
      <c r="G64" s="63"/>
      <c r="H64" s="62"/>
      <c r="I64" s="64"/>
      <c r="J64" s="64"/>
      <c r="K64" s="66"/>
      <c r="L64" s="62"/>
    </row>
    <row r="65" spans="1:12" x14ac:dyDescent="0.3">
      <c r="A65" s="60"/>
      <c r="B65" s="65"/>
      <c r="C65" s="62"/>
      <c r="D65" s="62"/>
      <c r="E65" s="62"/>
      <c r="F65" s="62"/>
      <c r="G65" s="63"/>
      <c r="H65" s="62"/>
      <c r="I65" s="64"/>
      <c r="J65" s="64"/>
      <c r="K65" s="66"/>
      <c r="L65" s="62"/>
    </row>
    <row r="66" spans="1:12" x14ac:dyDescent="0.3">
      <c r="A66" s="60"/>
      <c r="B66" s="65"/>
      <c r="C66" s="62"/>
      <c r="D66" s="62"/>
      <c r="E66" s="62"/>
      <c r="F66" s="62"/>
      <c r="G66" s="63"/>
      <c r="H66" s="62"/>
      <c r="I66" s="64"/>
      <c r="J66" s="64"/>
      <c r="K66" s="66"/>
      <c r="L66" s="62"/>
    </row>
    <row r="67" spans="1:12" x14ac:dyDescent="0.3">
      <c r="A67" s="60"/>
      <c r="B67" s="65"/>
      <c r="C67" s="62"/>
      <c r="D67" s="62"/>
      <c r="E67" s="62"/>
      <c r="F67" s="62"/>
      <c r="G67" s="63"/>
      <c r="H67" s="62"/>
      <c r="I67" s="64"/>
      <c r="J67" s="64"/>
      <c r="K67" s="66"/>
      <c r="L67" s="62"/>
    </row>
    <row r="68" spans="1:12" x14ac:dyDescent="0.3">
      <c r="A68" s="60"/>
      <c r="B68" s="65"/>
      <c r="C68" s="62"/>
      <c r="D68" s="62"/>
      <c r="E68" s="62"/>
      <c r="F68" s="62"/>
      <c r="G68" s="63"/>
      <c r="H68" s="62"/>
      <c r="I68" s="64"/>
      <c r="J68" s="64"/>
      <c r="K68" s="62"/>
      <c r="L68" s="62"/>
    </row>
    <row r="69" spans="1:12" x14ac:dyDescent="0.3">
      <c r="A69" s="60"/>
      <c r="B69" s="65"/>
      <c r="C69" s="62"/>
      <c r="D69" s="62"/>
      <c r="E69" s="62"/>
      <c r="F69" s="62"/>
      <c r="G69" s="63"/>
      <c r="H69" s="62"/>
      <c r="I69" s="64"/>
      <c r="J69" s="64"/>
      <c r="K69" s="66"/>
      <c r="L69" s="62"/>
    </row>
    <row r="70" spans="1:12" x14ac:dyDescent="0.3">
      <c r="A70" s="60"/>
      <c r="B70" s="65"/>
      <c r="C70" s="62"/>
      <c r="D70" s="62"/>
      <c r="E70" s="62"/>
      <c r="F70" s="62"/>
      <c r="G70" s="63"/>
      <c r="H70" s="62"/>
      <c r="I70" s="64"/>
      <c r="J70" s="64"/>
      <c r="K70" s="66"/>
      <c r="L70" s="62"/>
    </row>
    <row r="71" spans="1:12" x14ac:dyDescent="0.3">
      <c r="A71" s="60"/>
      <c r="B71" s="65"/>
      <c r="C71" s="62"/>
      <c r="D71" s="62"/>
      <c r="E71" s="62"/>
      <c r="F71" s="62"/>
      <c r="G71" s="63"/>
      <c r="H71" s="62"/>
      <c r="I71" s="64"/>
      <c r="J71" s="64"/>
      <c r="K71" s="66"/>
      <c r="L71" s="62"/>
    </row>
    <row r="72" spans="1:12" x14ac:dyDescent="0.3">
      <c r="A72" s="60"/>
      <c r="B72" s="65"/>
      <c r="C72" s="62"/>
      <c r="D72" s="62"/>
      <c r="E72" s="62"/>
      <c r="F72" s="62"/>
      <c r="G72" s="63"/>
      <c r="H72" s="62"/>
      <c r="I72" s="64"/>
      <c r="J72" s="64"/>
      <c r="K72" s="66"/>
      <c r="L72" s="62"/>
    </row>
    <row r="73" spans="1:12" x14ac:dyDescent="0.3">
      <c r="B73" s="77"/>
    </row>
    <row r="74" spans="1:12" x14ac:dyDescent="0.3">
      <c r="B74" s="77"/>
    </row>
    <row r="75" spans="1:12" x14ac:dyDescent="0.3">
      <c r="B75" s="77"/>
      <c r="K75" s="78"/>
    </row>
    <row r="76" spans="1:12" x14ac:dyDescent="0.3">
      <c r="B76" s="77"/>
      <c r="K76" s="78"/>
    </row>
    <row r="77" spans="1:12" x14ac:dyDescent="0.3">
      <c r="B77" s="77"/>
      <c r="K77" s="78"/>
    </row>
    <row r="78" spans="1:12" x14ac:dyDescent="0.3">
      <c r="B78" s="77"/>
      <c r="K78" s="78"/>
    </row>
    <row r="79" spans="1:12" x14ac:dyDescent="0.3">
      <c r="B79" s="77"/>
    </row>
    <row r="80" spans="1:12" x14ac:dyDescent="0.3">
      <c r="B80" s="77"/>
      <c r="K80" s="78"/>
    </row>
    <row r="81" spans="2:11" x14ac:dyDescent="0.3">
      <c r="B81" s="77"/>
    </row>
    <row r="82" spans="2:11" x14ac:dyDescent="0.3">
      <c r="B82" s="77"/>
      <c r="K82" s="78"/>
    </row>
    <row r="83" spans="2:11" x14ac:dyDescent="0.3">
      <c r="B83" s="77"/>
      <c r="K83" s="78"/>
    </row>
    <row r="84" spans="2:11" x14ac:dyDescent="0.3">
      <c r="B84" s="77"/>
    </row>
  </sheetData>
  <autoFilter ref="A1:K1" xr:uid="{00000000-0009-0000-0000-000006000000}"/>
  <sortState xmlns:xlrd2="http://schemas.microsoft.com/office/spreadsheetml/2017/richdata2" ref="A2:L33">
    <sortCondition ref="A2:A33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15</xdr:col>
                <xdr:colOff>220980</xdr:colOff>
                <xdr:row>0</xdr:row>
                <xdr:rowOff>99060</xdr:rowOff>
              </from>
              <to>
                <xdr:col>17</xdr:col>
                <xdr:colOff>76200</xdr:colOff>
                <xdr:row>1</xdr:row>
                <xdr:rowOff>121920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D35CE-FFDA-4B73-A67E-333B79AC8C6D}">
  <sheetPr codeName="Лист8"/>
  <dimension ref="A1:B13"/>
  <sheetViews>
    <sheetView workbookViewId="0">
      <selection activeCell="C15" sqref="C15"/>
    </sheetView>
  </sheetViews>
  <sheetFormatPr defaultRowHeight="14.4" x14ac:dyDescent="0.3"/>
  <cols>
    <col min="1" max="1" width="40.5546875" bestFit="1" customWidth="1"/>
    <col min="2" max="2" width="10.109375" bestFit="1" customWidth="1"/>
  </cols>
  <sheetData>
    <row r="1" spans="1:2" x14ac:dyDescent="0.3">
      <c r="A1" t="str">
        <f ca="1">"Бронка "&amp;TEXT($B$1,"ДД.ММ.ГГГГ")</f>
        <v>Бронка 13.05.2024</v>
      </c>
      <c r="B1" s="29">
        <f ca="1">TODAY()-1</f>
        <v>45425</v>
      </c>
    </row>
    <row r="3" spans="1:2" x14ac:dyDescent="0.3">
      <c r="A3" t="str">
        <f ca="1">"Ввоз - "&amp;TEXT((SUMIF(Ввоз!$A:$A,$B$1,Ввоз!$G:$G)),"0,00")</f>
        <v>Ввоз - 0,00</v>
      </c>
    </row>
    <row r="4" spans="1:2" x14ac:dyDescent="0.3">
      <c r="A4" t="str">
        <f ca="1">"Вывоз - "&amp;TEXT((SUMIF(Вывоз!$A:$A,$B$1,Вывоз!$I:$I))/1000,"0,00")</f>
        <v>Вывоз - 522,49</v>
      </c>
    </row>
    <row r="6" spans="1:2" x14ac:dyDescent="0.3">
      <c r="A6" t="str">
        <f ca="1">"Кол-во рейсов ввоз - "&amp;COUNTIF(Ввоз!$A:$A,Лист1!$B$1)</f>
        <v>Кол-во рейсов ввоз - 0</v>
      </c>
    </row>
    <row r="7" spans="1:2" x14ac:dyDescent="0.3">
      <c r="A7" t="str">
        <f ca="1">"Кол-во рейсов вывоз - "&amp;COUNTIF(Вывоз!$A:$A,Лист1!$B$1)</f>
        <v>Кол-во рейсов вывоз - 2</v>
      </c>
    </row>
    <row r="9" spans="1:2" x14ac:dyDescent="0.3">
      <c r="A9" t="e">
        <f>"Среднесуточный ввоз - "&amp;ROUND('Сводная Ввоз'!$F$1,2)</f>
        <v>#DIV/0!</v>
      </c>
    </row>
    <row r="10" spans="1:2" x14ac:dyDescent="0.3">
      <c r="A10" t="str">
        <f>"Среднесуточный вывоз - "&amp;ROUND('Сводная Вывоз'!$F$1,2)</f>
        <v>Среднесуточный вывоз - 819,73</v>
      </c>
    </row>
    <row r="12" spans="1:2" x14ac:dyDescent="0.3">
      <c r="A12" t="e">
        <f>"Среднесуточное кол-во рейсов (ввоз) - "&amp;'Сводная Ввоз'!F2</f>
        <v>#DIV/0!</v>
      </c>
    </row>
    <row r="13" spans="1:2" x14ac:dyDescent="0.3">
      <c r="A13" t="str">
        <f>"Среднесуточное кол-во рейсов (вывоз) - "&amp;'Сводная Вывоз'!F2</f>
        <v>Среднесуточное кол-во рейсов (вывоз) - 2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Бронка</vt:lpstr>
      <vt:lpstr>Сводная Ввоз</vt:lpstr>
      <vt:lpstr>Сводная Вывоз</vt:lpstr>
      <vt:lpstr>Кол-во рейсов ввоз</vt:lpstr>
      <vt:lpstr>Кол-во рейсов вывоз</vt:lpstr>
      <vt:lpstr>Ввоз</vt:lpstr>
      <vt:lpstr>Вывоз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Egor Ivanov</cp:lastModifiedBy>
  <dcterms:created xsi:type="dcterms:W3CDTF">2015-06-05T18:19:34Z</dcterms:created>
  <dcterms:modified xsi:type="dcterms:W3CDTF">2024-05-14T10:48:53Z</dcterms:modified>
</cp:coreProperties>
</file>